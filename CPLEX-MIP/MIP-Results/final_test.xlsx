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9502271_qut_edu_au/Documents/Sentosa_DSG/Research/Thesis/Codes/8_Deterministic_Scheduling/eRoSB_Final/CPLEX-MIP/MIP-Results/"/>
    </mc:Choice>
  </mc:AlternateContent>
  <xr:revisionPtr revIDLastSave="3" documentId="13_ncr:1_{FAA21922-3DFC-464B-A923-F0AE8BDE0E2D}" xr6:coauthVersionLast="47" xr6:coauthVersionMax="47" xr10:uidLastSave="{1C1DAD6D-65B0-416F-8CB9-F4BA6886FC76}"/>
  <bookViews>
    <workbookView xWindow="-120" yWindow="-120" windowWidth="29040" windowHeight="15720" xr2:uid="{00000000-000D-0000-FFFF-FFFF00000000}"/>
  </bookViews>
  <sheets>
    <sheet name="test" sheetId="1" r:id="rId1"/>
    <sheet name="Result" sheetId="5" r:id="rId2"/>
    <sheet name="10Trips" sheetId="6" r:id="rId3"/>
    <sheet name="feasible_mat" sheetId="3" r:id="rId4"/>
    <sheet name="duration_mat" sheetId="2" r:id="rId5"/>
    <sheet name="idle_mat" sheetId="8" r:id="rId6"/>
    <sheet name="Recharged_Feasible_mat" sheetId="4" r:id="rId7"/>
    <sheet name="Recharged_Feasible_mat1c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1" l="1"/>
  <c r="U6" i="1"/>
  <c r="U7" i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4" i="1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65" i="8"/>
  <c r="C96" i="8"/>
  <c r="C62" i="8" l="1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34" i="8"/>
  <c r="V5" i="8"/>
  <c r="N21" i="1"/>
  <c r="N20" i="1"/>
  <c r="I3" i="1"/>
  <c r="I4" i="1"/>
  <c r="I5" i="1"/>
  <c r="I6" i="1"/>
  <c r="I7" i="1"/>
  <c r="I8" i="1"/>
  <c r="I9" i="1"/>
  <c r="I10" i="1"/>
  <c r="I11" i="1"/>
  <c r="AC11" i="8" s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N26" i="8" s="1"/>
  <c r="I27" i="1"/>
  <c r="I28" i="1"/>
  <c r="I29" i="1"/>
  <c r="I30" i="1"/>
  <c r="I31" i="1"/>
  <c r="I32" i="1"/>
  <c r="H4" i="1"/>
  <c r="H5" i="1"/>
  <c r="H6" i="1"/>
  <c r="H7" i="1"/>
  <c r="H8" i="1"/>
  <c r="H9" i="1"/>
  <c r="I27" i="8" s="1"/>
  <c r="H10" i="1"/>
  <c r="H11" i="1"/>
  <c r="H12" i="1"/>
  <c r="H13" i="1"/>
  <c r="H14" i="1"/>
  <c r="H15" i="1"/>
  <c r="O25" i="8" s="1"/>
  <c r="H16" i="1"/>
  <c r="H17" i="1"/>
  <c r="H18" i="1"/>
  <c r="H19" i="1"/>
  <c r="H20" i="1"/>
  <c r="J20" i="8"/>
  <c r="H21" i="1"/>
  <c r="U3" i="8" s="1"/>
  <c r="N21" i="8"/>
  <c r="H22" i="1"/>
  <c r="H23" i="1"/>
  <c r="H24" i="1"/>
  <c r="H25" i="1"/>
  <c r="H26" i="1"/>
  <c r="H27" i="1"/>
  <c r="AA11" i="8" s="1"/>
  <c r="H27" i="8"/>
  <c r="H28" i="1"/>
  <c r="H29" i="1"/>
  <c r="H30" i="1"/>
  <c r="H31" i="1"/>
  <c r="H32" i="1"/>
  <c r="H3" i="1"/>
  <c r="AC12" i="8"/>
  <c r="AC13" i="8"/>
  <c r="J19" i="8"/>
  <c r="J31" i="8"/>
  <c r="X5" i="8"/>
  <c r="W5" i="8"/>
  <c r="W6" i="8"/>
  <c r="V6" i="8"/>
  <c r="Z23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H31" i="8"/>
  <c r="G31" i="8"/>
  <c r="F31" i="8"/>
  <c r="E31" i="8"/>
  <c r="D31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N29" i="8"/>
  <c r="M29" i="8"/>
  <c r="L29" i="8"/>
  <c r="K29" i="8"/>
  <c r="J29" i="8"/>
  <c r="I29" i="8"/>
  <c r="H29" i="8"/>
  <c r="G29" i="8"/>
  <c r="F29" i="8"/>
  <c r="E29" i="8"/>
  <c r="D29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N28" i="8"/>
  <c r="M28" i="8"/>
  <c r="L28" i="8"/>
  <c r="K28" i="8"/>
  <c r="J28" i="8"/>
  <c r="H28" i="8"/>
  <c r="G28" i="8"/>
  <c r="F28" i="8"/>
  <c r="E28" i="8"/>
  <c r="D28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M27" i="8"/>
  <c r="L27" i="8"/>
  <c r="K27" i="8"/>
  <c r="G27" i="8"/>
  <c r="F27" i="8"/>
  <c r="E27" i="8"/>
  <c r="D27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M26" i="8"/>
  <c r="L26" i="8"/>
  <c r="K26" i="8"/>
  <c r="E26" i="8"/>
  <c r="D26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L25" i="8"/>
  <c r="K25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AC23" i="8"/>
  <c r="AB23" i="8"/>
  <c r="AA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N22" i="8"/>
  <c r="M22" i="8"/>
  <c r="L22" i="8"/>
  <c r="K22" i="8"/>
  <c r="J22" i="8"/>
  <c r="I22" i="8"/>
  <c r="H22" i="8"/>
  <c r="G22" i="8"/>
  <c r="F22" i="8"/>
  <c r="E22" i="8"/>
  <c r="D22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M21" i="8"/>
  <c r="L21" i="8"/>
  <c r="K21" i="8"/>
  <c r="H21" i="8"/>
  <c r="G21" i="8"/>
  <c r="F21" i="8"/>
  <c r="E21" i="8"/>
  <c r="D21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M20" i="8"/>
  <c r="L20" i="8"/>
  <c r="K20" i="8"/>
  <c r="F20" i="8"/>
  <c r="E20" i="8"/>
  <c r="D20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N19" i="8"/>
  <c r="M19" i="8"/>
  <c r="L19" i="8"/>
  <c r="K19" i="8"/>
  <c r="H19" i="8"/>
  <c r="E19" i="8"/>
  <c r="D19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N18" i="8"/>
  <c r="M18" i="8"/>
  <c r="L18" i="8"/>
  <c r="K18" i="8"/>
  <c r="J18" i="8"/>
  <c r="H18" i="8"/>
  <c r="G18" i="8"/>
  <c r="F18" i="8"/>
  <c r="E18" i="8"/>
  <c r="D18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N17" i="8"/>
  <c r="M17" i="8"/>
  <c r="L17" i="8"/>
  <c r="K17" i="8"/>
  <c r="J17" i="8"/>
  <c r="H17" i="8"/>
  <c r="G17" i="8"/>
  <c r="F17" i="8"/>
  <c r="E17" i="8"/>
  <c r="D17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AC6" i="8"/>
  <c r="AB6" i="8"/>
  <c r="AA6" i="8"/>
  <c r="Z6" i="8"/>
  <c r="Y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AC5" i="8"/>
  <c r="AB5" i="8"/>
  <c r="AA5" i="8"/>
  <c r="Z5" i="8"/>
  <c r="Y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AC4" i="8"/>
  <c r="AB4" i="8"/>
  <c r="AA4" i="8"/>
  <c r="Z4" i="8"/>
  <c r="Y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AC3" i="8"/>
  <c r="AB3" i="8"/>
  <c r="AA3" i="8"/>
  <c r="Z3" i="8"/>
  <c r="Y3" i="8"/>
  <c r="X3" i="8"/>
  <c r="W3" i="8"/>
  <c r="V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AD3" i="8"/>
  <c r="AE3" i="8"/>
  <c r="AF3" i="8"/>
  <c r="AD4" i="8"/>
  <c r="AE4" i="8"/>
  <c r="AF4" i="8"/>
  <c r="AD5" i="8"/>
  <c r="AE5" i="8"/>
  <c r="AF5" i="8"/>
  <c r="AD6" i="8"/>
  <c r="AE6" i="8"/>
  <c r="AF6" i="8"/>
  <c r="AD7" i="8"/>
  <c r="AE7" i="8"/>
  <c r="AF7" i="8"/>
  <c r="AD8" i="8"/>
  <c r="AE8" i="8"/>
  <c r="AF8" i="8"/>
  <c r="AD9" i="8"/>
  <c r="AE9" i="8"/>
  <c r="AF9" i="8"/>
  <c r="AD10" i="8"/>
  <c r="AE10" i="8"/>
  <c r="AF10" i="8"/>
  <c r="AD11" i="8"/>
  <c r="AE11" i="8"/>
  <c r="AF11" i="8"/>
  <c r="AD12" i="8"/>
  <c r="AE12" i="8"/>
  <c r="AF12" i="8"/>
  <c r="AD13" i="8"/>
  <c r="AE13" i="8"/>
  <c r="AF13" i="8"/>
  <c r="AD14" i="8"/>
  <c r="AE14" i="8"/>
  <c r="AF14" i="8"/>
  <c r="AD15" i="8"/>
  <c r="AE15" i="8"/>
  <c r="AF15" i="8"/>
  <c r="AD16" i="8"/>
  <c r="AE16" i="8"/>
  <c r="AF16" i="8"/>
  <c r="AD17" i="8"/>
  <c r="AE17" i="8"/>
  <c r="AF17" i="8"/>
  <c r="AD18" i="8"/>
  <c r="AE18" i="8"/>
  <c r="AF18" i="8"/>
  <c r="AD19" i="8"/>
  <c r="AE19" i="8"/>
  <c r="AF19" i="8"/>
  <c r="AD20" i="8"/>
  <c r="AE20" i="8"/>
  <c r="AF20" i="8"/>
  <c r="AD21" i="8"/>
  <c r="AE21" i="8"/>
  <c r="AF21" i="8"/>
  <c r="AD22" i="8"/>
  <c r="AE22" i="8"/>
  <c r="AF22" i="8"/>
  <c r="AD23" i="8"/>
  <c r="AE23" i="8"/>
  <c r="AF23" i="8"/>
  <c r="AD24" i="8"/>
  <c r="AE24" i="8"/>
  <c r="AF24" i="8"/>
  <c r="AD25" i="8"/>
  <c r="AE25" i="8"/>
  <c r="AF25" i="8"/>
  <c r="AD26" i="8"/>
  <c r="AE26" i="8"/>
  <c r="AF26" i="8"/>
  <c r="AD27" i="8"/>
  <c r="AE27" i="8"/>
  <c r="AF27" i="8"/>
  <c r="AD28" i="8"/>
  <c r="AE28" i="8"/>
  <c r="AF28" i="8"/>
  <c r="AD29" i="8"/>
  <c r="AE29" i="8"/>
  <c r="AF29" i="8"/>
  <c r="AD30" i="8"/>
  <c r="AE30" i="8"/>
  <c r="AF30" i="8"/>
  <c r="AD31" i="8"/>
  <c r="AE31" i="8"/>
  <c r="AF31" i="8"/>
  <c r="AD32" i="8"/>
  <c r="AE32" i="8"/>
  <c r="AF32" i="8"/>
  <c r="K8" i="1"/>
  <c r="AJ20" i="6"/>
  <c r="AK20" i="6"/>
  <c r="AL20" i="6"/>
  <c r="AM20" i="6"/>
  <c r="AN20" i="6"/>
  <c r="AO20" i="6"/>
  <c r="AP20" i="6"/>
  <c r="AQ20" i="6"/>
  <c r="AR20" i="6"/>
  <c r="AJ21" i="6"/>
  <c r="AK21" i="6"/>
  <c r="AL21" i="6"/>
  <c r="AM21" i="6"/>
  <c r="AN21" i="6"/>
  <c r="AO21" i="6"/>
  <c r="AP21" i="6"/>
  <c r="AQ21" i="6"/>
  <c r="AR21" i="6"/>
  <c r="AJ22" i="6"/>
  <c r="AK22" i="6"/>
  <c r="AL22" i="6"/>
  <c r="AM22" i="6"/>
  <c r="AN22" i="6"/>
  <c r="AO22" i="6"/>
  <c r="AP22" i="6"/>
  <c r="AQ22" i="6"/>
  <c r="AR22" i="6"/>
  <c r="AJ23" i="6"/>
  <c r="AK23" i="6"/>
  <c r="AL23" i="6"/>
  <c r="AM23" i="6"/>
  <c r="AN23" i="6"/>
  <c r="AO23" i="6"/>
  <c r="AP23" i="6"/>
  <c r="AQ23" i="6"/>
  <c r="AR23" i="6"/>
  <c r="AJ24" i="6"/>
  <c r="AK24" i="6"/>
  <c r="AL24" i="6"/>
  <c r="AM24" i="6"/>
  <c r="AN24" i="6"/>
  <c r="AO24" i="6"/>
  <c r="AP24" i="6"/>
  <c r="AQ24" i="6"/>
  <c r="AR24" i="6"/>
  <c r="AJ25" i="6"/>
  <c r="AK25" i="6"/>
  <c r="AL25" i="6"/>
  <c r="AM25" i="6"/>
  <c r="AN25" i="6"/>
  <c r="AO25" i="6"/>
  <c r="AP25" i="6"/>
  <c r="AQ25" i="6"/>
  <c r="AR25" i="6"/>
  <c r="AJ26" i="6"/>
  <c r="AK26" i="6"/>
  <c r="AL26" i="6"/>
  <c r="AM26" i="6"/>
  <c r="AN26" i="6"/>
  <c r="AO26" i="6"/>
  <c r="AP26" i="6"/>
  <c r="AQ26" i="6"/>
  <c r="AR26" i="6"/>
  <c r="AJ27" i="6"/>
  <c r="AK27" i="6"/>
  <c r="AL27" i="6"/>
  <c r="AM27" i="6"/>
  <c r="AN27" i="6"/>
  <c r="AO27" i="6"/>
  <c r="AP27" i="6"/>
  <c r="AQ27" i="6"/>
  <c r="AR27" i="6"/>
  <c r="AJ28" i="6"/>
  <c r="AK28" i="6"/>
  <c r="AL28" i="6"/>
  <c r="AM28" i="6"/>
  <c r="AN28" i="6"/>
  <c r="AO28" i="6"/>
  <c r="AP28" i="6"/>
  <c r="AQ28" i="6"/>
  <c r="AR28" i="6"/>
  <c r="AJ29" i="6"/>
  <c r="AK29" i="6"/>
  <c r="AL29" i="6"/>
  <c r="AM29" i="6"/>
  <c r="AN29" i="6"/>
  <c r="AO29" i="6"/>
  <c r="AP29" i="6"/>
  <c r="AQ29" i="6"/>
  <c r="AR29" i="6"/>
  <c r="AI21" i="6"/>
  <c r="AI22" i="6"/>
  <c r="AI23" i="6"/>
  <c r="AI24" i="6"/>
  <c r="AI25" i="6"/>
  <c r="AI26" i="6"/>
  <c r="AI27" i="6"/>
  <c r="AI28" i="6"/>
  <c r="AI29" i="6"/>
  <c r="AI20" i="6"/>
  <c r="K8" i="6"/>
  <c r="C80" i="6"/>
  <c r="D80" i="6" s="1"/>
  <c r="E80" i="6" s="1"/>
  <c r="F80" i="6" s="1"/>
  <c r="G80" i="6" s="1"/>
  <c r="H80" i="6" s="1"/>
  <c r="I80" i="6" s="1"/>
  <c r="J80" i="6" s="1"/>
  <c r="K80" i="6" s="1"/>
  <c r="L80" i="6" s="1"/>
  <c r="M80" i="6" s="1"/>
  <c r="N80" i="6" s="1"/>
  <c r="O80" i="6" s="1"/>
  <c r="P80" i="6" s="1"/>
  <c r="Q80" i="6" s="1"/>
  <c r="R80" i="6" s="1"/>
  <c r="S80" i="6" s="1"/>
  <c r="T80" i="6" s="1"/>
  <c r="U80" i="6" s="1"/>
  <c r="V80" i="6" s="1"/>
  <c r="W80" i="6" s="1"/>
  <c r="X80" i="6" s="1"/>
  <c r="Y80" i="6" s="1"/>
  <c r="Z80" i="6" s="1"/>
  <c r="AA80" i="6" s="1"/>
  <c r="B80" i="6"/>
  <c r="AH53" i="6"/>
  <c r="J5" i="6"/>
  <c r="AF51" i="6"/>
  <c r="AG56" i="6"/>
  <c r="AH56" i="6" s="1"/>
  <c r="AF56" i="6"/>
  <c r="AH54" i="6"/>
  <c r="AF55" i="6"/>
  <c r="AG55" i="6"/>
  <c r="AH55" i="6" s="1"/>
  <c r="AH52" i="6"/>
  <c r="AH51" i="6"/>
  <c r="AG51" i="6"/>
  <c r="AF53" i="6"/>
  <c r="AG53" i="6"/>
  <c r="AF52" i="6"/>
  <c r="AG52" i="6"/>
  <c r="AA69" i="6"/>
  <c r="AA70" i="6" s="1"/>
  <c r="AA71" i="6" s="1"/>
  <c r="AA72" i="6" s="1"/>
  <c r="AA73" i="6" s="1"/>
  <c r="AA74" i="6" s="1"/>
  <c r="AA75" i="6" s="1"/>
  <c r="AA76" i="6" s="1"/>
  <c r="AA77" i="6" s="1"/>
  <c r="AA78" i="6" s="1"/>
  <c r="AA58" i="6"/>
  <c r="AA59" i="6" s="1"/>
  <c r="AA60" i="6" s="1"/>
  <c r="AA61" i="6" s="1"/>
  <c r="AA62" i="6" s="1"/>
  <c r="AA63" i="6" s="1"/>
  <c r="AA64" i="6" s="1"/>
  <c r="AA65" i="6" s="1"/>
  <c r="AA66" i="6" s="1"/>
  <c r="AA67" i="6" s="1"/>
  <c r="AA48" i="6"/>
  <c r="AA49" i="6"/>
  <c r="AA50" i="6" s="1"/>
  <c r="AA51" i="6" s="1"/>
  <c r="AA52" i="6" s="1"/>
  <c r="AA53" i="6" s="1"/>
  <c r="AA54" i="6" s="1"/>
  <c r="AA55" i="6" s="1"/>
  <c r="AA56" i="6" s="1"/>
  <c r="AA47" i="6"/>
  <c r="R69" i="6"/>
  <c r="S69" i="6"/>
  <c r="T69" i="6"/>
  <c r="U69" i="6"/>
  <c r="V69" i="6"/>
  <c r="W69" i="6"/>
  <c r="X69" i="6"/>
  <c r="Z69" i="6"/>
  <c r="R70" i="6"/>
  <c r="S70" i="6"/>
  <c r="T70" i="6"/>
  <c r="U70" i="6"/>
  <c r="V70" i="6"/>
  <c r="W70" i="6"/>
  <c r="X70" i="6"/>
  <c r="Z70" i="6"/>
  <c r="R71" i="6"/>
  <c r="S71" i="6"/>
  <c r="T71" i="6"/>
  <c r="U71" i="6"/>
  <c r="V71" i="6"/>
  <c r="W71" i="6"/>
  <c r="X71" i="6"/>
  <c r="Y71" i="6"/>
  <c r="Z71" i="6"/>
  <c r="R72" i="6"/>
  <c r="S72" i="6"/>
  <c r="T72" i="6"/>
  <c r="U72" i="6"/>
  <c r="V72" i="6"/>
  <c r="W72" i="6"/>
  <c r="X72" i="6"/>
  <c r="Y72" i="6"/>
  <c r="Z72" i="6"/>
  <c r="R73" i="6"/>
  <c r="S73" i="6"/>
  <c r="T73" i="6"/>
  <c r="U73" i="6"/>
  <c r="V73" i="6"/>
  <c r="W73" i="6"/>
  <c r="X73" i="6"/>
  <c r="Y73" i="6"/>
  <c r="Z73" i="6"/>
  <c r="R74" i="6"/>
  <c r="S74" i="6"/>
  <c r="T74" i="6"/>
  <c r="U74" i="6"/>
  <c r="V74" i="6"/>
  <c r="W74" i="6"/>
  <c r="X74" i="6"/>
  <c r="Z74" i="6"/>
  <c r="R75" i="6"/>
  <c r="S75" i="6"/>
  <c r="V75" i="6"/>
  <c r="W75" i="6"/>
  <c r="X75" i="6"/>
  <c r="Y75" i="6"/>
  <c r="R76" i="6"/>
  <c r="S76" i="6"/>
  <c r="V76" i="6"/>
  <c r="W76" i="6"/>
  <c r="X76" i="6"/>
  <c r="Y76" i="6"/>
  <c r="Z76" i="6"/>
  <c r="R77" i="6"/>
  <c r="S77" i="6"/>
  <c r="V77" i="6"/>
  <c r="W77" i="6"/>
  <c r="X77" i="6"/>
  <c r="Y77" i="6"/>
  <c r="Z77" i="6"/>
  <c r="R78" i="6"/>
  <c r="S78" i="6"/>
  <c r="T78" i="6"/>
  <c r="U78" i="6"/>
  <c r="V78" i="6"/>
  <c r="W78" i="6"/>
  <c r="X78" i="6"/>
  <c r="Y78" i="6"/>
  <c r="Z78" i="6"/>
  <c r="Q70" i="6"/>
  <c r="Q71" i="6"/>
  <c r="Q72" i="6"/>
  <c r="Q73" i="6"/>
  <c r="Q74" i="6"/>
  <c r="Q75" i="6"/>
  <c r="Q76" i="6"/>
  <c r="Q77" i="6"/>
  <c r="Q78" i="6"/>
  <c r="Q69" i="6"/>
  <c r="R58" i="6"/>
  <c r="S58" i="6"/>
  <c r="T58" i="6"/>
  <c r="U58" i="6"/>
  <c r="V58" i="6"/>
  <c r="W58" i="6"/>
  <c r="X58" i="6"/>
  <c r="Z58" i="6"/>
  <c r="R59" i="6"/>
  <c r="S59" i="6"/>
  <c r="T59" i="6"/>
  <c r="U59" i="6"/>
  <c r="V59" i="6"/>
  <c r="W59" i="6"/>
  <c r="X59" i="6"/>
  <c r="Z59" i="6"/>
  <c r="R60" i="6"/>
  <c r="S60" i="6"/>
  <c r="T60" i="6"/>
  <c r="U60" i="6"/>
  <c r="V60" i="6"/>
  <c r="W60" i="6"/>
  <c r="X60" i="6"/>
  <c r="Y60" i="6"/>
  <c r="Z60" i="6"/>
  <c r="R61" i="6"/>
  <c r="S61" i="6"/>
  <c r="T61" i="6"/>
  <c r="U61" i="6"/>
  <c r="V61" i="6"/>
  <c r="W61" i="6"/>
  <c r="X61" i="6"/>
  <c r="Y61" i="6"/>
  <c r="Z61" i="6"/>
  <c r="R62" i="6"/>
  <c r="S62" i="6"/>
  <c r="T62" i="6"/>
  <c r="U62" i="6"/>
  <c r="V62" i="6"/>
  <c r="W62" i="6"/>
  <c r="X62" i="6"/>
  <c r="Y62" i="6"/>
  <c r="Z62" i="6"/>
  <c r="R63" i="6"/>
  <c r="S63" i="6"/>
  <c r="T63" i="6"/>
  <c r="U63" i="6"/>
  <c r="V63" i="6"/>
  <c r="W63" i="6"/>
  <c r="X63" i="6"/>
  <c r="Z63" i="6"/>
  <c r="R64" i="6"/>
  <c r="S64" i="6"/>
  <c r="V64" i="6"/>
  <c r="W64" i="6"/>
  <c r="X64" i="6"/>
  <c r="Y64" i="6"/>
  <c r="R65" i="6"/>
  <c r="S65" i="6"/>
  <c r="V65" i="6"/>
  <c r="W65" i="6"/>
  <c r="X65" i="6"/>
  <c r="Y65" i="6"/>
  <c r="Z65" i="6"/>
  <c r="R66" i="6"/>
  <c r="S66" i="6"/>
  <c r="T66" i="6"/>
  <c r="U66" i="6"/>
  <c r="V66" i="6"/>
  <c r="W66" i="6"/>
  <c r="X66" i="6"/>
  <c r="Y66" i="6"/>
  <c r="Z66" i="6"/>
  <c r="R67" i="6"/>
  <c r="S67" i="6"/>
  <c r="T67" i="6"/>
  <c r="U67" i="6"/>
  <c r="V67" i="6"/>
  <c r="W67" i="6"/>
  <c r="X67" i="6"/>
  <c r="Y67" i="6"/>
  <c r="Z67" i="6"/>
  <c r="Q59" i="6"/>
  <c r="Q60" i="6"/>
  <c r="Q61" i="6"/>
  <c r="Q62" i="6"/>
  <c r="Q63" i="6"/>
  <c r="Q64" i="6"/>
  <c r="Q65" i="6"/>
  <c r="Q66" i="6"/>
  <c r="Q67" i="6"/>
  <c r="Q58" i="6"/>
  <c r="R47" i="6"/>
  <c r="S47" i="6"/>
  <c r="T47" i="6"/>
  <c r="U47" i="6"/>
  <c r="V47" i="6"/>
  <c r="X47" i="6"/>
  <c r="Z47" i="6"/>
  <c r="R48" i="6"/>
  <c r="S48" i="6"/>
  <c r="T48" i="6"/>
  <c r="U48" i="6"/>
  <c r="V48" i="6"/>
  <c r="W48" i="6"/>
  <c r="X48" i="6"/>
  <c r="Z48" i="6"/>
  <c r="R49" i="6"/>
  <c r="S49" i="6"/>
  <c r="T49" i="6"/>
  <c r="U49" i="6"/>
  <c r="V49" i="6"/>
  <c r="W49" i="6"/>
  <c r="X49" i="6"/>
  <c r="Y49" i="6"/>
  <c r="Z49" i="6"/>
  <c r="R50" i="6"/>
  <c r="S50" i="6"/>
  <c r="T50" i="6"/>
  <c r="U50" i="6"/>
  <c r="V50" i="6"/>
  <c r="W50" i="6"/>
  <c r="X50" i="6"/>
  <c r="Y50" i="6"/>
  <c r="Z50" i="6"/>
  <c r="R51" i="6"/>
  <c r="S51" i="6"/>
  <c r="T51" i="6"/>
  <c r="U51" i="6"/>
  <c r="V51" i="6"/>
  <c r="W51" i="6"/>
  <c r="X51" i="6"/>
  <c r="Y51" i="6"/>
  <c r="Z51" i="6"/>
  <c r="R52" i="6"/>
  <c r="S52" i="6"/>
  <c r="T52" i="6"/>
  <c r="U52" i="6"/>
  <c r="V52" i="6"/>
  <c r="W52" i="6"/>
  <c r="X52" i="6"/>
  <c r="Y52" i="6"/>
  <c r="Z52" i="6"/>
  <c r="R53" i="6"/>
  <c r="S53" i="6"/>
  <c r="V53" i="6"/>
  <c r="W53" i="6"/>
  <c r="X53" i="6"/>
  <c r="Y53" i="6"/>
  <c r="Z53" i="6"/>
  <c r="R54" i="6"/>
  <c r="S54" i="6"/>
  <c r="V54" i="6"/>
  <c r="W54" i="6"/>
  <c r="X54" i="6"/>
  <c r="Y54" i="6"/>
  <c r="Z54" i="6"/>
  <c r="R55" i="6"/>
  <c r="S55" i="6"/>
  <c r="T55" i="6"/>
  <c r="U55" i="6"/>
  <c r="V55" i="6"/>
  <c r="W55" i="6"/>
  <c r="X55" i="6"/>
  <c r="Y55" i="6"/>
  <c r="Z55" i="6"/>
  <c r="R56" i="6"/>
  <c r="S56" i="6"/>
  <c r="T56" i="6"/>
  <c r="V56" i="6"/>
  <c r="W56" i="6"/>
  <c r="X56" i="6"/>
  <c r="Y56" i="6"/>
  <c r="Z56" i="6"/>
  <c r="Q48" i="6"/>
  <c r="Q49" i="6"/>
  <c r="Q50" i="6"/>
  <c r="Q51" i="6"/>
  <c r="Q52" i="6"/>
  <c r="Q53" i="6"/>
  <c r="Q54" i="6"/>
  <c r="Q55" i="6"/>
  <c r="Q56" i="6"/>
  <c r="Q47" i="6"/>
  <c r="J3" i="6"/>
  <c r="Z11" i="8" l="1"/>
  <c r="AB11" i="8"/>
  <c r="O18" i="8"/>
  <c r="I21" i="8"/>
  <c r="I28" i="8"/>
  <c r="O17" i="8"/>
  <c r="J27" i="8"/>
  <c r="AA12" i="8"/>
  <c r="E25" i="8"/>
  <c r="F26" i="8"/>
  <c r="AB12" i="8"/>
  <c r="G25" i="8"/>
  <c r="J26" i="8"/>
  <c r="F19" i="8"/>
  <c r="H25" i="8"/>
  <c r="G19" i="8"/>
  <c r="J25" i="8"/>
  <c r="M25" i="8"/>
  <c r="D25" i="8"/>
  <c r="N25" i="8"/>
  <c r="O19" i="8"/>
  <c r="N20" i="8"/>
  <c r="O26" i="8"/>
  <c r="I17" i="8"/>
  <c r="O20" i="8"/>
  <c r="F25" i="8"/>
  <c r="N27" i="8"/>
  <c r="J21" i="8"/>
  <c r="O27" i="8"/>
  <c r="I18" i="8"/>
  <c r="O21" i="8"/>
  <c r="I25" i="8"/>
  <c r="G26" i="8"/>
  <c r="O28" i="8"/>
  <c r="I31" i="8"/>
  <c r="I19" i="8"/>
  <c r="G20" i="8"/>
  <c r="O22" i="8"/>
  <c r="H26" i="8"/>
  <c r="X6" i="8"/>
  <c r="H20" i="8"/>
  <c r="I26" i="8"/>
  <c r="O29" i="8"/>
  <c r="I20" i="8"/>
  <c r="AG32" i="4"/>
  <c r="D43" i="6"/>
  <c r="E43" i="6"/>
  <c r="F43" i="6"/>
  <c r="G43" i="6"/>
  <c r="H43" i="6"/>
  <c r="I43" i="6"/>
  <c r="J43" i="6"/>
  <c r="K43" i="6"/>
  <c r="L43" i="6"/>
  <c r="D44" i="6"/>
  <c r="E44" i="6"/>
  <c r="F44" i="6"/>
  <c r="G44" i="6"/>
  <c r="H44" i="6"/>
  <c r="I44" i="6"/>
  <c r="J44" i="6"/>
  <c r="K44" i="6"/>
  <c r="L44" i="6"/>
  <c r="D45" i="6"/>
  <c r="E45" i="6"/>
  <c r="F45" i="6"/>
  <c r="G45" i="6"/>
  <c r="H45" i="6"/>
  <c r="I45" i="6"/>
  <c r="J45" i="6"/>
  <c r="K45" i="6"/>
  <c r="L45" i="6"/>
  <c r="D46" i="6"/>
  <c r="E46" i="6"/>
  <c r="F46" i="6"/>
  <c r="G46" i="6"/>
  <c r="H46" i="6"/>
  <c r="I46" i="6"/>
  <c r="J46" i="6"/>
  <c r="K46" i="6"/>
  <c r="L46" i="6"/>
  <c r="D47" i="6"/>
  <c r="E47" i="6"/>
  <c r="F47" i="6"/>
  <c r="G47" i="6"/>
  <c r="H47" i="6"/>
  <c r="I47" i="6"/>
  <c r="J47" i="6"/>
  <c r="K47" i="6"/>
  <c r="L47" i="6"/>
  <c r="D48" i="6"/>
  <c r="E48" i="6"/>
  <c r="F48" i="6"/>
  <c r="G48" i="6"/>
  <c r="H48" i="6"/>
  <c r="I48" i="6"/>
  <c r="J48" i="6"/>
  <c r="K48" i="6"/>
  <c r="L48" i="6"/>
  <c r="D49" i="6"/>
  <c r="E49" i="6"/>
  <c r="F49" i="6"/>
  <c r="G49" i="6"/>
  <c r="H49" i="6"/>
  <c r="I49" i="6"/>
  <c r="J49" i="6"/>
  <c r="K49" i="6"/>
  <c r="L49" i="6"/>
  <c r="D50" i="6"/>
  <c r="E50" i="6"/>
  <c r="F50" i="6"/>
  <c r="G50" i="6"/>
  <c r="H50" i="6"/>
  <c r="I50" i="6"/>
  <c r="J50" i="6"/>
  <c r="K50" i="6"/>
  <c r="L50" i="6"/>
  <c r="D51" i="6"/>
  <c r="E51" i="6"/>
  <c r="F51" i="6"/>
  <c r="G51" i="6"/>
  <c r="H51" i="6"/>
  <c r="I51" i="6"/>
  <c r="J51" i="6"/>
  <c r="K51" i="6"/>
  <c r="L51" i="6"/>
  <c r="D52" i="6"/>
  <c r="E52" i="6"/>
  <c r="F52" i="6"/>
  <c r="G52" i="6"/>
  <c r="H52" i="6"/>
  <c r="I52" i="6"/>
  <c r="J52" i="6"/>
  <c r="K52" i="6"/>
  <c r="L52" i="6"/>
  <c r="C44" i="6"/>
  <c r="C45" i="6"/>
  <c r="C46" i="6"/>
  <c r="C47" i="6"/>
  <c r="C48" i="6"/>
  <c r="C49" i="6"/>
  <c r="C50" i="6"/>
  <c r="C51" i="6"/>
  <c r="C52" i="6"/>
  <c r="C43" i="6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65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34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" i="4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" i="7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" i="3"/>
  <c r="M60" i="6"/>
  <c r="L60" i="6"/>
  <c r="D32" i="6"/>
  <c r="E32" i="6"/>
  <c r="F32" i="6"/>
  <c r="G32" i="6"/>
  <c r="H32" i="6"/>
  <c r="I32" i="6"/>
  <c r="J32" i="6"/>
  <c r="K32" i="6"/>
  <c r="L32" i="6"/>
  <c r="D33" i="6"/>
  <c r="E33" i="6"/>
  <c r="F33" i="6"/>
  <c r="G33" i="6"/>
  <c r="H33" i="6"/>
  <c r="I33" i="6"/>
  <c r="J33" i="6"/>
  <c r="K33" i="6"/>
  <c r="L33" i="6"/>
  <c r="D34" i="6"/>
  <c r="E34" i="6"/>
  <c r="F34" i="6"/>
  <c r="G34" i="6"/>
  <c r="H34" i="6"/>
  <c r="I34" i="6"/>
  <c r="J34" i="6"/>
  <c r="K34" i="6"/>
  <c r="L34" i="6"/>
  <c r="D35" i="6"/>
  <c r="E35" i="6"/>
  <c r="F35" i="6"/>
  <c r="G35" i="6"/>
  <c r="H35" i="6"/>
  <c r="I35" i="6"/>
  <c r="J35" i="6"/>
  <c r="K35" i="6"/>
  <c r="L35" i="6"/>
  <c r="D36" i="6"/>
  <c r="E36" i="6"/>
  <c r="F36" i="6"/>
  <c r="G36" i="6"/>
  <c r="H36" i="6"/>
  <c r="I36" i="6"/>
  <c r="J36" i="6"/>
  <c r="K36" i="6"/>
  <c r="L36" i="6"/>
  <c r="D37" i="6"/>
  <c r="E37" i="6"/>
  <c r="F37" i="6"/>
  <c r="G37" i="6"/>
  <c r="H37" i="6"/>
  <c r="I37" i="6"/>
  <c r="J37" i="6"/>
  <c r="K37" i="6"/>
  <c r="L37" i="6"/>
  <c r="D38" i="6"/>
  <c r="E38" i="6"/>
  <c r="F38" i="6"/>
  <c r="G38" i="6"/>
  <c r="H38" i="6"/>
  <c r="I38" i="6"/>
  <c r="J38" i="6"/>
  <c r="K38" i="6"/>
  <c r="L38" i="6"/>
  <c r="D39" i="6"/>
  <c r="E39" i="6"/>
  <c r="F39" i="6"/>
  <c r="G39" i="6"/>
  <c r="H39" i="6"/>
  <c r="I39" i="6"/>
  <c r="J39" i="6"/>
  <c r="K39" i="6"/>
  <c r="L39" i="6"/>
  <c r="D40" i="6"/>
  <c r="E40" i="6"/>
  <c r="F40" i="6"/>
  <c r="G40" i="6"/>
  <c r="H40" i="6"/>
  <c r="I40" i="6"/>
  <c r="J40" i="6"/>
  <c r="K40" i="6"/>
  <c r="L40" i="6"/>
  <c r="D41" i="6"/>
  <c r="E41" i="6"/>
  <c r="F41" i="6"/>
  <c r="G41" i="6"/>
  <c r="H41" i="6"/>
  <c r="I41" i="6"/>
  <c r="J41" i="6"/>
  <c r="K41" i="6"/>
  <c r="L41" i="6"/>
  <c r="C33" i="6"/>
  <c r="C34" i="6"/>
  <c r="C35" i="6"/>
  <c r="C36" i="6"/>
  <c r="C37" i="6"/>
  <c r="C38" i="6"/>
  <c r="C39" i="6"/>
  <c r="C40" i="6"/>
  <c r="C41" i="6"/>
  <c r="C32" i="6"/>
  <c r="C18" i="6"/>
  <c r="D18" i="6"/>
  <c r="E18" i="6"/>
  <c r="F18" i="6"/>
  <c r="G18" i="6"/>
  <c r="H18" i="6"/>
  <c r="I18" i="6"/>
  <c r="J18" i="6"/>
  <c r="K18" i="6"/>
  <c r="L18" i="6"/>
  <c r="D19" i="6"/>
  <c r="E19" i="6"/>
  <c r="F19" i="6"/>
  <c r="G19" i="6"/>
  <c r="H19" i="6"/>
  <c r="I19" i="6"/>
  <c r="J19" i="6"/>
  <c r="K19" i="6"/>
  <c r="L19" i="6"/>
  <c r="D20" i="6"/>
  <c r="E20" i="6"/>
  <c r="F20" i="6"/>
  <c r="G20" i="6"/>
  <c r="H20" i="6"/>
  <c r="I20" i="6"/>
  <c r="J20" i="6"/>
  <c r="K20" i="6"/>
  <c r="L20" i="6"/>
  <c r="D21" i="6"/>
  <c r="E21" i="6"/>
  <c r="F21" i="6"/>
  <c r="G21" i="6"/>
  <c r="H21" i="6"/>
  <c r="I21" i="6"/>
  <c r="J21" i="6"/>
  <c r="K21" i="6"/>
  <c r="L21" i="6"/>
  <c r="D22" i="6"/>
  <c r="E22" i="6"/>
  <c r="F22" i="6"/>
  <c r="G22" i="6"/>
  <c r="H22" i="6"/>
  <c r="I22" i="6"/>
  <c r="J22" i="6"/>
  <c r="K22" i="6"/>
  <c r="L22" i="6"/>
  <c r="D23" i="6"/>
  <c r="E23" i="6"/>
  <c r="F23" i="6"/>
  <c r="G23" i="6"/>
  <c r="H23" i="6"/>
  <c r="I23" i="6"/>
  <c r="J23" i="6"/>
  <c r="K23" i="6"/>
  <c r="L23" i="6"/>
  <c r="D24" i="6"/>
  <c r="E24" i="6"/>
  <c r="F24" i="6"/>
  <c r="G24" i="6"/>
  <c r="H24" i="6"/>
  <c r="I24" i="6"/>
  <c r="J24" i="6"/>
  <c r="K24" i="6"/>
  <c r="L24" i="6"/>
  <c r="D25" i="6"/>
  <c r="E25" i="6"/>
  <c r="F25" i="6"/>
  <c r="G25" i="6"/>
  <c r="H25" i="6"/>
  <c r="I25" i="6"/>
  <c r="J25" i="6"/>
  <c r="K25" i="6"/>
  <c r="L25" i="6"/>
  <c r="D26" i="6"/>
  <c r="E26" i="6"/>
  <c r="F26" i="6"/>
  <c r="G26" i="6"/>
  <c r="H26" i="6"/>
  <c r="I26" i="6"/>
  <c r="J26" i="6"/>
  <c r="K26" i="6"/>
  <c r="L26" i="6"/>
  <c r="D27" i="6"/>
  <c r="E27" i="6"/>
  <c r="F27" i="6"/>
  <c r="G27" i="6"/>
  <c r="H27" i="6"/>
  <c r="I27" i="6"/>
  <c r="J27" i="6"/>
  <c r="K27" i="6"/>
  <c r="L27" i="6"/>
  <c r="C19" i="6"/>
  <c r="C20" i="6"/>
  <c r="C21" i="6"/>
  <c r="C22" i="6"/>
  <c r="C23" i="6"/>
  <c r="C24" i="6"/>
  <c r="C25" i="6"/>
  <c r="C26" i="6"/>
  <c r="C27" i="6"/>
  <c r="I65" i="6" l="1"/>
  <c r="T19" i="6"/>
  <c r="V20" i="6"/>
  <c r="W20" i="6"/>
  <c r="Y21" i="6"/>
  <c r="Z21" i="6"/>
  <c r="V24" i="6"/>
  <c r="W24" i="6"/>
  <c r="Y25" i="6"/>
  <c r="Z25" i="6"/>
  <c r="R27" i="6"/>
  <c r="S27" i="6"/>
  <c r="T27" i="6"/>
  <c r="X27" i="6"/>
  <c r="R20" i="6"/>
  <c r="T21" i="6"/>
  <c r="V22" i="6"/>
  <c r="X23" i="6"/>
  <c r="Z24" i="6"/>
  <c r="R26" i="6"/>
  <c r="Z27" i="6"/>
  <c r="Y26" i="6"/>
  <c r="Z26" i="6"/>
  <c r="W27" i="6"/>
  <c r="Q27" i="6"/>
  <c r="V27" i="6"/>
  <c r="Y27" i="6"/>
  <c r="X26" i="6"/>
  <c r="W26" i="6"/>
  <c r="V26" i="6"/>
  <c r="S26" i="6"/>
  <c r="Q26" i="6"/>
  <c r="X25" i="6"/>
  <c r="W25" i="6"/>
  <c r="V25" i="6"/>
  <c r="S25" i="6"/>
  <c r="R25" i="6"/>
  <c r="Q25" i="6"/>
  <c r="Y24" i="6"/>
  <c r="X24" i="6"/>
  <c r="S24" i="6"/>
  <c r="R24" i="6"/>
  <c r="Q24" i="6"/>
  <c r="Z23" i="6"/>
  <c r="Y23" i="6"/>
  <c r="W23" i="6"/>
  <c r="V23" i="6"/>
  <c r="R23" i="6"/>
  <c r="Q23" i="6"/>
  <c r="Z22" i="6"/>
  <c r="Y22" i="6"/>
  <c r="X22" i="6"/>
  <c r="W22" i="6"/>
  <c r="U22" i="6"/>
  <c r="T22" i="6"/>
  <c r="S22" i="6"/>
  <c r="R22" i="6"/>
  <c r="Q22" i="6"/>
  <c r="X21" i="6"/>
  <c r="W21" i="6"/>
  <c r="V21" i="6"/>
  <c r="U21" i="6"/>
  <c r="S21" i="6"/>
  <c r="R21" i="6"/>
  <c r="Q21" i="6"/>
  <c r="Y20" i="6"/>
  <c r="X20" i="6"/>
  <c r="U20" i="6"/>
  <c r="T20" i="6"/>
  <c r="S20" i="6"/>
  <c r="Q20" i="6"/>
  <c r="W19" i="6"/>
  <c r="V19" i="6"/>
  <c r="U19" i="6"/>
  <c r="S19" i="6"/>
  <c r="R19" i="6"/>
  <c r="Q19" i="6"/>
  <c r="V18" i="6"/>
  <c r="U18" i="6"/>
  <c r="T18" i="6"/>
  <c r="S18" i="6"/>
  <c r="R18" i="6"/>
  <c r="G12" i="6"/>
  <c r="G11" i="6"/>
  <c r="G10" i="6"/>
  <c r="G9" i="6"/>
  <c r="G8" i="6"/>
  <c r="G7" i="6"/>
  <c r="G6" i="6"/>
  <c r="G5" i="6"/>
  <c r="G4" i="6"/>
  <c r="H3" i="6"/>
  <c r="H4" i="6" s="1"/>
  <c r="H5" i="6" s="1"/>
  <c r="H6" i="6" s="1"/>
  <c r="H7" i="6" s="1"/>
  <c r="H8" i="6" s="1"/>
  <c r="H9" i="6" s="1"/>
  <c r="H10" i="6" s="1"/>
  <c r="H11" i="6" s="1"/>
  <c r="H12" i="6" s="1"/>
  <c r="H13" i="6" s="1"/>
  <c r="G3" i="6"/>
  <c r="H6" i="5"/>
  <c r="I6" i="5"/>
  <c r="J6" i="5"/>
  <c r="K6" i="5"/>
  <c r="L6" i="5"/>
  <c r="G6" i="5"/>
  <c r="H8" i="5"/>
  <c r="I8" i="5"/>
  <c r="J8" i="5"/>
  <c r="K8" i="5"/>
  <c r="L8" i="5"/>
  <c r="G8" i="5"/>
  <c r="H10" i="5"/>
  <c r="I10" i="5"/>
  <c r="J10" i="5"/>
  <c r="K10" i="5"/>
  <c r="G10" i="5"/>
  <c r="H12" i="5"/>
  <c r="I12" i="5"/>
  <c r="J12" i="5"/>
  <c r="G12" i="5"/>
  <c r="H14" i="5"/>
  <c r="I14" i="5"/>
  <c r="J14" i="5"/>
  <c r="G14" i="5"/>
  <c r="H16" i="5"/>
  <c r="I16" i="5"/>
  <c r="J16" i="5"/>
  <c r="K16" i="5"/>
  <c r="L16" i="5"/>
  <c r="G16" i="5"/>
  <c r="H18" i="5"/>
  <c r="I18" i="5"/>
  <c r="J18" i="5"/>
  <c r="K18" i="5"/>
  <c r="L18" i="5"/>
  <c r="G18" i="5"/>
  <c r="H20" i="5"/>
  <c r="I20" i="5"/>
  <c r="J20" i="5"/>
  <c r="G20" i="5"/>
  <c r="H22" i="5"/>
  <c r="I22" i="5"/>
  <c r="J22" i="5"/>
  <c r="K22" i="5"/>
  <c r="L22" i="5"/>
  <c r="G22" i="5"/>
  <c r="H24" i="5"/>
  <c r="I24" i="5"/>
  <c r="J24" i="5"/>
  <c r="K24" i="5"/>
  <c r="G24" i="5"/>
  <c r="H26" i="5"/>
  <c r="I26" i="5"/>
  <c r="J26" i="5"/>
  <c r="K26" i="5"/>
  <c r="L26" i="5"/>
  <c r="G26" i="5"/>
  <c r="I4" i="5"/>
  <c r="J4" i="5"/>
  <c r="H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H65" i="1"/>
  <c r="I65" i="1"/>
  <c r="J65" i="1"/>
  <c r="K65" i="1"/>
  <c r="L65" i="1"/>
  <c r="G65" i="1"/>
  <c r="H63" i="1"/>
  <c r="I63" i="1"/>
  <c r="J63" i="1"/>
  <c r="K63" i="1"/>
  <c r="G63" i="1"/>
  <c r="H61" i="1"/>
  <c r="I61" i="1"/>
  <c r="J61" i="1"/>
  <c r="K61" i="1"/>
  <c r="L61" i="1"/>
  <c r="G61" i="1"/>
  <c r="H59" i="1"/>
  <c r="I59" i="1"/>
  <c r="J59" i="1"/>
  <c r="G59" i="1"/>
  <c r="H57" i="1"/>
  <c r="I57" i="1"/>
  <c r="J57" i="1"/>
  <c r="K57" i="1"/>
  <c r="L57" i="1"/>
  <c r="G57" i="1"/>
  <c r="H55" i="1"/>
  <c r="I55" i="1"/>
  <c r="J55" i="1"/>
  <c r="K55" i="1"/>
  <c r="L55" i="1"/>
  <c r="G55" i="1"/>
  <c r="H53" i="1"/>
  <c r="I53" i="1"/>
  <c r="J53" i="1"/>
  <c r="G53" i="1"/>
  <c r="H51" i="1"/>
  <c r="I51" i="1"/>
  <c r="J51" i="1"/>
  <c r="G51" i="1"/>
  <c r="H49" i="1"/>
  <c r="I49" i="1"/>
  <c r="J49" i="1"/>
  <c r="K49" i="1"/>
  <c r="G49" i="1"/>
  <c r="H47" i="1"/>
  <c r="I47" i="1"/>
  <c r="J47" i="1"/>
  <c r="K47" i="1"/>
  <c r="L47" i="1"/>
  <c r="G47" i="1"/>
  <c r="H45" i="1"/>
  <c r="I45" i="1"/>
  <c r="J45" i="1"/>
  <c r="K45" i="1"/>
  <c r="L45" i="1"/>
  <c r="G45" i="1"/>
  <c r="I43" i="1"/>
  <c r="J43" i="1"/>
  <c r="H43" i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D3" i="2" l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" i="2"/>
  <c r="G25" i="1"/>
  <c r="G11" i="1"/>
  <c r="G12" i="1"/>
  <c r="G13" i="1"/>
  <c r="G14" i="1"/>
  <c r="G15" i="1"/>
  <c r="G26" i="1"/>
  <c r="G27" i="1"/>
  <c r="G4" i="1"/>
  <c r="G5" i="1"/>
  <c r="G6" i="1"/>
  <c r="G7" i="1"/>
  <c r="G8" i="1"/>
  <c r="G9" i="1"/>
  <c r="G10" i="1"/>
  <c r="G16" i="1"/>
  <c r="G17" i="1"/>
  <c r="G18" i="1"/>
  <c r="G19" i="1"/>
  <c r="G20" i="1"/>
  <c r="G21" i="1"/>
  <c r="G22" i="1"/>
  <c r="G23" i="1"/>
  <c r="G24" i="1"/>
  <c r="G28" i="1"/>
  <c r="G29" i="1"/>
  <c r="G30" i="1"/>
  <c r="G31" i="1"/>
  <c r="G32" i="1"/>
  <c r="G3" i="1"/>
</calcChain>
</file>

<file path=xl/sharedStrings.xml><?xml version="1.0" encoding="utf-8"?>
<sst xmlns="http://schemas.openxmlformats.org/spreadsheetml/2006/main" count="1029" uniqueCount="73">
  <si>
    <t>trip_id</t>
  </si>
  <si>
    <t>duration</t>
  </si>
  <si>
    <t>dep_terminal</t>
  </si>
  <si>
    <t>arr_terminal</t>
  </si>
  <si>
    <t>dep_time</t>
  </si>
  <si>
    <t>arr_time</t>
  </si>
  <si>
    <t>AB1</t>
  </si>
  <si>
    <t>Terminal A</t>
  </si>
  <si>
    <t>Terminal B</t>
  </si>
  <si>
    <t>AB2</t>
  </si>
  <si>
    <t>AB3</t>
  </si>
  <si>
    <t>AB4</t>
  </si>
  <si>
    <t>AB5</t>
  </si>
  <si>
    <t>AB6</t>
  </si>
  <si>
    <t>AB7</t>
  </si>
  <si>
    <t>AB8</t>
  </si>
  <si>
    <t>Terminal</t>
  </si>
  <si>
    <t>Min_Layover</t>
  </si>
  <si>
    <t>AC1</t>
  </si>
  <si>
    <t>Terminal C</t>
  </si>
  <si>
    <t>AC2</t>
  </si>
  <si>
    <t>AC3</t>
  </si>
  <si>
    <t>AC4</t>
  </si>
  <si>
    <t>AC5</t>
  </si>
  <si>
    <t>AD1</t>
  </si>
  <si>
    <t>Terminal D</t>
  </si>
  <si>
    <t>BA1</t>
  </si>
  <si>
    <t>BA2</t>
  </si>
  <si>
    <t>BA3</t>
  </si>
  <si>
    <t>BA4</t>
  </si>
  <si>
    <t>BA5</t>
  </si>
  <si>
    <t>BA6</t>
  </si>
  <si>
    <t>BA7</t>
  </si>
  <si>
    <t>BA8</t>
  </si>
  <si>
    <t>CA1</t>
  </si>
  <si>
    <t>CA2</t>
  </si>
  <si>
    <t>CA3</t>
  </si>
  <si>
    <t>CA4</t>
  </si>
  <si>
    <t>CA5</t>
  </si>
  <si>
    <t>CD1</t>
  </si>
  <si>
    <t>DA1</t>
  </si>
  <si>
    <t>DC1</t>
  </si>
  <si>
    <t>CS</t>
  </si>
  <si>
    <t>(MAX_DURATION == 500, time to recharge = 100 seconds)</t>
  </si>
  <si>
    <t>Duration to CS</t>
  </si>
  <si>
    <t>MAX_DURATION</t>
  </si>
  <si>
    <t>cost_to_cs</t>
  </si>
  <si>
    <t>DEPOT</t>
  </si>
  <si>
    <t>-</t>
  </si>
  <si>
    <t>CS1</t>
  </si>
  <si>
    <t>Solution</t>
  </si>
  <si>
    <t>CPLEX</t>
  </si>
  <si>
    <t>ID</t>
  </si>
  <si>
    <t>Trips</t>
  </si>
  <si>
    <t>RESULTS</t>
  </si>
  <si>
    <t>(MAX_DURATION == 500, time to recharge = 100mins)</t>
  </si>
  <si>
    <t>\gamma</t>
  </si>
  <si>
    <t>\delta</t>
  </si>
  <si>
    <t>\phi</t>
  </si>
  <si>
    <t>CS2</t>
  </si>
  <si>
    <t>CS3</t>
  </si>
  <si>
    <t>phi</t>
  </si>
  <si>
    <t>\zeta</t>
  </si>
  <si>
    <t>r</t>
  </si>
  <si>
    <t>i</t>
  </si>
  <si>
    <t>j</t>
  </si>
  <si>
    <t>x</t>
  </si>
  <si>
    <t>y</t>
  </si>
  <si>
    <t>ZETA</t>
  </si>
  <si>
    <t>TMAX</t>
  </si>
  <si>
    <t>dep_min</t>
  </si>
  <si>
    <t>arr_min</t>
  </si>
  <si>
    <t>IF(AND(SUM(VLOOKUP($A5,test!$A$3:$F$32,2,FALSE),VLOOKUP(V$1,test!$A$3:$F$32,2,FALSE))&lt;test!$K$16,$A5&lt;&gt;V$1,feasible_mat!V5=1),VLOOKUP(V$1,test!$A$3:$I$32,8,FALSE)-VLOOKUP($A5,test!$A$3:$I$32,9,FALSE),0)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</si>
</sst>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20" fontId="0" fillId="0" borderId="0" xfId="0" applyNumberFormat="1"/>
    <xf numFmtId="0" fontId="0" fillId="0" borderId="0" xfId="0" quotePrefix="1"/>
    <xf numFmtId="0" fontId="7" fillId="3" borderId="0" xfId="7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zoomScale="85" zoomScaleNormal="85" workbookViewId="0">
      <selection activeCell="A26" sqref="A26:XFD26"/>
    </sheetView>
  </sheetViews>
  <sheetFormatPr defaultRowHeight="15" x14ac:dyDescent="0.25"/>
  <cols>
    <col min="3" max="3" width="13.140625" bestFit="1" customWidth="1"/>
    <col min="4" max="4" width="12" bestFit="1" customWidth="1"/>
    <col min="9" max="9" width="10.5703125" bestFit="1" customWidth="1"/>
    <col min="11" max="11" width="10.7109375" bestFit="1" customWidth="1"/>
    <col min="14" max="14" width="5.5703125" bestFit="1" customWidth="1"/>
    <col min="15" max="44" width="5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46</v>
      </c>
      <c r="H1" t="s">
        <v>70</v>
      </c>
      <c r="I1" t="s">
        <v>71</v>
      </c>
    </row>
    <row r="2" spans="1:21" x14ac:dyDescent="0.25">
      <c r="A2" t="s">
        <v>47</v>
      </c>
      <c r="B2">
        <v>0</v>
      </c>
      <c r="C2" t="s">
        <v>48</v>
      </c>
      <c r="D2" t="s">
        <v>48</v>
      </c>
      <c r="E2" t="s">
        <v>48</v>
      </c>
      <c r="F2" t="s">
        <v>48</v>
      </c>
      <c r="G2">
        <v>20</v>
      </c>
      <c r="H2" t="s">
        <v>48</v>
      </c>
      <c r="I2" t="s">
        <v>48</v>
      </c>
    </row>
    <row r="3" spans="1:21" x14ac:dyDescent="0.25">
      <c r="A3" t="s">
        <v>6</v>
      </c>
      <c r="B3">
        <v>135</v>
      </c>
      <c r="C3" t="s">
        <v>7</v>
      </c>
      <c r="D3" t="s">
        <v>8</v>
      </c>
      <c r="E3" s="1">
        <v>0.3888888888888889</v>
      </c>
      <c r="F3" s="1">
        <v>0.4826388888888889</v>
      </c>
      <c r="G3">
        <f t="shared" ref="G3:G10" si="0">VLOOKUP(D3,$J$11:$L$14,3,FALSE)</f>
        <v>20</v>
      </c>
      <c r="H3">
        <f>ROUND(E3*1440,0)</f>
        <v>560</v>
      </c>
      <c r="I3">
        <f>ROUND(F3*1440,0)</f>
        <v>695</v>
      </c>
      <c r="U3">
        <v>1</v>
      </c>
    </row>
    <row r="4" spans="1:21" x14ac:dyDescent="0.25">
      <c r="A4" t="s">
        <v>9</v>
      </c>
      <c r="B4">
        <v>135</v>
      </c>
      <c r="C4" t="s">
        <v>7</v>
      </c>
      <c r="D4" t="s">
        <v>8</v>
      </c>
      <c r="E4" s="1">
        <v>0.51388888888888895</v>
      </c>
      <c r="F4" s="1">
        <v>0.60763888888888895</v>
      </c>
      <c r="G4">
        <f t="shared" si="0"/>
        <v>20</v>
      </c>
      <c r="H4">
        <f t="shared" ref="H4:I32" si="1">ROUND(E4*1440,0)</f>
        <v>740</v>
      </c>
      <c r="I4">
        <f t="shared" si="1"/>
        <v>875</v>
      </c>
      <c r="U4">
        <f>U3+1</f>
        <v>2</v>
      </c>
    </row>
    <row r="5" spans="1:21" x14ac:dyDescent="0.25">
      <c r="A5" t="s">
        <v>10</v>
      </c>
      <c r="B5">
        <v>135</v>
      </c>
      <c r="C5" t="s">
        <v>7</v>
      </c>
      <c r="D5" t="s">
        <v>8</v>
      </c>
      <c r="E5" s="1">
        <v>0.57638888888888895</v>
      </c>
      <c r="F5" s="1">
        <v>0.67013888888888884</v>
      </c>
      <c r="G5">
        <f t="shared" si="0"/>
        <v>20</v>
      </c>
      <c r="H5">
        <f t="shared" si="1"/>
        <v>830</v>
      </c>
      <c r="I5">
        <f t="shared" si="1"/>
        <v>965</v>
      </c>
      <c r="U5">
        <f t="shared" ref="U5:U32" si="2">U4+1</f>
        <v>3</v>
      </c>
    </row>
    <row r="6" spans="1:21" x14ac:dyDescent="0.25">
      <c r="A6" t="s">
        <v>11</v>
      </c>
      <c r="B6">
        <v>135</v>
      </c>
      <c r="C6" t="s">
        <v>7</v>
      </c>
      <c r="D6" t="s">
        <v>8</v>
      </c>
      <c r="E6" s="1">
        <v>0.63888888888888895</v>
      </c>
      <c r="F6" s="1">
        <v>0.73263888888888884</v>
      </c>
      <c r="G6">
        <f t="shared" si="0"/>
        <v>20</v>
      </c>
      <c r="H6">
        <f t="shared" si="1"/>
        <v>920</v>
      </c>
      <c r="I6">
        <f t="shared" si="1"/>
        <v>1055</v>
      </c>
      <c r="U6">
        <f t="shared" si="2"/>
        <v>4</v>
      </c>
    </row>
    <row r="7" spans="1:21" x14ac:dyDescent="0.25">
      <c r="A7" t="s">
        <v>12</v>
      </c>
      <c r="B7">
        <v>135</v>
      </c>
      <c r="C7" t="s">
        <v>7</v>
      </c>
      <c r="D7" t="s">
        <v>8</v>
      </c>
      <c r="E7" s="1">
        <v>0.68055555555555547</v>
      </c>
      <c r="F7" s="1">
        <v>0.77430555555555547</v>
      </c>
      <c r="G7">
        <f t="shared" si="0"/>
        <v>20</v>
      </c>
      <c r="H7">
        <f t="shared" si="1"/>
        <v>980</v>
      </c>
      <c r="I7">
        <f t="shared" si="1"/>
        <v>1115</v>
      </c>
      <c r="U7">
        <f t="shared" si="2"/>
        <v>5</v>
      </c>
    </row>
    <row r="8" spans="1:21" x14ac:dyDescent="0.25">
      <c r="A8" t="s">
        <v>13</v>
      </c>
      <c r="B8">
        <v>135</v>
      </c>
      <c r="C8" t="s">
        <v>7</v>
      </c>
      <c r="D8" t="s">
        <v>8</v>
      </c>
      <c r="E8" s="1">
        <v>0.72222222222222221</v>
      </c>
      <c r="F8" s="1">
        <v>0.81597222222222221</v>
      </c>
      <c r="G8">
        <f t="shared" si="0"/>
        <v>20</v>
      </c>
      <c r="H8">
        <f t="shared" si="1"/>
        <v>1040</v>
      </c>
      <c r="I8">
        <f t="shared" si="1"/>
        <v>1175</v>
      </c>
      <c r="J8" t="s">
        <v>69</v>
      </c>
      <c r="K8" s="19">
        <f>MAX(F3:F32)*1440</f>
        <v>1355</v>
      </c>
      <c r="U8">
        <f t="shared" si="2"/>
        <v>6</v>
      </c>
    </row>
    <row r="9" spans="1:21" x14ac:dyDescent="0.25">
      <c r="A9" t="s">
        <v>14</v>
      </c>
      <c r="B9">
        <v>135</v>
      </c>
      <c r="C9" t="s">
        <v>7</v>
      </c>
      <c r="D9" t="s">
        <v>8</v>
      </c>
      <c r="E9" s="1">
        <v>0.76388888888888884</v>
      </c>
      <c r="F9" s="1">
        <v>0.85763888888888884</v>
      </c>
      <c r="G9">
        <f t="shared" si="0"/>
        <v>20</v>
      </c>
      <c r="H9">
        <f t="shared" si="1"/>
        <v>1100</v>
      </c>
      <c r="I9">
        <f t="shared" si="1"/>
        <v>1235</v>
      </c>
      <c r="U9">
        <f t="shared" si="2"/>
        <v>7</v>
      </c>
    </row>
    <row r="10" spans="1:21" x14ac:dyDescent="0.25">
      <c r="A10" t="s">
        <v>15</v>
      </c>
      <c r="B10">
        <v>135</v>
      </c>
      <c r="C10" t="s">
        <v>7</v>
      </c>
      <c r="D10" t="s">
        <v>8</v>
      </c>
      <c r="E10" s="1">
        <v>0.82638888888888884</v>
      </c>
      <c r="F10" s="1">
        <v>0.92013888888888884</v>
      </c>
      <c r="G10">
        <f t="shared" si="0"/>
        <v>20</v>
      </c>
      <c r="H10">
        <f t="shared" si="1"/>
        <v>1190</v>
      </c>
      <c r="I10">
        <f t="shared" si="1"/>
        <v>1325</v>
      </c>
      <c r="J10" t="s">
        <v>16</v>
      </c>
      <c r="K10" t="s">
        <v>17</v>
      </c>
      <c r="L10" t="s">
        <v>44</v>
      </c>
      <c r="U10">
        <f t="shared" si="2"/>
        <v>8</v>
      </c>
    </row>
    <row r="11" spans="1:21" x14ac:dyDescent="0.25">
      <c r="A11" t="s">
        <v>18</v>
      </c>
      <c r="B11">
        <v>140</v>
      </c>
      <c r="C11" t="s">
        <v>7</v>
      </c>
      <c r="D11" t="s">
        <v>19</v>
      </c>
      <c r="E11" s="1">
        <v>0.38541666666666669</v>
      </c>
      <c r="F11" s="1">
        <v>0.4826388888888889</v>
      </c>
      <c r="G11">
        <f t="shared" ref="G11:G29" si="3">VLOOKUP(D11,$J$11:$L$14,3,FALSE)</f>
        <v>20</v>
      </c>
      <c r="H11">
        <f t="shared" si="1"/>
        <v>555</v>
      </c>
      <c r="I11">
        <f t="shared" si="1"/>
        <v>695</v>
      </c>
      <c r="J11" t="s">
        <v>7</v>
      </c>
      <c r="K11">
        <v>15</v>
      </c>
      <c r="L11">
        <v>20</v>
      </c>
      <c r="U11">
        <f t="shared" si="2"/>
        <v>9</v>
      </c>
    </row>
    <row r="12" spans="1:21" x14ac:dyDescent="0.25">
      <c r="A12" t="s">
        <v>20</v>
      </c>
      <c r="B12">
        <v>140</v>
      </c>
      <c r="C12" t="s">
        <v>7</v>
      </c>
      <c r="D12" t="s">
        <v>19</v>
      </c>
      <c r="E12" s="1">
        <v>0.46875</v>
      </c>
      <c r="F12" s="1">
        <v>0.56597222222222221</v>
      </c>
      <c r="G12">
        <f t="shared" si="3"/>
        <v>20</v>
      </c>
      <c r="H12">
        <f t="shared" si="1"/>
        <v>675</v>
      </c>
      <c r="I12">
        <f t="shared" si="1"/>
        <v>815</v>
      </c>
      <c r="J12" t="s">
        <v>8</v>
      </c>
      <c r="K12">
        <v>15</v>
      </c>
      <c r="L12">
        <v>20</v>
      </c>
      <c r="U12">
        <f t="shared" si="2"/>
        <v>10</v>
      </c>
    </row>
    <row r="13" spans="1:21" x14ac:dyDescent="0.25">
      <c r="A13" t="s">
        <v>21</v>
      </c>
      <c r="B13">
        <v>140</v>
      </c>
      <c r="C13" t="s">
        <v>7</v>
      </c>
      <c r="D13" t="s">
        <v>19</v>
      </c>
      <c r="E13" s="1">
        <v>0.55208333333333337</v>
      </c>
      <c r="F13" s="1">
        <v>0.64930555555555558</v>
      </c>
      <c r="G13">
        <f t="shared" si="3"/>
        <v>20</v>
      </c>
      <c r="H13">
        <f t="shared" si="1"/>
        <v>795</v>
      </c>
      <c r="I13">
        <f t="shared" si="1"/>
        <v>935</v>
      </c>
      <c r="J13" t="s">
        <v>19</v>
      </c>
      <c r="K13">
        <v>15</v>
      </c>
      <c r="L13">
        <v>20</v>
      </c>
      <c r="U13">
        <f t="shared" si="2"/>
        <v>11</v>
      </c>
    </row>
    <row r="14" spans="1:21" x14ac:dyDescent="0.25">
      <c r="A14" t="s">
        <v>22</v>
      </c>
      <c r="B14">
        <v>140</v>
      </c>
      <c r="C14" t="s">
        <v>7</v>
      </c>
      <c r="D14" t="s">
        <v>19</v>
      </c>
      <c r="E14" s="1">
        <v>0.80208333333333337</v>
      </c>
      <c r="F14" s="1">
        <v>0.89930555555555547</v>
      </c>
      <c r="G14">
        <f t="shared" si="3"/>
        <v>20</v>
      </c>
      <c r="H14">
        <f t="shared" si="1"/>
        <v>1155</v>
      </c>
      <c r="I14">
        <f t="shared" si="1"/>
        <v>1295</v>
      </c>
      <c r="J14" t="s">
        <v>25</v>
      </c>
      <c r="K14">
        <v>15</v>
      </c>
      <c r="L14">
        <v>20</v>
      </c>
      <c r="U14">
        <f t="shared" si="2"/>
        <v>12</v>
      </c>
    </row>
    <row r="15" spans="1:21" x14ac:dyDescent="0.25">
      <c r="A15" t="s">
        <v>23</v>
      </c>
      <c r="B15">
        <v>140</v>
      </c>
      <c r="C15" t="s">
        <v>7</v>
      </c>
      <c r="D15" t="s">
        <v>19</v>
      </c>
      <c r="E15" s="1">
        <v>0.84375</v>
      </c>
      <c r="F15" s="1">
        <v>0.94097222222222221</v>
      </c>
      <c r="G15">
        <f t="shared" si="3"/>
        <v>20</v>
      </c>
      <c r="H15">
        <f t="shared" si="1"/>
        <v>1215</v>
      </c>
      <c r="I15">
        <f t="shared" si="1"/>
        <v>1355</v>
      </c>
      <c r="J15" t="s">
        <v>42</v>
      </c>
      <c r="K15">
        <v>100</v>
      </c>
      <c r="L15" t="s">
        <v>43</v>
      </c>
      <c r="U15">
        <f t="shared" si="2"/>
        <v>13</v>
      </c>
    </row>
    <row r="16" spans="1:21" x14ac:dyDescent="0.25">
      <c r="A16" t="s">
        <v>24</v>
      </c>
      <c r="B16">
        <v>210</v>
      </c>
      <c r="C16" t="s">
        <v>7</v>
      </c>
      <c r="D16" t="s">
        <v>25</v>
      </c>
      <c r="E16" s="1">
        <v>0.3888888888888889</v>
      </c>
      <c r="F16" s="1">
        <v>0.53472222222222221</v>
      </c>
      <c r="G16">
        <f>VLOOKUP(D16,$J$11:$L$14,3,FALSE)</f>
        <v>20</v>
      </c>
      <c r="H16">
        <f t="shared" si="1"/>
        <v>560</v>
      </c>
      <c r="I16">
        <f t="shared" si="1"/>
        <v>770</v>
      </c>
      <c r="J16" t="s">
        <v>45</v>
      </c>
      <c r="K16">
        <v>350</v>
      </c>
      <c r="U16">
        <f t="shared" si="2"/>
        <v>14</v>
      </c>
    </row>
    <row r="17" spans="1:21" x14ac:dyDescent="0.25">
      <c r="A17" t="s">
        <v>26</v>
      </c>
      <c r="B17">
        <v>135</v>
      </c>
      <c r="C17" t="s">
        <v>8</v>
      </c>
      <c r="D17" t="s">
        <v>7</v>
      </c>
      <c r="E17" s="1">
        <v>0.375</v>
      </c>
      <c r="F17" s="1">
        <v>0.46875</v>
      </c>
      <c r="G17">
        <f t="shared" ref="G17:G24" si="4">VLOOKUP(D17,$J$11:$L$14,3,FALSE)</f>
        <v>20</v>
      </c>
      <c r="H17">
        <f t="shared" si="1"/>
        <v>540</v>
      </c>
      <c r="I17">
        <f t="shared" si="1"/>
        <v>675</v>
      </c>
      <c r="U17">
        <f t="shared" si="2"/>
        <v>15</v>
      </c>
    </row>
    <row r="18" spans="1:21" x14ac:dyDescent="0.25">
      <c r="A18" t="s">
        <v>27</v>
      </c>
      <c r="B18">
        <v>135</v>
      </c>
      <c r="C18" t="s">
        <v>8</v>
      </c>
      <c r="D18" t="s">
        <v>7</v>
      </c>
      <c r="E18" s="1">
        <v>0.4375</v>
      </c>
      <c r="F18" s="1">
        <v>0.53125</v>
      </c>
      <c r="G18">
        <f t="shared" si="4"/>
        <v>20</v>
      </c>
      <c r="H18">
        <f t="shared" si="1"/>
        <v>630</v>
      </c>
      <c r="I18">
        <f t="shared" si="1"/>
        <v>765</v>
      </c>
      <c r="U18">
        <f t="shared" si="2"/>
        <v>16</v>
      </c>
    </row>
    <row r="19" spans="1:21" x14ac:dyDescent="0.25">
      <c r="A19" t="s">
        <v>28</v>
      </c>
      <c r="B19">
        <v>135</v>
      </c>
      <c r="C19" t="s">
        <v>8</v>
      </c>
      <c r="D19" t="s">
        <v>7</v>
      </c>
      <c r="E19" s="1">
        <v>0.5</v>
      </c>
      <c r="F19" s="1">
        <v>0.59375</v>
      </c>
      <c r="G19">
        <f t="shared" si="4"/>
        <v>20</v>
      </c>
      <c r="H19">
        <f t="shared" si="1"/>
        <v>720</v>
      </c>
      <c r="I19">
        <f t="shared" si="1"/>
        <v>855</v>
      </c>
      <c r="U19">
        <f t="shared" si="2"/>
        <v>17</v>
      </c>
    </row>
    <row r="20" spans="1:21" x14ac:dyDescent="0.25">
      <c r="A20" t="s">
        <v>29</v>
      </c>
      <c r="B20">
        <v>135</v>
      </c>
      <c r="C20" t="s">
        <v>8</v>
      </c>
      <c r="D20" t="s">
        <v>7</v>
      </c>
      <c r="E20" s="1">
        <v>0.5625</v>
      </c>
      <c r="F20" s="1">
        <v>0.65625</v>
      </c>
      <c r="G20">
        <f t="shared" si="4"/>
        <v>20</v>
      </c>
      <c r="H20">
        <f t="shared" si="1"/>
        <v>810</v>
      </c>
      <c r="I20">
        <f t="shared" si="1"/>
        <v>945</v>
      </c>
      <c r="N20">
        <f>VLOOKUP($A5,test!$A$3:$I$32,9,FALSE)</f>
        <v>965</v>
      </c>
      <c r="U20">
        <f t="shared" si="2"/>
        <v>18</v>
      </c>
    </row>
    <row r="21" spans="1:21" x14ac:dyDescent="0.25">
      <c r="A21" t="s">
        <v>30</v>
      </c>
      <c r="B21">
        <v>135</v>
      </c>
      <c r="C21" t="s">
        <v>8</v>
      </c>
      <c r="D21" t="s">
        <v>7</v>
      </c>
      <c r="E21" s="1">
        <v>0.625</v>
      </c>
      <c r="F21" s="1">
        <v>0.71875</v>
      </c>
      <c r="G21">
        <f t="shared" si="4"/>
        <v>20</v>
      </c>
      <c r="H21">
        <f t="shared" si="1"/>
        <v>900</v>
      </c>
      <c r="I21">
        <f t="shared" si="1"/>
        <v>1035</v>
      </c>
      <c r="N21">
        <f>VLOOKUP("BA6",test!$A$3:$I$32,8,FALSE)</f>
        <v>990</v>
      </c>
      <c r="U21">
        <f t="shared" si="2"/>
        <v>19</v>
      </c>
    </row>
    <row r="22" spans="1:21" x14ac:dyDescent="0.25">
      <c r="A22" t="s">
        <v>31</v>
      </c>
      <c r="B22">
        <v>135</v>
      </c>
      <c r="C22" t="s">
        <v>8</v>
      </c>
      <c r="D22" t="s">
        <v>7</v>
      </c>
      <c r="E22" s="1">
        <v>0.6875</v>
      </c>
      <c r="F22" s="1">
        <v>0.78125</v>
      </c>
      <c r="G22">
        <f t="shared" si="4"/>
        <v>20</v>
      </c>
      <c r="H22">
        <f t="shared" si="1"/>
        <v>990</v>
      </c>
      <c r="I22">
        <f t="shared" si="1"/>
        <v>1125</v>
      </c>
      <c r="U22">
        <f t="shared" si="2"/>
        <v>20</v>
      </c>
    </row>
    <row r="23" spans="1:21" x14ac:dyDescent="0.25">
      <c r="A23" t="s">
        <v>32</v>
      </c>
      <c r="B23">
        <v>135</v>
      </c>
      <c r="C23" t="s">
        <v>8</v>
      </c>
      <c r="D23" t="s">
        <v>7</v>
      </c>
      <c r="E23" s="1">
        <v>0.75</v>
      </c>
      <c r="F23" s="1">
        <v>0.84375</v>
      </c>
      <c r="G23">
        <f t="shared" si="4"/>
        <v>20</v>
      </c>
      <c r="H23">
        <f t="shared" si="1"/>
        <v>1080</v>
      </c>
      <c r="I23">
        <f t="shared" si="1"/>
        <v>1215</v>
      </c>
      <c r="U23">
        <f t="shared" si="2"/>
        <v>21</v>
      </c>
    </row>
    <row r="24" spans="1:21" x14ac:dyDescent="0.25">
      <c r="A24" t="s">
        <v>33</v>
      </c>
      <c r="B24">
        <v>135</v>
      </c>
      <c r="C24" t="s">
        <v>8</v>
      </c>
      <c r="D24" t="s">
        <v>7</v>
      </c>
      <c r="E24" s="1">
        <v>0.79166666666666663</v>
      </c>
      <c r="F24" s="1">
        <v>0.88541666666666663</v>
      </c>
      <c r="G24">
        <f t="shared" si="4"/>
        <v>20</v>
      </c>
      <c r="H24">
        <f t="shared" si="1"/>
        <v>1140</v>
      </c>
      <c r="I24">
        <f t="shared" si="1"/>
        <v>1275</v>
      </c>
      <c r="U24">
        <f t="shared" si="2"/>
        <v>22</v>
      </c>
    </row>
    <row r="25" spans="1:21" x14ac:dyDescent="0.25">
      <c r="A25" t="s">
        <v>34</v>
      </c>
      <c r="B25">
        <v>140</v>
      </c>
      <c r="C25" t="s">
        <v>19</v>
      </c>
      <c r="D25" t="s">
        <v>7</v>
      </c>
      <c r="E25" s="1">
        <v>0.39583333333333331</v>
      </c>
      <c r="F25" s="1">
        <v>0.49305555555555558</v>
      </c>
      <c r="G25">
        <f t="shared" si="3"/>
        <v>20</v>
      </c>
      <c r="H25">
        <f t="shared" si="1"/>
        <v>570</v>
      </c>
      <c r="I25">
        <f t="shared" si="1"/>
        <v>710</v>
      </c>
      <c r="U25">
        <f t="shared" si="2"/>
        <v>23</v>
      </c>
    </row>
    <row r="26" spans="1:21" x14ac:dyDescent="0.25">
      <c r="A26" t="s">
        <v>35</v>
      </c>
      <c r="B26">
        <v>140</v>
      </c>
      <c r="C26" t="s">
        <v>19</v>
      </c>
      <c r="D26" t="s">
        <v>7</v>
      </c>
      <c r="E26" s="1">
        <v>0.51388888888888895</v>
      </c>
      <c r="F26" s="1">
        <v>0.61111111111111105</v>
      </c>
      <c r="G26">
        <f t="shared" si="3"/>
        <v>20</v>
      </c>
      <c r="H26">
        <f t="shared" si="1"/>
        <v>740</v>
      </c>
      <c r="I26">
        <f t="shared" si="1"/>
        <v>880</v>
      </c>
      <c r="U26">
        <f t="shared" si="2"/>
        <v>24</v>
      </c>
    </row>
    <row r="27" spans="1:21" x14ac:dyDescent="0.25">
      <c r="A27" t="s">
        <v>36</v>
      </c>
      <c r="B27">
        <v>140</v>
      </c>
      <c r="C27" t="s">
        <v>19</v>
      </c>
      <c r="D27" t="s">
        <v>7</v>
      </c>
      <c r="E27" s="1">
        <v>0.59722222222222221</v>
      </c>
      <c r="F27" s="1">
        <v>0.69444444444444453</v>
      </c>
      <c r="G27">
        <f t="shared" si="3"/>
        <v>20</v>
      </c>
      <c r="H27">
        <f t="shared" si="1"/>
        <v>860</v>
      </c>
      <c r="I27">
        <f t="shared" si="1"/>
        <v>1000</v>
      </c>
      <c r="U27">
        <f t="shared" si="2"/>
        <v>25</v>
      </c>
    </row>
    <row r="28" spans="1:21" x14ac:dyDescent="0.25">
      <c r="A28" t="s">
        <v>37</v>
      </c>
      <c r="B28">
        <v>140</v>
      </c>
      <c r="C28" t="s">
        <v>19</v>
      </c>
      <c r="D28" t="s">
        <v>7</v>
      </c>
      <c r="E28" s="1">
        <v>0.63888888888888895</v>
      </c>
      <c r="F28" s="1">
        <v>0.73611111111111116</v>
      </c>
      <c r="G28">
        <f t="shared" si="3"/>
        <v>20</v>
      </c>
      <c r="H28">
        <f t="shared" si="1"/>
        <v>920</v>
      </c>
      <c r="I28">
        <f t="shared" si="1"/>
        <v>1060</v>
      </c>
      <c r="U28">
        <f t="shared" si="2"/>
        <v>26</v>
      </c>
    </row>
    <row r="29" spans="1:21" x14ac:dyDescent="0.25">
      <c r="A29" t="s">
        <v>38</v>
      </c>
      <c r="B29">
        <v>140</v>
      </c>
      <c r="C29" t="s">
        <v>19</v>
      </c>
      <c r="D29" t="s">
        <v>7</v>
      </c>
      <c r="E29" s="1">
        <v>0.72222222222222221</v>
      </c>
      <c r="F29" s="1">
        <v>0.81944444444444453</v>
      </c>
      <c r="G29">
        <f t="shared" si="3"/>
        <v>20</v>
      </c>
      <c r="H29">
        <f t="shared" si="1"/>
        <v>1040</v>
      </c>
      <c r="I29">
        <f t="shared" si="1"/>
        <v>1180</v>
      </c>
      <c r="U29">
        <f t="shared" si="2"/>
        <v>27</v>
      </c>
    </row>
    <row r="30" spans="1:21" x14ac:dyDescent="0.25">
      <c r="A30" t="s">
        <v>39</v>
      </c>
      <c r="B30">
        <v>270</v>
      </c>
      <c r="C30" t="s">
        <v>19</v>
      </c>
      <c r="D30" t="s">
        <v>25</v>
      </c>
      <c r="E30" s="1">
        <v>0.3125</v>
      </c>
      <c r="F30" s="1">
        <v>0.5</v>
      </c>
      <c r="G30">
        <f>VLOOKUP(D30,$J$11:$L$14,3,FALSE)</f>
        <v>20</v>
      </c>
      <c r="H30">
        <f t="shared" si="1"/>
        <v>450</v>
      </c>
      <c r="I30">
        <f t="shared" si="1"/>
        <v>720</v>
      </c>
      <c r="U30">
        <f t="shared" si="2"/>
        <v>28</v>
      </c>
    </row>
    <row r="31" spans="1:21" x14ac:dyDescent="0.25">
      <c r="A31" t="s">
        <v>40</v>
      </c>
      <c r="B31">
        <v>210</v>
      </c>
      <c r="C31" t="s">
        <v>25</v>
      </c>
      <c r="D31" t="s">
        <v>7</v>
      </c>
      <c r="E31" s="1">
        <v>0.59722222222222221</v>
      </c>
      <c r="F31" s="1">
        <v>0.74305555555555547</v>
      </c>
      <c r="G31">
        <f>VLOOKUP(D31,$J$11:$L$14,3,FALSE)</f>
        <v>20</v>
      </c>
      <c r="H31">
        <f t="shared" si="1"/>
        <v>860</v>
      </c>
      <c r="I31">
        <f t="shared" si="1"/>
        <v>1070</v>
      </c>
      <c r="U31">
        <f t="shared" si="2"/>
        <v>29</v>
      </c>
    </row>
    <row r="32" spans="1:21" x14ac:dyDescent="0.25">
      <c r="A32" t="s">
        <v>41</v>
      </c>
      <c r="B32">
        <v>270</v>
      </c>
      <c r="C32" t="s">
        <v>25</v>
      </c>
      <c r="D32" t="s">
        <v>19</v>
      </c>
      <c r="E32" s="1">
        <v>0.5625</v>
      </c>
      <c r="F32" s="1">
        <v>0.75</v>
      </c>
      <c r="G32">
        <f>VLOOKUP(D32,$J$11:$L$14,3,FALSE)</f>
        <v>20</v>
      </c>
      <c r="H32">
        <f t="shared" si="1"/>
        <v>810</v>
      </c>
      <c r="I32">
        <f t="shared" si="1"/>
        <v>1080</v>
      </c>
      <c r="U32">
        <f t="shared" si="2"/>
        <v>30</v>
      </c>
    </row>
    <row r="33" spans="1:12" x14ac:dyDescent="0.25">
      <c r="A33" t="s">
        <v>49</v>
      </c>
      <c r="B33">
        <v>60</v>
      </c>
      <c r="C33" t="s">
        <v>48</v>
      </c>
      <c r="D33" t="s">
        <v>48</v>
      </c>
      <c r="E33" t="s">
        <v>48</v>
      </c>
      <c r="F33" t="s">
        <v>48</v>
      </c>
      <c r="G33">
        <v>0</v>
      </c>
    </row>
    <row r="34" spans="1:12" x14ac:dyDescent="0.25">
      <c r="A34" t="s">
        <v>59</v>
      </c>
      <c r="B34">
        <v>75</v>
      </c>
      <c r="C34" t="s">
        <v>48</v>
      </c>
      <c r="D34" t="s">
        <v>48</v>
      </c>
      <c r="E34" t="s">
        <v>48</v>
      </c>
      <c r="F34" t="s">
        <v>48</v>
      </c>
      <c r="G34">
        <v>0</v>
      </c>
    </row>
    <row r="35" spans="1:12" x14ac:dyDescent="0.25">
      <c r="A35" t="s">
        <v>60</v>
      </c>
      <c r="B35">
        <v>60</v>
      </c>
      <c r="C35" t="s">
        <v>48</v>
      </c>
      <c r="D35" t="s">
        <v>48</v>
      </c>
      <c r="E35" t="s">
        <v>48</v>
      </c>
      <c r="F35" t="s">
        <v>48</v>
      </c>
      <c r="G35">
        <v>0</v>
      </c>
    </row>
    <row r="40" spans="1:12" x14ac:dyDescent="0.25">
      <c r="A40" t="s">
        <v>54</v>
      </c>
    </row>
    <row r="41" spans="1:12" x14ac:dyDescent="0.25">
      <c r="A41" t="s">
        <v>52</v>
      </c>
      <c r="B41" t="s">
        <v>53</v>
      </c>
      <c r="F41" t="s">
        <v>51</v>
      </c>
      <c r="G41" t="s">
        <v>50</v>
      </c>
    </row>
    <row r="42" spans="1:12" x14ac:dyDescent="0.25">
      <c r="A42">
        <v>0</v>
      </c>
      <c r="B42" t="s">
        <v>47</v>
      </c>
      <c r="F42" s="5"/>
      <c r="G42">
        <v>0</v>
      </c>
      <c r="H42">
        <v>10</v>
      </c>
      <c r="I42">
        <v>26</v>
      </c>
      <c r="J42">
        <v>0</v>
      </c>
    </row>
    <row r="43" spans="1:12" x14ac:dyDescent="0.25">
      <c r="A43">
        <f>A42+1</f>
        <v>1</v>
      </c>
      <c r="B43" t="s">
        <v>6</v>
      </c>
      <c r="F43" s="5"/>
      <c r="G43" t="s">
        <v>47</v>
      </c>
      <c r="H43" t="str">
        <f>VLOOKUP(H42,$A$42:$B$73,2,FALSE)</f>
        <v>AC2</v>
      </c>
      <c r="I43" t="str">
        <f t="shared" ref="I43:J43" si="5">VLOOKUP(I42,$A$42:$B$73,2,FALSE)</f>
        <v>CA4</v>
      </c>
      <c r="J43" t="str">
        <f t="shared" si="5"/>
        <v>DEPOT</v>
      </c>
    </row>
    <row r="44" spans="1:12" x14ac:dyDescent="0.25">
      <c r="A44">
        <f t="shared" ref="A44:A73" si="6">A43+1</f>
        <v>2</v>
      </c>
      <c r="B44" t="s">
        <v>9</v>
      </c>
      <c r="F44" s="6"/>
      <c r="G44">
        <v>0</v>
      </c>
      <c r="H44">
        <v>1</v>
      </c>
      <c r="I44">
        <v>18</v>
      </c>
      <c r="J44">
        <v>31</v>
      </c>
      <c r="K44">
        <v>13</v>
      </c>
      <c r="L44">
        <v>0</v>
      </c>
    </row>
    <row r="45" spans="1:12" x14ac:dyDescent="0.25">
      <c r="A45">
        <f t="shared" si="6"/>
        <v>3</v>
      </c>
      <c r="B45" s="4" t="s">
        <v>10</v>
      </c>
      <c r="F45" s="6"/>
      <c r="G45" t="str">
        <f>VLOOKUP(G44,$A$42:$B$73,2,FALSE)</f>
        <v>DEPOT</v>
      </c>
      <c r="H45" t="str">
        <f t="shared" ref="H45:L45" si="7">VLOOKUP(H44,$A$42:$B$73,2,FALSE)</f>
        <v>AB1</v>
      </c>
      <c r="I45" t="str">
        <f t="shared" si="7"/>
        <v>BA4</v>
      </c>
      <c r="J45" t="str">
        <f t="shared" si="7"/>
        <v>CS1</v>
      </c>
      <c r="K45" t="str">
        <f t="shared" si="7"/>
        <v>AC5</v>
      </c>
      <c r="L45" t="str">
        <f t="shared" si="7"/>
        <v>DEPOT</v>
      </c>
    </row>
    <row r="46" spans="1:12" x14ac:dyDescent="0.25">
      <c r="A46">
        <f t="shared" si="6"/>
        <v>4</v>
      </c>
      <c r="B46" t="s">
        <v>11</v>
      </c>
      <c r="F46" s="7"/>
      <c r="G46">
        <v>0</v>
      </c>
      <c r="H46">
        <v>2</v>
      </c>
      <c r="I46">
        <v>19</v>
      </c>
      <c r="J46">
        <v>31</v>
      </c>
      <c r="K46">
        <v>8</v>
      </c>
      <c r="L46">
        <v>0</v>
      </c>
    </row>
    <row r="47" spans="1:12" x14ac:dyDescent="0.25">
      <c r="A47">
        <f t="shared" si="6"/>
        <v>5</v>
      </c>
      <c r="B47" t="s">
        <v>12</v>
      </c>
      <c r="F47" s="7"/>
      <c r="G47" t="str">
        <f>VLOOKUP(G46,$A$42:$B$73,2,FALSE)</f>
        <v>DEPOT</v>
      </c>
      <c r="H47" t="str">
        <f t="shared" ref="H47:L47" si="8">VLOOKUP(H46,$A$42:$B$73,2,FALSE)</f>
        <v>AB2</v>
      </c>
      <c r="I47" t="str">
        <f t="shared" si="8"/>
        <v>BA5</v>
      </c>
      <c r="J47" t="str">
        <f t="shared" si="8"/>
        <v>CS1</v>
      </c>
      <c r="K47" t="str">
        <f t="shared" si="8"/>
        <v>AB8</v>
      </c>
      <c r="L47" t="str">
        <f t="shared" si="8"/>
        <v>DEPOT</v>
      </c>
    </row>
    <row r="48" spans="1:12" x14ac:dyDescent="0.25">
      <c r="A48">
        <f t="shared" si="6"/>
        <v>6</v>
      </c>
      <c r="B48" t="s">
        <v>13</v>
      </c>
      <c r="F48" s="8"/>
      <c r="G48">
        <v>0</v>
      </c>
      <c r="H48">
        <v>9</v>
      </c>
      <c r="I48">
        <v>31</v>
      </c>
      <c r="J48">
        <v>25</v>
      </c>
      <c r="K48">
        <v>0</v>
      </c>
    </row>
    <row r="49" spans="1:12" x14ac:dyDescent="0.25">
      <c r="A49">
        <f t="shared" si="6"/>
        <v>7</v>
      </c>
      <c r="B49" t="s">
        <v>14</v>
      </c>
      <c r="F49" s="8"/>
      <c r="G49" t="str">
        <f>VLOOKUP(G48,$A$42:$B$73,2,FALSE)</f>
        <v>DEPOT</v>
      </c>
      <c r="H49" t="str">
        <f t="shared" ref="H49:K49" si="9">VLOOKUP(H48,$A$42:$B$73,2,FALSE)</f>
        <v>AC1</v>
      </c>
      <c r="I49" t="str">
        <f t="shared" si="9"/>
        <v>CS1</v>
      </c>
      <c r="J49" t="str">
        <f t="shared" si="9"/>
        <v>CA3</v>
      </c>
      <c r="K49" t="str">
        <f t="shared" si="9"/>
        <v>DEPOT</v>
      </c>
    </row>
    <row r="50" spans="1:12" x14ac:dyDescent="0.25">
      <c r="A50">
        <f t="shared" si="6"/>
        <v>8</v>
      </c>
      <c r="B50" t="s">
        <v>15</v>
      </c>
      <c r="F50" s="9"/>
      <c r="G50">
        <v>0</v>
      </c>
      <c r="H50">
        <v>11</v>
      </c>
      <c r="I50">
        <v>27</v>
      </c>
      <c r="J50">
        <v>0</v>
      </c>
    </row>
    <row r="51" spans="1:12" x14ac:dyDescent="0.25">
      <c r="A51">
        <f t="shared" si="6"/>
        <v>9</v>
      </c>
      <c r="B51" t="s">
        <v>18</v>
      </c>
      <c r="F51" s="9"/>
      <c r="G51" t="str">
        <f>VLOOKUP(G50,$A$42:$B$73,2,FALSE)</f>
        <v>DEPOT</v>
      </c>
      <c r="H51" t="str">
        <f t="shared" ref="H51:J51" si="10">VLOOKUP(H50,$A$42:$B$73,2,FALSE)</f>
        <v>AC3</v>
      </c>
      <c r="I51" t="str">
        <f t="shared" si="10"/>
        <v>CA5</v>
      </c>
      <c r="J51" t="str">
        <f t="shared" si="10"/>
        <v>DEPOT</v>
      </c>
    </row>
    <row r="52" spans="1:12" x14ac:dyDescent="0.25">
      <c r="A52">
        <f t="shared" si="6"/>
        <v>10</v>
      </c>
      <c r="B52" t="s">
        <v>20</v>
      </c>
      <c r="F52" s="10"/>
      <c r="G52">
        <v>0</v>
      </c>
      <c r="H52">
        <v>14</v>
      </c>
      <c r="I52">
        <v>30</v>
      </c>
      <c r="J52">
        <v>0</v>
      </c>
    </row>
    <row r="53" spans="1:12" x14ac:dyDescent="0.25">
      <c r="A53">
        <f t="shared" si="6"/>
        <v>11</v>
      </c>
      <c r="B53" t="s">
        <v>21</v>
      </c>
      <c r="F53" s="10"/>
      <c r="G53" t="str">
        <f>VLOOKUP(G52,$A$42:$B$73,2,FALSE)</f>
        <v>DEPOT</v>
      </c>
      <c r="H53" t="str">
        <f t="shared" ref="H53:J53" si="11">VLOOKUP(H52,$A$42:$B$73,2,FALSE)</f>
        <v>AD1</v>
      </c>
      <c r="I53" t="str">
        <f t="shared" si="11"/>
        <v>DC1</v>
      </c>
      <c r="J53" t="str">
        <f t="shared" si="11"/>
        <v>DEPOT</v>
      </c>
    </row>
    <row r="54" spans="1:12" x14ac:dyDescent="0.25">
      <c r="A54">
        <f t="shared" si="6"/>
        <v>12</v>
      </c>
      <c r="B54" t="s">
        <v>22</v>
      </c>
      <c r="F54" s="11"/>
      <c r="G54">
        <v>0</v>
      </c>
      <c r="H54">
        <v>15</v>
      </c>
      <c r="I54">
        <v>31</v>
      </c>
      <c r="J54">
        <v>3</v>
      </c>
      <c r="K54">
        <v>20</v>
      </c>
      <c r="L54">
        <v>0</v>
      </c>
    </row>
    <row r="55" spans="1:12" x14ac:dyDescent="0.25">
      <c r="A55">
        <f t="shared" si="6"/>
        <v>13</v>
      </c>
      <c r="B55" t="s">
        <v>23</v>
      </c>
      <c r="F55" s="11"/>
      <c r="G55" t="str">
        <f>VLOOKUP(G54,$A$42:$B$73,2,FALSE)</f>
        <v>DEPOT</v>
      </c>
      <c r="H55" t="str">
        <f t="shared" ref="H55:L55" si="12">VLOOKUP(H54,$A$42:$B$73,2,FALSE)</f>
        <v>BA1</v>
      </c>
      <c r="I55" t="str">
        <f t="shared" si="12"/>
        <v>CS1</v>
      </c>
      <c r="J55" t="str">
        <f t="shared" si="12"/>
        <v>AB3</v>
      </c>
      <c r="K55" t="str">
        <f t="shared" si="12"/>
        <v>BA6</v>
      </c>
      <c r="L55" t="str">
        <f t="shared" si="12"/>
        <v>DEPOT</v>
      </c>
    </row>
    <row r="56" spans="1:12" x14ac:dyDescent="0.25">
      <c r="A56">
        <f t="shared" si="6"/>
        <v>14</v>
      </c>
      <c r="B56" t="s">
        <v>24</v>
      </c>
      <c r="F56" s="12"/>
      <c r="G56">
        <v>0</v>
      </c>
      <c r="H56">
        <v>16</v>
      </c>
      <c r="I56">
        <v>31</v>
      </c>
      <c r="J56">
        <v>5</v>
      </c>
      <c r="K56">
        <v>22</v>
      </c>
      <c r="L56">
        <v>0</v>
      </c>
    </row>
    <row r="57" spans="1:12" x14ac:dyDescent="0.25">
      <c r="A57">
        <f t="shared" si="6"/>
        <v>15</v>
      </c>
      <c r="B57" s="4" t="s">
        <v>26</v>
      </c>
      <c r="F57" s="12"/>
      <c r="G57" t="str">
        <f>VLOOKUP(G56,$A$42:$B$73,2,FALSE)</f>
        <v>DEPOT</v>
      </c>
      <c r="H57" t="str">
        <f t="shared" ref="H57:L57" si="13">VLOOKUP(H56,$A$42:$B$73,2,FALSE)</f>
        <v>BA2</v>
      </c>
      <c r="I57" t="str">
        <f t="shared" si="13"/>
        <v>CS1</v>
      </c>
      <c r="J57" t="str">
        <f t="shared" si="13"/>
        <v>AB5</v>
      </c>
      <c r="K57" t="str">
        <f t="shared" si="13"/>
        <v>BA8</v>
      </c>
      <c r="L57" t="str">
        <f t="shared" si="13"/>
        <v>DEPOT</v>
      </c>
    </row>
    <row r="58" spans="1:12" x14ac:dyDescent="0.25">
      <c r="A58">
        <f t="shared" si="6"/>
        <v>16</v>
      </c>
      <c r="B58" t="s">
        <v>27</v>
      </c>
      <c r="F58" s="13"/>
      <c r="G58">
        <v>0</v>
      </c>
      <c r="H58">
        <v>17</v>
      </c>
      <c r="I58">
        <v>6</v>
      </c>
      <c r="J58">
        <v>0</v>
      </c>
    </row>
    <row r="59" spans="1:12" x14ac:dyDescent="0.25">
      <c r="A59">
        <f t="shared" si="6"/>
        <v>17</v>
      </c>
      <c r="B59" t="s">
        <v>28</v>
      </c>
      <c r="F59" s="13"/>
      <c r="G59" t="str">
        <f>VLOOKUP(G58,$A$42:$B$73,2,FALSE)</f>
        <v>DEPOT</v>
      </c>
      <c r="H59" t="str">
        <f t="shared" ref="H59:J59" si="14">VLOOKUP(H58,$A$42:$B$73,2,FALSE)</f>
        <v>BA3</v>
      </c>
      <c r="I59" t="str">
        <f t="shared" si="14"/>
        <v>AB6</v>
      </c>
      <c r="J59" t="str">
        <f t="shared" si="14"/>
        <v>DEPOT</v>
      </c>
    </row>
    <row r="60" spans="1:12" x14ac:dyDescent="0.25">
      <c r="A60">
        <f t="shared" si="6"/>
        <v>18</v>
      </c>
      <c r="B60" t="s">
        <v>29</v>
      </c>
      <c r="F60" s="4"/>
      <c r="G60">
        <v>0</v>
      </c>
      <c r="H60">
        <v>23</v>
      </c>
      <c r="I60">
        <v>31</v>
      </c>
      <c r="J60">
        <v>4</v>
      </c>
      <c r="K60">
        <v>21</v>
      </c>
      <c r="L60">
        <v>0</v>
      </c>
    </row>
    <row r="61" spans="1:12" x14ac:dyDescent="0.25">
      <c r="A61">
        <f t="shared" si="6"/>
        <v>19</v>
      </c>
      <c r="B61" t="s">
        <v>30</v>
      </c>
      <c r="F61" s="4"/>
      <c r="G61" t="str">
        <f>VLOOKUP(G60,$A$42:$B$73,2,FALSE)</f>
        <v>DEPOT</v>
      </c>
      <c r="H61" t="str">
        <f t="shared" ref="H61:L61" si="15">VLOOKUP(H60,$A$42:$B$73,2,FALSE)</f>
        <v>CA1</v>
      </c>
      <c r="I61" t="str">
        <f t="shared" si="15"/>
        <v>CS1</v>
      </c>
      <c r="J61" t="str">
        <f t="shared" si="15"/>
        <v>AB4</v>
      </c>
      <c r="K61" t="str">
        <f t="shared" si="15"/>
        <v>BA7</v>
      </c>
      <c r="L61" t="str">
        <f t="shared" si="15"/>
        <v>DEPOT</v>
      </c>
    </row>
    <row r="62" spans="1:12" x14ac:dyDescent="0.25">
      <c r="A62">
        <f t="shared" si="6"/>
        <v>20</v>
      </c>
      <c r="B62" t="s">
        <v>31</v>
      </c>
      <c r="F62" s="14"/>
      <c r="G62">
        <v>0</v>
      </c>
      <c r="H62">
        <v>24</v>
      </c>
      <c r="I62">
        <v>31</v>
      </c>
      <c r="J62">
        <v>12</v>
      </c>
      <c r="K62">
        <v>0</v>
      </c>
    </row>
    <row r="63" spans="1:12" x14ac:dyDescent="0.25">
      <c r="A63">
        <f t="shared" si="6"/>
        <v>21</v>
      </c>
      <c r="B63" t="s">
        <v>32</v>
      </c>
      <c r="F63" s="14"/>
      <c r="G63" t="str">
        <f>VLOOKUP(G62,$A$42:$B$73,2,FALSE)</f>
        <v>DEPOT</v>
      </c>
      <c r="H63" t="str">
        <f t="shared" ref="H63:K63" si="16">VLOOKUP(H62,$A$42:$B$73,2,FALSE)</f>
        <v>CA2</v>
      </c>
      <c r="I63" t="str">
        <f t="shared" si="16"/>
        <v>CS1</v>
      </c>
      <c r="J63" t="str">
        <f t="shared" si="16"/>
        <v>AC4</v>
      </c>
      <c r="K63" t="str">
        <f t="shared" si="16"/>
        <v>DEPOT</v>
      </c>
    </row>
    <row r="64" spans="1:12" x14ac:dyDescent="0.25">
      <c r="A64">
        <f t="shared" si="6"/>
        <v>22</v>
      </c>
      <c r="B64" t="s">
        <v>33</v>
      </c>
      <c r="F64" s="15"/>
      <c r="G64">
        <v>0</v>
      </c>
      <c r="H64">
        <v>28</v>
      </c>
      <c r="I64">
        <v>31</v>
      </c>
      <c r="J64">
        <v>29</v>
      </c>
      <c r="K64">
        <v>7</v>
      </c>
      <c r="L64">
        <v>0</v>
      </c>
    </row>
    <row r="65" spans="1:12" x14ac:dyDescent="0.25">
      <c r="A65">
        <f t="shared" si="6"/>
        <v>23</v>
      </c>
      <c r="B65" t="s">
        <v>34</v>
      </c>
      <c r="F65" s="15"/>
      <c r="G65" t="str">
        <f>VLOOKUP(G64,$A$42:$B$73,2,FALSE)</f>
        <v>DEPOT</v>
      </c>
      <c r="H65" t="str">
        <f t="shared" ref="H65:L65" si="17">VLOOKUP(H64,$A$42:$B$73,2,FALSE)</f>
        <v>CD1</v>
      </c>
      <c r="I65" t="str">
        <f t="shared" si="17"/>
        <v>CS1</v>
      </c>
      <c r="J65" t="str">
        <f t="shared" si="17"/>
        <v>DA1</v>
      </c>
      <c r="K65" t="str">
        <f t="shared" si="17"/>
        <v>AB7</v>
      </c>
      <c r="L65" t="str">
        <f t="shared" si="17"/>
        <v>DEPOT</v>
      </c>
    </row>
    <row r="66" spans="1:12" x14ac:dyDescent="0.25">
      <c r="A66">
        <f t="shared" si="6"/>
        <v>24</v>
      </c>
      <c r="B66" t="s">
        <v>35</v>
      </c>
    </row>
    <row r="67" spans="1:12" x14ac:dyDescent="0.25">
      <c r="A67">
        <f t="shared" si="6"/>
        <v>25</v>
      </c>
      <c r="B67" t="s">
        <v>36</v>
      </c>
    </row>
    <row r="68" spans="1:12" x14ac:dyDescent="0.25">
      <c r="A68">
        <f t="shared" si="6"/>
        <v>26</v>
      </c>
      <c r="B68" t="s">
        <v>37</v>
      </c>
    </row>
    <row r="69" spans="1:12" x14ac:dyDescent="0.25">
      <c r="A69">
        <f t="shared" si="6"/>
        <v>27</v>
      </c>
      <c r="B69" t="s">
        <v>38</v>
      </c>
    </row>
    <row r="70" spans="1:12" x14ac:dyDescent="0.25">
      <c r="A70">
        <f t="shared" si="6"/>
        <v>28</v>
      </c>
      <c r="B70" t="s">
        <v>39</v>
      </c>
    </row>
    <row r="71" spans="1:12" x14ac:dyDescent="0.25">
      <c r="A71">
        <f t="shared" si="6"/>
        <v>29</v>
      </c>
      <c r="B71" t="s">
        <v>40</v>
      </c>
    </row>
    <row r="72" spans="1:12" x14ac:dyDescent="0.25">
      <c r="A72">
        <f t="shared" si="6"/>
        <v>30</v>
      </c>
      <c r="B72" t="s">
        <v>41</v>
      </c>
    </row>
    <row r="73" spans="1:12" x14ac:dyDescent="0.25">
      <c r="A73">
        <f t="shared" si="6"/>
        <v>31</v>
      </c>
      <c r="B73" t="s">
        <v>49</v>
      </c>
    </row>
  </sheetData>
  <conditionalFormatting sqref="G42:L65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E1BB-2954-4203-ABA4-D1607545B0E6}">
  <dimension ref="A1:L34"/>
  <sheetViews>
    <sheetView workbookViewId="0">
      <selection activeCell="Q19" sqref="Q19"/>
    </sheetView>
  </sheetViews>
  <sheetFormatPr defaultRowHeight="15" x14ac:dyDescent="0.25"/>
  <sheetData>
    <row r="1" spans="1:12" x14ac:dyDescent="0.25">
      <c r="A1" t="s">
        <v>54</v>
      </c>
    </row>
    <row r="2" spans="1:12" x14ac:dyDescent="0.25">
      <c r="A2" t="s">
        <v>52</v>
      </c>
      <c r="B2" t="s">
        <v>53</v>
      </c>
      <c r="F2" t="s">
        <v>51</v>
      </c>
      <c r="G2" t="s">
        <v>50</v>
      </c>
    </row>
    <row r="3" spans="1:12" x14ac:dyDescent="0.25">
      <c r="A3">
        <v>0</v>
      </c>
      <c r="B3" t="s">
        <v>47</v>
      </c>
      <c r="F3" s="5"/>
      <c r="G3">
        <v>0</v>
      </c>
      <c r="H3">
        <v>10</v>
      </c>
      <c r="I3">
        <v>26</v>
      </c>
      <c r="J3">
        <v>0</v>
      </c>
    </row>
    <row r="4" spans="1:12" x14ac:dyDescent="0.25">
      <c r="A4">
        <f>A3+1</f>
        <v>1</v>
      </c>
      <c r="B4" t="s">
        <v>6</v>
      </c>
      <c r="F4" s="5"/>
      <c r="G4" t="s">
        <v>47</v>
      </c>
      <c r="H4" t="str">
        <f>VLOOKUP(H3,$A$3:$B$34,2,FALSE)</f>
        <v>AC2</v>
      </c>
      <c r="I4" t="str">
        <f t="shared" ref="I4:J4" si="0">VLOOKUP(I3,$A$3:$B$34,2,FALSE)</f>
        <v>CA4</v>
      </c>
      <c r="J4" t="str">
        <f t="shared" si="0"/>
        <v>DEPOT</v>
      </c>
    </row>
    <row r="5" spans="1:12" x14ac:dyDescent="0.25">
      <c r="A5">
        <f t="shared" ref="A5:A34" si="1">A4+1</f>
        <v>2</v>
      </c>
      <c r="B5" t="s">
        <v>9</v>
      </c>
      <c r="F5" s="6"/>
      <c r="G5">
        <v>0</v>
      </c>
      <c r="H5">
        <v>1</v>
      </c>
      <c r="I5">
        <v>18</v>
      </c>
      <c r="J5">
        <v>31</v>
      </c>
      <c r="K5">
        <v>13</v>
      </c>
      <c r="L5">
        <v>0</v>
      </c>
    </row>
    <row r="6" spans="1:12" x14ac:dyDescent="0.25">
      <c r="A6">
        <f t="shared" si="1"/>
        <v>3</v>
      </c>
      <c r="B6" s="4" t="s">
        <v>10</v>
      </c>
      <c r="F6" s="6"/>
      <c r="G6" t="str">
        <f>VLOOKUP(G5,$A$3:$B$34,2,FALSE)</f>
        <v>DEPOT</v>
      </c>
      <c r="H6" t="str">
        <f t="shared" ref="H6:L6" si="2">VLOOKUP(H5,$A$3:$B$34,2,FALSE)</f>
        <v>AB1</v>
      </c>
      <c r="I6" t="str">
        <f t="shared" si="2"/>
        <v>BA4</v>
      </c>
      <c r="J6" t="str">
        <f t="shared" si="2"/>
        <v>CS1</v>
      </c>
      <c r="K6" t="str">
        <f t="shared" si="2"/>
        <v>AC5</v>
      </c>
      <c r="L6" t="str">
        <f t="shared" si="2"/>
        <v>DEPOT</v>
      </c>
    </row>
    <row r="7" spans="1:12" x14ac:dyDescent="0.25">
      <c r="A7">
        <f t="shared" si="1"/>
        <v>4</v>
      </c>
      <c r="B7" t="s">
        <v>11</v>
      </c>
      <c r="F7" s="7"/>
      <c r="G7">
        <v>0</v>
      </c>
      <c r="H7">
        <v>2</v>
      </c>
      <c r="I7">
        <v>19</v>
      </c>
      <c r="J7">
        <v>31</v>
      </c>
      <c r="K7">
        <v>8</v>
      </c>
      <c r="L7">
        <v>0</v>
      </c>
    </row>
    <row r="8" spans="1:12" x14ac:dyDescent="0.25">
      <c r="A8">
        <f t="shared" si="1"/>
        <v>5</v>
      </c>
      <c r="B8" t="s">
        <v>12</v>
      </c>
      <c r="F8" s="7"/>
      <c r="G8" t="str">
        <f>VLOOKUP(G7,$A$3:$B$34,2,FALSE)</f>
        <v>DEPOT</v>
      </c>
      <c r="H8" t="str">
        <f t="shared" ref="H8:L8" si="3">VLOOKUP(H7,$A$3:$B$34,2,FALSE)</f>
        <v>AB2</v>
      </c>
      <c r="I8" t="str">
        <f t="shared" si="3"/>
        <v>BA5</v>
      </c>
      <c r="J8" t="str">
        <f t="shared" si="3"/>
        <v>CS1</v>
      </c>
      <c r="K8" t="str">
        <f t="shared" si="3"/>
        <v>AB8</v>
      </c>
      <c r="L8" t="str">
        <f t="shared" si="3"/>
        <v>DEPOT</v>
      </c>
    </row>
    <row r="9" spans="1:12" x14ac:dyDescent="0.25">
      <c r="A9">
        <f t="shared" si="1"/>
        <v>6</v>
      </c>
      <c r="B9" t="s">
        <v>13</v>
      </c>
      <c r="F9" s="8"/>
      <c r="G9">
        <v>0</v>
      </c>
      <c r="H9">
        <v>9</v>
      </c>
      <c r="I9">
        <v>31</v>
      </c>
      <c r="J9">
        <v>25</v>
      </c>
      <c r="K9">
        <v>0</v>
      </c>
    </row>
    <row r="10" spans="1:12" x14ac:dyDescent="0.25">
      <c r="A10">
        <f t="shared" si="1"/>
        <v>7</v>
      </c>
      <c r="B10" t="s">
        <v>14</v>
      </c>
      <c r="F10" s="8"/>
      <c r="G10" t="str">
        <f>VLOOKUP(G9,$A$3:$B$34,2,FALSE)</f>
        <v>DEPOT</v>
      </c>
      <c r="H10" t="str">
        <f t="shared" ref="H10:K10" si="4">VLOOKUP(H9,$A$3:$B$34,2,FALSE)</f>
        <v>AC1</v>
      </c>
      <c r="I10" t="str">
        <f t="shared" si="4"/>
        <v>CS1</v>
      </c>
      <c r="J10" t="str">
        <f t="shared" si="4"/>
        <v>CA3</v>
      </c>
      <c r="K10" t="str">
        <f t="shared" si="4"/>
        <v>DEPOT</v>
      </c>
    </row>
    <row r="11" spans="1:12" x14ac:dyDescent="0.25">
      <c r="A11">
        <f t="shared" si="1"/>
        <v>8</v>
      </c>
      <c r="B11" t="s">
        <v>15</v>
      </c>
      <c r="F11" s="9"/>
      <c r="G11">
        <v>0</v>
      </c>
      <c r="H11">
        <v>11</v>
      </c>
      <c r="I11">
        <v>27</v>
      </c>
      <c r="J11">
        <v>0</v>
      </c>
    </row>
    <row r="12" spans="1:12" x14ac:dyDescent="0.25">
      <c r="A12">
        <f t="shared" si="1"/>
        <v>9</v>
      </c>
      <c r="B12" t="s">
        <v>18</v>
      </c>
      <c r="F12" s="9"/>
      <c r="G12" t="str">
        <f>VLOOKUP(G11,$A$3:$B$34,2,FALSE)</f>
        <v>DEPOT</v>
      </c>
      <c r="H12" t="str">
        <f t="shared" ref="H12:J12" si="5">VLOOKUP(H11,$A$3:$B$34,2,FALSE)</f>
        <v>AC3</v>
      </c>
      <c r="I12" t="str">
        <f t="shared" si="5"/>
        <v>CA5</v>
      </c>
      <c r="J12" t="str">
        <f t="shared" si="5"/>
        <v>DEPOT</v>
      </c>
    </row>
    <row r="13" spans="1:12" x14ac:dyDescent="0.25">
      <c r="A13">
        <f t="shared" si="1"/>
        <v>10</v>
      </c>
      <c r="B13" t="s">
        <v>20</v>
      </c>
      <c r="F13" s="10"/>
      <c r="G13">
        <v>0</v>
      </c>
      <c r="H13">
        <v>14</v>
      </c>
      <c r="I13">
        <v>30</v>
      </c>
      <c r="J13">
        <v>0</v>
      </c>
    </row>
    <row r="14" spans="1:12" x14ac:dyDescent="0.25">
      <c r="A14">
        <f t="shared" si="1"/>
        <v>11</v>
      </c>
      <c r="B14" t="s">
        <v>21</v>
      </c>
      <c r="F14" s="10"/>
      <c r="G14" t="str">
        <f>VLOOKUP(G13,$A$3:$B$34,2,FALSE)</f>
        <v>DEPOT</v>
      </c>
      <c r="H14" t="str">
        <f t="shared" ref="H14:J14" si="6">VLOOKUP(H13,$A$3:$B$34,2,FALSE)</f>
        <v>AD1</v>
      </c>
      <c r="I14" t="str">
        <f t="shared" si="6"/>
        <v>DC1</v>
      </c>
      <c r="J14" t="str">
        <f t="shared" si="6"/>
        <v>DEPOT</v>
      </c>
    </row>
    <row r="15" spans="1:12" x14ac:dyDescent="0.25">
      <c r="A15">
        <f t="shared" si="1"/>
        <v>12</v>
      </c>
      <c r="B15" t="s">
        <v>22</v>
      </c>
      <c r="F15" s="11"/>
      <c r="G15">
        <v>0</v>
      </c>
      <c r="H15">
        <v>15</v>
      </c>
      <c r="I15">
        <v>31</v>
      </c>
      <c r="J15">
        <v>3</v>
      </c>
      <c r="K15">
        <v>20</v>
      </c>
      <c r="L15">
        <v>0</v>
      </c>
    </row>
    <row r="16" spans="1:12" x14ac:dyDescent="0.25">
      <c r="A16">
        <f t="shared" si="1"/>
        <v>13</v>
      </c>
      <c r="B16" t="s">
        <v>23</v>
      </c>
      <c r="F16" s="11"/>
      <c r="G16" t="str">
        <f>VLOOKUP(G15,$A$3:$B$34,2,FALSE)</f>
        <v>DEPOT</v>
      </c>
      <c r="H16" t="str">
        <f t="shared" ref="H16:L16" si="7">VLOOKUP(H15,$A$3:$B$34,2,FALSE)</f>
        <v>BA1</v>
      </c>
      <c r="I16" t="str">
        <f t="shared" si="7"/>
        <v>CS1</v>
      </c>
      <c r="J16" t="str">
        <f t="shared" si="7"/>
        <v>AB3</v>
      </c>
      <c r="K16" t="str">
        <f t="shared" si="7"/>
        <v>BA6</v>
      </c>
      <c r="L16" t="str">
        <f t="shared" si="7"/>
        <v>DEPOT</v>
      </c>
    </row>
    <row r="17" spans="1:12" x14ac:dyDescent="0.25">
      <c r="A17">
        <f t="shared" si="1"/>
        <v>14</v>
      </c>
      <c r="B17" t="s">
        <v>24</v>
      </c>
      <c r="F17" s="12"/>
      <c r="G17">
        <v>0</v>
      </c>
      <c r="H17">
        <v>16</v>
      </c>
      <c r="I17">
        <v>31</v>
      </c>
      <c r="J17">
        <v>5</v>
      </c>
      <c r="K17">
        <v>22</v>
      </c>
      <c r="L17">
        <v>0</v>
      </c>
    </row>
    <row r="18" spans="1:12" x14ac:dyDescent="0.25">
      <c r="A18">
        <f t="shared" si="1"/>
        <v>15</v>
      </c>
      <c r="B18" s="4" t="s">
        <v>26</v>
      </c>
      <c r="F18" s="12"/>
      <c r="G18" t="str">
        <f>VLOOKUP(G17,$A$3:$B$34,2,FALSE)</f>
        <v>DEPOT</v>
      </c>
      <c r="H18" t="str">
        <f t="shared" ref="H18:L18" si="8">VLOOKUP(H17,$A$3:$B$34,2,FALSE)</f>
        <v>BA2</v>
      </c>
      <c r="I18" t="str">
        <f t="shared" si="8"/>
        <v>CS1</v>
      </c>
      <c r="J18" t="str">
        <f t="shared" si="8"/>
        <v>AB5</v>
      </c>
      <c r="K18" t="str">
        <f t="shared" si="8"/>
        <v>BA8</v>
      </c>
      <c r="L18" t="str">
        <f t="shared" si="8"/>
        <v>DEPOT</v>
      </c>
    </row>
    <row r="19" spans="1:12" x14ac:dyDescent="0.25">
      <c r="A19">
        <f t="shared" si="1"/>
        <v>16</v>
      </c>
      <c r="B19" t="s">
        <v>27</v>
      </c>
      <c r="F19" s="13"/>
      <c r="G19">
        <v>0</v>
      </c>
      <c r="H19">
        <v>17</v>
      </c>
      <c r="I19">
        <v>6</v>
      </c>
      <c r="J19">
        <v>0</v>
      </c>
    </row>
    <row r="20" spans="1:12" x14ac:dyDescent="0.25">
      <c r="A20">
        <f t="shared" si="1"/>
        <v>17</v>
      </c>
      <c r="B20" t="s">
        <v>28</v>
      </c>
      <c r="F20" s="13"/>
      <c r="G20" t="str">
        <f>VLOOKUP(G19,$A$3:$B$34,2,FALSE)</f>
        <v>DEPOT</v>
      </c>
      <c r="H20" t="str">
        <f t="shared" ref="H20:J20" si="9">VLOOKUP(H19,$A$3:$B$34,2,FALSE)</f>
        <v>BA3</v>
      </c>
      <c r="I20" t="str">
        <f t="shared" si="9"/>
        <v>AB6</v>
      </c>
      <c r="J20" t="str">
        <f t="shared" si="9"/>
        <v>DEPOT</v>
      </c>
    </row>
    <row r="21" spans="1:12" x14ac:dyDescent="0.25">
      <c r="A21">
        <f t="shared" si="1"/>
        <v>18</v>
      </c>
      <c r="B21" t="s">
        <v>29</v>
      </c>
      <c r="F21" s="4"/>
      <c r="G21">
        <v>0</v>
      </c>
      <c r="H21">
        <v>23</v>
      </c>
      <c r="I21">
        <v>31</v>
      </c>
      <c r="J21">
        <v>4</v>
      </c>
      <c r="K21">
        <v>21</v>
      </c>
      <c r="L21">
        <v>0</v>
      </c>
    </row>
    <row r="22" spans="1:12" x14ac:dyDescent="0.25">
      <c r="A22">
        <f t="shared" si="1"/>
        <v>19</v>
      </c>
      <c r="B22" t="s">
        <v>30</v>
      </c>
      <c r="F22" s="4"/>
      <c r="G22" t="str">
        <f>VLOOKUP(G21,$A$3:$B$34,2,FALSE)</f>
        <v>DEPOT</v>
      </c>
      <c r="H22" t="str">
        <f t="shared" ref="H22:L22" si="10">VLOOKUP(H21,$A$3:$B$34,2,FALSE)</f>
        <v>CA1</v>
      </c>
      <c r="I22" t="str">
        <f t="shared" si="10"/>
        <v>CS1</v>
      </c>
      <c r="J22" t="str">
        <f t="shared" si="10"/>
        <v>AB4</v>
      </c>
      <c r="K22" t="str">
        <f t="shared" si="10"/>
        <v>BA7</v>
      </c>
      <c r="L22" t="str">
        <f t="shared" si="10"/>
        <v>DEPOT</v>
      </c>
    </row>
    <row r="23" spans="1:12" x14ac:dyDescent="0.25">
      <c r="A23">
        <f t="shared" si="1"/>
        <v>20</v>
      </c>
      <c r="B23" t="s">
        <v>31</v>
      </c>
      <c r="F23" s="14"/>
      <c r="G23">
        <v>0</v>
      </c>
      <c r="H23">
        <v>24</v>
      </c>
      <c r="I23">
        <v>31</v>
      </c>
      <c r="J23">
        <v>12</v>
      </c>
      <c r="K23">
        <v>0</v>
      </c>
    </row>
    <row r="24" spans="1:12" x14ac:dyDescent="0.25">
      <c r="A24">
        <f t="shared" si="1"/>
        <v>21</v>
      </c>
      <c r="B24" t="s">
        <v>32</v>
      </c>
      <c r="F24" s="14"/>
      <c r="G24" t="str">
        <f>VLOOKUP(G23,$A$3:$B$34,2,FALSE)</f>
        <v>DEPOT</v>
      </c>
      <c r="H24" t="str">
        <f t="shared" ref="H24:K24" si="11">VLOOKUP(H23,$A$3:$B$34,2,FALSE)</f>
        <v>CA2</v>
      </c>
      <c r="I24" t="str">
        <f t="shared" si="11"/>
        <v>CS1</v>
      </c>
      <c r="J24" t="str">
        <f t="shared" si="11"/>
        <v>AC4</v>
      </c>
      <c r="K24" t="str">
        <f t="shared" si="11"/>
        <v>DEPOT</v>
      </c>
    </row>
    <row r="25" spans="1:12" x14ac:dyDescent="0.25">
      <c r="A25">
        <f t="shared" si="1"/>
        <v>22</v>
      </c>
      <c r="B25" t="s">
        <v>33</v>
      </c>
      <c r="F25" s="15"/>
      <c r="G25">
        <v>0</v>
      </c>
      <c r="H25">
        <v>28</v>
      </c>
      <c r="I25">
        <v>31</v>
      </c>
      <c r="J25">
        <v>29</v>
      </c>
      <c r="K25">
        <v>7</v>
      </c>
      <c r="L25">
        <v>0</v>
      </c>
    </row>
    <row r="26" spans="1:12" x14ac:dyDescent="0.25">
      <c r="A26">
        <f t="shared" si="1"/>
        <v>23</v>
      </c>
      <c r="B26" t="s">
        <v>34</v>
      </c>
      <c r="F26" s="15"/>
      <c r="G26" t="str">
        <f>VLOOKUP(G25,$A$3:$B$34,2,FALSE)</f>
        <v>DEPOT</v>
      </c>
      <c r="H26" t="str">
        <f t="shared" ref="H26:L26" si="12">VLOOKUP(H25,$A$3:$B$34,2,FALSE)</f>
        <v>CD1</v>
      </c>
      <c r="I26" t="str">
        <f t="shared" si="12"/>
        <v>CS1</v>
      </c>
      <c r="J26" t="str">
        <f t="shared" si="12"/>
        <v>DA1</v>
      </c>
      <c r="K26" t="str">
        <f t="shared" si="12"/>
        <v>AB7</v>
      </c>
      <c r="L26" t="str">
        <f t="shared" si="12"/>
        <v>DEPOT</v>
      </c>
    </row>
    <row r="27" spans="1:12" x14ac:dyDescent="0.25">
      <c r="A27">
        <f t="shared" si="1"/>
        <v>24</v>
      </c>
      <c r="B27" t="s">
        <v>35</v>
      </c>
    </row>
    <row r="28" spans="1:12" x14ac:dyDescent="0.25">
      <c r="A28">
        <f t="shared" si="1"/>
        <v>25</v>
      </c>
      <c r="B28" t="s">
        <v>36</v>
      </c>
    </row>
    <row r="29" spans="1:12" x14ac:dyDescent="0.25">
      <c r="A29">
        <f t="shared" si="1"/>
        <v>26</v>
      </c>
      <c r="B29" t="s">
        <v>37</v>
      </c>
    </row>
    <row r="30" spans="1:12" x14ac:dyDescent="0.25">
      <c r="A30">
        <f t="shared" si="1"/>
        <v>27</v>
      </c>
      <c r="B30" t="s">
        <v>38</v>
      </c>
    </row>
    <row r="31" spans="1:12" x14ac:dyDescent="0.25">
      <c r="A31">
        <f t="shared" si="1"/>
        <v>28</v>
      </c>
      <c r="B31" t="s">
        <v>39</v>
      </c>
    </row>
    <row r="32" spans="1:12" x14ac:dyDescent="0.25">
      <c r="A32">
        <f t="shared" si="1"/>
        <v>29</v>
      </c>
      <c r="B32" t="s">
        <v>40</v>
      </c>
    </row>
    <row r="33" spans="1:2" x14ac:dyDescent="0.25">
      <c r="A33">
        <f t="shared" si="1"/>
        <v>30</v>
      </c>
      <c r="B33" t="s">
        <v>41</v>
      </c>
    </row>
    <row r="34" spans="1:2" x14ac:dyDescent="0.25">
      <c r="A34">
        <f t="shared" si="1"/>
        <v>31</v>
      </c>
      <c r="B34" t="s">
        <v>49</v>
      </c>
    </row>
  </sheetData>
  <conditionalFormatting sqref="G3:L2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D984-BBED-4C05-90E4-4CD5FF8C00DA}">
  <dimension ref="A1:AT80"/>
  <sheetViews>
    <sheetView topLeftCell="H22" workbookViewId="0">
      <selection activeCell="Q58" sqref="Q58"/>
    </sheetView>
  </sheetViews>
  <sheetFormatPr defaultRowHeight="15" x14ac:dyDescent="0.25"/>
  <cols>
    <col min="10" max="10" width="26.71093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46</v>
      </c>
      <c r="H1" t="s">
        <v>52</v>
      </c>
    </row>
    <row r="2" spans="1:28" x14ac:dyDescent="0.25">
      <c r="A2" t="s">
        <v>47</v>
      </c>
      <c r="B2">
        <v>0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>
        <v>0</v>
      </c>
    </row>
    <row r="3" spans="1:28" x14ac:dyDescent="0.25">
      <c r="A3" t="s">
        <v>18</v>
      </c>
      <c r="B3">
        <v>140</v>
      </c>
      <c r="C3" t="s">
        <v>7</v>
      </c>
      <c r="D3" t="s">
        <v>19</v>
      </c>
      <c r="E3" s="1">
        <v>0.38541666666666669</v>
      </c>
      <c r="F3" s="1">
        <v>0.4826388888888889</v>
      </c>
      <c r="G3">
        <f t="shared" ref="G3:G12" si="0">VLOOKUP(D3,$J$11:$L$12,3,FALSE)</f>
        <v>20</v>
      </c>
      <c r="H3">
        <f t="shared" ref="H3:H13" si="1">H2+1</f>
        <v>1</v>
      </c>
      <c r="J3">
        <f>E3*1440</f>
        <v>555</v>
      </c>
    </row>
    <row r="4" spans="1:28" x14ac:dyDescent="0.25">
      <c r="A4" t="s">
        <v>20</v>
      </c>
      <c r="B4">
        <v>140</v>
      </c>
      <c r="C4" t="s">
        <v>7</v>
      </c>
      <c r="D4" t="s">
        <v>19</v>
      </c>
      <c r="E4" s="1">
        <v>0.46875</v>
      </c>
      <c r="F4" s="1">
        <v>0.56597222222222221</v>
      </c>
      <c r="G4">
        <f t="shared" si="0"/>
        <v>20</v>
      </c>
      <c r="H4">
        <f t="shared" si="1"/>
        <v>2</v>
      </c>
      <c r="J4" s="1"/>
    </row>
    <row r="5" spans="1:28" x14ac:dyDescent="0.25">
      <c r="A5" t="s">
        <v>21</v>
      </c>
      <c r="B5">
        <v>140</v>
      </c>
      <c r="C5" t="s">
        <v>7</v>
      </c>
      <c r="D5" t="s">
        <v>19</v>
      </c>
      <c r="E5" s="1">
        <v>0.55208333333333337</v>
      </c>
      <c r="F5" s="1">
        <v>0.64930555555555558</v>
      </c>
      <c r="G5">
        <f t="shared" si="0"/>
        <v>20</v>
      </c>
      <c r="H5">
        <f t="shared" si="1"/>
        <v>3</v>
      </c>
      <c r="J5">
        <f>F7*1440</f>
        <v>1355</v>
      </c>
    </row>
    <row r="6" spans="1:28" x14ac:dyDescent="0.25">
      <c r="A6" t="s">
        <v>22</v>
      </c>
      <c r="B6">
        <v>140</v>
      </c>
      <c r="C6" t="s">
        <v>7</v>
      </c>
      <c r="D6" t="s">
        <v>19</v>
      </c>
      <c r="E6" s="1">
        <v>0.80208333333333337</v>
      </c>
      <c r="F6" s="1">
        <v>0.89930555555555547</v>
      </c>
      <c r="G6">
        <f t="shared" si="0"/>
        <v>20</v>
      </c>
      <c r="H6">
        <f t="shared" si="1"/>
        <v>4</v>
      </c>
    </row>
    <row r="7" spans="1:28" x14ac:dyDescent="0.25">
      <c r="A7" t="s">
        <v>23</v>
      </c>
      <c r="B7">
        <v>140</v>
      </c>
      <c r="C7" t="s">
        <v>7</v>
      </c>
      <c r="D7" t="s">
        <v>19</v>
      </c>
      <c r="E7" s="1">
        <v>0.84375</v>
      </c>
      <c r="F7" s="1">
        <v>0.94097222222222221</v>
      </c>
      <c r="G7">
        <f t="shared" si="0"/>
        <v>20</v>
      </c>
      <c r="H7">
        <f t="shared" si="1"/>
        <v>5</v>
      </c>
    </row>
    <row r="8" spans="1:28" x14ac:dyDescent="0.25">
      <c r="A8" t="s">
        <v>34</v>
      </c>
      <c r="B8">
        <v>140</v>
      </c>
      <c r="C8" t="s">
        <v>19</v>
      </c>
      <c r="D8" t="s">
        <v>7</v>
      </c>
      <c r="E8" s="1">
        <v>0.39583333333333331</v>
      </c>
      <c r="F8" s="1">
        <v>0.49305555555555558</v>
      </c>
      <c r="G8">
        <f t="shared" si="0"/>
        <v>20</v>
      </c>
      <c r="H8">
        <f t="shared" si="1"/>
        <v>6</v>
      </c>
      <c r="J8" t="s">
        <v>69</v>
      </c>
      <c r="K8">
        <f>MAX(F3:F12)*1440</f>
        <v>1355</v>
      </c>
    </row>
    <row r="9" spans="1:28" x14ac:dyDescent="0.25">
      <c r="A9" t="s">
        <v>35</v>
      </c>
      <c r="B9">
        <v>140</v>
      </c>
      <c r="C9" t="s">
        <v>19</v>
      </c>
      <c r="D9" t="s">
        <v>7</v>
      </c>
      <c r="E9" s="1">
        <v>0.51388888888888884</v>
      </c>
      <c r="F9" s="1">
        <v>0.61111111111111105</v>
      </c>
      <c r="G9">
        <f t="shared" si="0"/>
        <v>20</v>
      </c>
      <c r="H9">
        <f t="shared" si="1"/>
        <v>7</v>
      </c>
    </row>
    <row r="10" spans="1:28" x14ac:dyDescent="0.25">
      <c r="A10" t="s">
        <v>36</v>
      </c>
      <c r="B10">
        <v>140</v>
      </c>
      <c r="C10" t="s">
        <v>19</v>
      </c>
      <c r="D10" t="s">
        <v>7</v>
      </c>
      <c r="E10" s="1">
        <v>0.59722222222222221</v>
      </c>
      <c r="F10" s="1">
        <v>0.69444444444444453</v>
      </c>
      <c r="G10">
        <f t="shared" si="0"/>
        <v>20</v>
      </c>
      <c r="H10">
        <f t="shared" si="1"/>
        <v>8</v>
      </c>
      <c r="J10" t="s">
        <v>16</v>
      </c>
      <c r="K10" t="s">
        <v>17</v>
      </c>
      <c r="L10" t="s">
        <v>44</v>
      </c>
    </row>
    <row r="11" spans="1:28" x14ac:dyDescent="0.25">
      <c r="A11" t="s">
        <v>37</v>
      </c>
      <c r="B11">
        <v>140</v>
      </c>
      <c r="C11" t="s">
        <v>19</v>
      </c>
      <c r="D11" t="s">
        <v>7</v>
      </c>
      <c r="E11" s="1">
        <v>0.63888888888888895</v>
      </c>
      <c r="F11" s="1">
        <v>0.73611111111111116</v>
      </c>
      <c r="G11">
        <f t="shared" si="0"/>
        <v>20</v>
      </c>
      <c r="H11">
        <f t="shared" si="1"/>
        <v>9</v>
      </c>
      <c r="J11" t="s">
        <v>7</v>
      </c>
      <c r="K11">
        <v>15</v>
      </c>
      <c r="L11">
        <v>20</v>
      </c>
    </row>
    <row r="12" spans="1:28" x14ac:dyDescent="0.25">
      <c r="A12" t="s">
        <v>38</v>
      </c>
      <c r="B12">
        <v>140</v>
      </c>
      <c r="C12" t="s">
        <v>19</v>
      </c>
      <c r="D12" t="s">
        <v>7</v>
      </c>
      <c r="E12" s="1">
        <v>0.72222222222222221</v>
      </c>
      <c r="F12" s="1">
        <v>0.81944444444444453</v>
      </c>
      <c r="G12">
        <f t="shared" si="0"/>
        <v>20</v>
      </c>
      <c r="H12">
        <f t="shared" si="1"/>
        <v>10</v>
      </c>
      <c r="J12" t="s">
        <v>19</v>
      </c>
      <c r="K12">
        <v>15</v>
      </c>
      <c r="L12">
        <v>20</v>
      </c>
    </row>
    <row r="13" spans="1:28" x14ac:dyDescent="0.25">
      <c r="A13" t="s">
        <v>49</v>
      </c>
      <c r="B13">
        <v>60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>
        <f t="shared" si="1"/>
        <v>11</v>
      </c>
      <c r="J13">
        <v>100</v>
      </c>
      <c r="K13" t="s">
        <v>55</v>
      </c>
    </row>
    <row r="14" spans="1:28" x14ac:dyDescent="0.25">
      <c r="A14" t="s">
        <v>59</v>
      </c>
      <c r="B14">
        <v>75</v>
      </c>
      <c r="C14" t="s">
        <v>48</v>
      </c>
      <c r="D14" t="s">
        <v>48</v>
      </c>
      <c r="E14" t="s">
        <v>48</v>
      </c>
      <c r="F14" t="s">
        <v>48</v>
      </c>
      <c r="G14" t="s">
        <v>48</v>
      </c>
      <c r="H14">
        <v>12</v>
      </c>
      <c r="J14" t="s">
        <v>45</v>
      </c>
      <c r="K14">
        <v>350</v>
      </c>
    </row>
    <row r="16" spans="1:28" x14ac:dyDescent="0.25">
      <c r="A16" t="s">
        <v>56</v>
      </c>
      <c r="B16" t="s">
        <v>47</v>
      </c>
      <c r="C16" t="s">
        <v>18</v>
      </c>
      <c r="D16" t="s">
        <v>20</v>
      </c>
      <c r="E16" t="s">
        <v>21</v>
      </c>
      <c r="F16" t="s">
        <v>22</v>
      </c>
      <c r="G16" t="s">
        <v>23</v>
      </c>
      <c r="H16" t="s">
        <v>34</v>
      </c>
      <c r="I16" t="s">
        <v>35</v>
      </c>
      <c r="J16" t="s">
        <v>36</v>
      </c>
      <c r="K16" t="s">
        <v>37</v>
      </c>
      <c r="L16" t="s">
        <v>38</v>
      </c>
      <c r="O16" t="s">
        <v>57</v>
      </c>
      <c r="P16" t="s">
        <v>47</v>
      </c>
      <c r="Q16" t="s">
        <v>18</v>
      </c>
      <c r="R16" t="s">
        <v>20</v>
      </c>
      <c r="S16" t="s">
        <v>21</v>
      </c>
      <c r="T16" t="s">
        <v>22</v>
      </c>
      <c r="U16" t="s">
        <v>23</v>
      </c>
      <c r="V16" t="s">
        <v>34</v>
      </c>
      <c r="W16" t="s">
        <v>35</v>
      </c>
      <c r="X16" t="s">
        <v>36</v>
      </c>
      <c r="Y16" t="s">
        <v>37</v>
      </c>
      <c r="Z16" t="s">
        <v>38</v>
      </c>
      <c r="AA16" t="s">
        <v>49</v>
      </c>
      <c r="AB16" t="s">
        <v>59</v>
      </c>
    </row>
    <row r="17" spans="1:46" x14ac:dyDescent="0.25">
      <c r="A17" t="s">
        <v>47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O17" t="s">
        <v>47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46" x14ac:dyDescent="0.25">
      <c r="A18" t="s">
        <v>18</v>
      </c>
      <c r="B18">
        <v>1</v>
      </c>
      <c r="C18">
        <f>IF(AND(VLOOKUP(C$16,$A$3:$G$12,5,FALSE) - VLOOKUP($A18,$A$3:$G$12,6,FALSE)&gt;=VLOOKUP(VLOOKUP(C$16,$A$3:$G$12,3,FALSE), $J$11:$L$12, 2, FALSE)/1440, VLOOKUP($A18,$A$3:$G$12,4,FALSE)=VLOOKUP(C$16,$A$3:$G$12,3,FALSE)),1,0)</f>
        <v>0</v>
      </c>
      <c r="D18">
        <f t="shared" ref="D18:L18" si="2">IF(AND(VLOOKUP(D$16,$A$3:$G$12,5,FALSE) - VLOOKUP($A18,$A$3:$G$12,6,FALSE)&gt;=VLOOKUP(VLOOKUP(D$16,$A$3:$G$12,3,FALSE), $J$11:$L$12, 2, FALSE)/1440, VLOOKUP($A18,$A$3:$G$12,4,FALSE)=VLOOKUP(D$16,$A$3:$G$12,3,FALSE)),1,0)</f>
        <v>0</v>
      </c>
      <c r="E18">
        <f t="shared" si="2"/>
        <v>0</v>
      </c>
      <c r="F18">
        <f t="shared" si="2"/>
        <v>0</v>
      </c>
      <c r="G18">
        <f t="shared" si="2"/>
        <v>0</v>
      </c>
      <c r="H18">
        <f t="shared" si="2"/>
        <v>0</v>
      </c>
      <c r="I18">
        <f t="shared" si="2"/>
        <v>1</v>
      </c>
      <c r="J18">
        <f t="shared" si="2"/>
        <v>1</v>
      </c>
      <c r="K18">
        <f t="shared" si="2"/>
        <v>1</v>
      </c>
      <c r="L18">
        <f t="shared" si="2"/>
        <v>1</v>
      </c>
      <c r="O18" t="s">
        <v>18</v>
      </c>
      <c r="P18">
        <v>0</v>
      </c>
      <c r="Q18">
        <v>0</v>
      </c>
      <c r="R18">
        <f t="shared" ref="R18:Z27" si="3">IF(AND(SUM(VLOOKUP($O18,$A$3:$G$12,2,FALSE),VLOOKUP(R$16,$A$3:$G$12,2,FALSE))&lt;$K$14,$O18&lt;&gt;R$16,D18=1),SUM(VLOOKUP($O18,$A$3:$G$12,2,FALSE),VLOOKUP(R$16,$A$3:$G$12,2,FALSE)),0)</f>
        <v>0</v>
      </c>
      <c r="S18">
        <f t="shared" si="3"/>
        <v>0</v>
      </c>
      <c r="T18">
        <f t="shared" si="3"/>
        <v>0</v>
      </c>
      <c r="U18">
        <f t="shared" si="3"/>
        <v>0</v>
      </c>
      <c r="V18">
        <f t="shared" si="3"/>
        <v>0</v>
      </c>
      <c r="W18">
        <v>280</v>
      </c>
      <c r="X18">
        <v>280</v>
      </c>
      <c r="Y18">
        <v>280</v>
      </c>
      <c r="Z18">
        <v>280</v>
      </c>
      <c r="AA18">
        <v>60</v>
      </c>
      <c r="AB18">
        <v>75</v>
      </c>
      <c r="AG18" t="s">
        <v>62</v>
      </c>
      <c r="AH18" t="s">
        <v>47</v>
      </c>
      <c r="AI18" t="s">
        <v>18</v>
      </c>
      <c r="AJ18" t="s">
        <v>20</v>
      </c>
      <c r="AK18" t="s">
        <v>21</v>
      </c>
      <c r="AL18" t="s">
        <v>22</v>
      </c>
      <c r="AM18" t="s">
        <v>23</v>
      </c>
      <c r="AN18" t="s">
        <v>34</v>
      </c>
      <c r="AO18" t="s">
        <v>35</v>
      </c>
      <c r="AP18" t="s">
        <v>36</v>
      </c>
      <c r="AQ18" t="s">
        <v>37</v>
      </c>
      <c r="AR18" t="s">
        <v>38</v>
      </c>
      <c r="AS18" t="s">
        <v>49</v>
      </c>
      <c r="AT18" t="s">
        <v>59</v>
      </c>
    </row>
    <row r="19" spans="1:46" x14ac:dyDescent="0.25">
      <c r="A19" t="s">
        <v>20</v>
      </c>
      <c r="B19">
        <v>1</v>
      </c>
      <c r="C19">
        <f t="shared" ref="C19:L27" si="4">IF(AND(VLOOKUP(C$16,$A$3:$G$12,5,FALSE) - VLOOKUP($A19,$A$3:$G$12,6,FALSE)&gt;=VLOOKUP(VLOOKUP(C$16,$A$3:$G$12,3,FALSE), $J$11:$L$12, 2, FALSE)/1440, VLOOKUP($A19,$A$3:$G$12,4,FALSE)=VLOOKUP(C$16,$A$3:$G$12,3,FALSE)),1,0)</f>
        <v>0</v>
      </c>
      <c r="D19">
        <f t="shared" si="4"/>
        <v>0</v>
      </c>
      <c r="E19">
        <f t="shared" si="4"/>
        <v>0</v>
      </c>
      <c r="F19">
        <f t="shared" si="4"/>
        <v>0</v>
      </c>
      <c r="G19">
        <f t="shared" si="4"/>
        <v>0</v>
      </c>
      <c r="H19">
        <f t="shared" si="4"/>
        <v>0</v>
      </c>
      <c r="I19">
        <f t="shared" si="4"/>
        <v>0</v>
      </c>
      <c r="J19">
        <f t="shared" si="4"/>
        <v>1</v>
      </c>
      <c r="K19">
        <f t="shared" si="4"/>
        <v>1</v>
      </c>
      <c r="L19">
        <f t="shared" si="4"/>
        <v>1</v>
      </c>
      <c r="O19" t="s">
        <v>20</v>
      </c>
      <c r="P19">
        <v>0</v>
      </c>
      <c r="Q19">
        <f t="shared" ref="Q19:Q27" si="5">IF(AND(SUM(VLOOKUP($O19,$A$3:$G$12,2,FALSE),VLOOKUP(Q$16,$A$3:$G$12,2,FALSE))&lt;$K$14,$O19&lt;&gt;Q$16,C19=1),SUM(VLOOKUP($O19,$A$3:$G$12,2,FALSE),VLOOKUP(Q$16,$A$3:$G$12,2,FALSE)),0)</f>
        <v>0</v>
      </c>
      <c r="R19">
        <f t="shared" si="3"/>
        <v>0</v>
      </c>
      <c r="S19">
        <f t="shared" si="3"/>
        <v>0</v>
      </c>
      <c r="T19">
        <f t="shared" si="3"/>
        <v>0</v>
      </c>
      <c r="U19">
        <f t="shared" si="3"/>
        <v>0</v>
      </c>
      <c r="V19">
        <f t="shared" si="3"/>
        <v>0</v>
      </c>
      <c r="W19">
        <f t="shared" si="3"/>
        <v>0</v>
      </c>
      <c r="X19">
        <v>280</v>
      </c>
      <c r="Y19">
        <v>280</v>
      </c>
      <c r="Z19">
        <v>280</v>
      </c>
      <c r="AA19">
        <v>60</v>
      </c>
      <c r="AB19">
        <v>75</v>
      </c>
      <c r="AG19" t="s">
        <v>47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10</v>
      </c>
      <c r="AT19">
        <v>15</v>
      </c>
    </row>
    <row r="20" spans="1:46" x14ac:dyDescent="0.25">
      <c r="A20" t="s">
        <v>21</v>
      </c>
      <c r="B20">
        <v>1</v>
      </c>
      <c r="C20">
        <f t="shared" si="4"/>
        <v>0</v>
      </c>
      <c r="D20">
        <f t="shared" si="4"/>
        <v>0</v>
      </c>
      <c r="E20">
        <f t="shared" si="4"/>
        <v>0</v>
      </c>
      <c r="F20">
        <f t="shared" si="4"/>
        <v>0</v>
      </c>
      <c r="G20">
        <f t="shared" si="4"/>
        <v>0</v>
      </c>
      <c r="H20">
        <f t="shared" si="4"/>
        <v>0</v>
      </c>
      <c r="I20">
        <f t="shared" si="4"/>
        <v>0</v>
      </c>
      <c r="J20">
        <f t="shared" si="4"/>
        <v>0</v>
      </c>
      <c r="K20">
        <f t="shared" si="4"/>
        <v>0</v>
      </c>
      <c r="L20">
        <f t="shared" si="4"/>
        <v>1</v>
      </c>
      <c r="O20" t="s">
        <v>21</v>
      </c>
      <c r="P20">
        <v>0</v>
      </c>
      <c r="Q20">
        <f t="shared" si="5"/>
        <v>0</v>
      </c>
      <c r="R20">
        <f t="shared" si="3"/>
        <v>0</v>
      </c>
      <c r="S20">
        <f t="shared" si="3"/>
        <v>0</v>
      </c>
      <c r="T20">
        <f t="shared" si="3"/>
        <v>0</v>
      </c>
      <c r="U20">
        <f t="shared" si="3"/>
        <v>0</v>
      </c>
      <c r="V20">
        <f t="shared" si="3"/>
        <v>0</v>
      </c>
      <c r="W20">
        <f t="shared" si="3"/>
        <v>0</v>
      </c>
      <c r="X20">
        <f t="shared" si="3"/>
        <v>0</v>
      </c>
      <c r="Y20">
        <f t="shared" si="3"/>
        <v>0</v>
      </c>
      <c r="Z20">
        <v>280</v>
      </c>
      <c r="AA20">
        <v>60</v>
      </c>
      <c r="AB20">
        <v>75</v>
      </c>
      <c r="AG20" t="s">
        <v>18</v>
      </c>
      <c r="AH20">
        <v>0</v>
      </c>
      <c r="AI20">
        <f>IF(AND(SUM(VLOOKUP($AG20,$A$2:$H$12,2,FALSE),VLOOKUP(AI$18,$A$2:$H$12,2,FALSE))&lt;$K$14,$AG20&lt;&gt;AI$18,C18=1),(VLOOKUP(AI$18,$A$2:$H$12,5,FALSE)*1440)-(VLOOKUP($AG20,$A$2:$H$12,6,FALSE))*1440,0)</f>
        <v>0</v>
      </c>
      <c r="AJ20">
        <f t="shared" ref="AJ20:AR29" si="6">IF(AND(SUM(VLOOKUP($AG20,$A$2:$H$12,2,FALSE),VLOOKUP(AJ$18,$A$2:$H$12,2,FALSE))&lt;$K$14,$AG20&lt;&gt;AJ$18,D18=1),(VLOOKUP(AJ$18,$A$2:$H$12,5,FALSE)*1440)-(VLOOKUP($AG20,$A$2:$H$12,6,FALSE))*1440,0)</f>
        <v>0</v>
      </c>
      <c r="AK20">
        <f t="shared" si="6"/>
        <v>0</v>
      </c>
      <c r="AL20">
        <f t="shared" si="6"/>
        <v>0</v>
      </c>
      <c r="AM20">
        <f t="shared" si="6"/>
        <v>0</v>
      </c>
      <c r="AN20">
        <f t="shared" si="6"/>
        <v>0</v>
      </c>
      <c r="AO20">
        <f t="shared" si="6"/>
        <v>44.999999999999886</v>
      </c>
      <c r="AP20">
        <f t="shared" si="6"/>
        <v>165</v>
      </c>
      <c r="AQ20">
        <f t="shared" si="6"/>
        <v>225.00000000000011</v>
      </c>
      <c r="AR20">
        <f t="shared" si="6"/>
        <v>345</v>
      </c>
      <c r="AS20">
        <v>10</v>
      </c>
      <c r="AT20">
        <v>15</v>
      </c>
    </row>
    <row r="21" spans="1:46" x14ac:dyDescent="0.25">
      <c r="A21" t="s">
        <v>22</v>
      </c>
      <c r="B21">
        <v>1</v>
      </c>
      <c r="C21">
        <f t="shared" si="4"/>
        <v>0</v>
      </c>
      <c r="D21">
        <f t="shared" si="4"/>
        <v>0</v>
      </c>
      <c r="E21">
        <f t="shared" si="4"/>
        <v>0</v>
      </c>
      <c r="F21">
        <f t="shared" si="4"/>
        <v>0</v>
      </c>
      <c r="G21">
        <f t="shared" si="4"/>
        <v>0</v>
      </c>
      <c r="H21">
        <f t="shared" si="4"/>
        <v>0</v>
      </c>
      <c r="I21">
        <f t="shared" si="4"/>
        <v>0</v>
      </c>
      <c r="J21">
        <f t="shared" si="4"/>
        <v>0</v>
      </c>
      <c r="K21">
        <f t="shared" si="4"/>
        <v>0</v>
      </c>
      <c r="L21">
        <f t="shared" si="4"/>
        <v>0</v>
      </c>
      <c r="O21" t="s">
        <v>22</v>
      </c>
      <c r="P21">
        <v>0</v>
      </c>
      <c r="Q21">
        <f t="shared" si="5"/>
        <v>0</v>
      </c>
      <c r="R21">
        <f t="shared" si="3"/>
        <v>0</v>
      </c>
      <c r="S21">
        <f t="shared" si="3"/>
        <v>0</v>
      </c>
      <c r="T21">
        <f t="shared" si="3"/>
        <v>0</v>
      </c>
      <c r="U21">
        <f t="shared" si="3"/>
        <v>0</v>
      </c>
      <c r="V21">
        <f t="shared" si="3"/>
        <v>0</v>
      </c>
      <c r="W21">
        <f t="shared" si="3"/>
        <v>0</v>
      </c>
      <c r="X21">
        <f t="shared" si="3"/>
        <v>0</v>
      </c>
      <c r="Y21">
        <f t="shared" si="3"/>
        <v>0</v>
      </c>
      <c r="Z21">
        <f t="shared" si="3"/>
        <v>0</v>
      </c>
      <c r="AA21">
        <v>60</v>
      </c>
      <c r="AB21">
        <v>75</v>
      </c>
      <c r="AG21" t="s">
        <v>20</v>
      </c>
      <c r="AH21">
        <v>0</v>
      </c>
      <c r="AI21">
        <f t="shared" ref="AI21:AI29" si="7">IF(AND(SUM(VLOOKUP($AG21,$A$2:$H$12,2,FALSE),VLOOKUP(AI$18,$A$2:$H$12,2,FALSE))&lt;$K$14,$AG21&lt;&gt;AI$18,C19=1),(VLOOKUP(AI$18,$A$2:$H$12,5,FALSE)*1440)-(VLOOKUP($AG21,$A$2:$H$12,6,FALSE))*1440,0)</f>
        <v>0</v>
      </c>
      <c r="AJ21">
        <f t="shared" si="6"/>
        <v>0</v>
      </c>
      <c r="AK21">
        <f t="shared" si="6"/>
        <v>0</v>
      </c>
      <c r="AL21">
        <f t="shared" si="6"/>
        <v>0</v>
      </c>
      <c r="AM21">
        <f t="shared" si="6"/>
        <v>0</v>
      </c>
      <c r="AN21">
        <f t="shared" si="6"/>
        <v>0</v>
      </c>
      <c r="AO21">
        <f t="shared" si="6"/>
        <v>0</v>
      </c>
      <c r="AP21">
        <f t="shared" si="6"/>
        <v>45</v>
      </c>
      <c r="AQ21">
        <f t="shared" si="6"/>
        <v>105.00000000000011</v>
      </c>
      <c r="AR21">
        <f t="shared" si="6"/>
        <v>225</v>
      </c>
      <c r="AS21">
        <v>10</v>
      </c>
      <c r="AT21">
        <v>15</v>
      </c>
    </row>
    <row r="22" spans="1:46" x14ac:dyDescent="0.25">
      <c r="A22" t="s">
        <v>23</v>
      </c>
      <c r="B22">
        <v>1</v>
      </c>
      <c r="C22">
        <f t="shared" si="4"/>
        <v>0</v>
      </c>
      <c r="D22">
        <f t="shared" si="4"/>
        <v>0</v>
      </c>
      <c r="E22">
        <f t="shared" si="4"/>
        <v>0</v>
      </c>
      <c r="F22">
        <f t="shared" si="4"/>
        <v>0</v>
      </c>
      <c r="G22">
        <f t="shared" si="4"/>
        <v>0</v>
      </c>
      <c r="H22">
        <f t="shared" si="4"/>
        <v>0</v>
      </c>
      <c r="I22">
        <f t="shared" si="4"/>
        <v>0</v>
      </c>
      <c r="J22">
        <f t="shared" si="4"/>
        <v>0</v>
      </c>
      <c r="K22">
        <f t="shared" si="4"/>
        <v>0</v>
      </c>
      <c r="L22">
        <f t="shared" si="4"/>
        <v>0</v>
      </c>
      <c r="O22" t="s">
        <v>23</v>
      </c>
      <c r="P22">
        <v>0</v>
      </c>
      <c r="Q22">
        <f t="shared" si="5"/>
        <v>0</v>
      </c>
      <c r="R22">
        <f t="shared" si="3"/>
        <v>0</v>
      </c>
      <c r="S22">
        <f t="shared" si="3"/>
        <v>0</v>
      </c>
      <c r="T22">
        <f t="shared" si="3"/>
        <v>0</v>
      </c>
      <c r="U22">
        <f t="shared" si="3"/>
        <v>0</v>
      </c>
      <c r="V22">
        <f t="shared" si="3"/>
        <v>0</v>
      </c>
      <c r="W22">
        <f t="shared" si="3"/>
        <v>0</v>
      </c>
      <c r="X22">
        <f t="shared" si="3"/>
        <v>0</v>
      </c>
      <c r="Y22">
        <f t="shared" si="3"/>
        <v>0</v>
      </c>
      <c r="Z22">
        <f t="shared" si="3"/>
        <v>0</v>
      </c>
      <c r="AA22">
        <v>60</v>
      </c>
      <c r="AB22">
        <v>75</v>
      </c>
      <c r="AG22" t="s">
        <v>21</v>
      </c>
      <c r="AH22">
        <v>0</v>
      </c>
      <c r="AI22">
        <f t="shared" si="7"/>
        <v>0</v>
      </c>
      <c r="AJ22">
        <f t="shared" si="6"/>
        <v>0</v>
      </c>
      <c r="AK22">
        <f t="shared" si="6"/>
        <v>0</v>
      </c>
      <c r="AL22">
        <f t="shared" si="6"/>
        <v>0</v>
      </c>
      <c r="AM22">
        <f t="shared" si="6"/>
        <v>0</v>
      </c>
      <c r="AN22">
        <f t="shared" si="6"/>
        <v>0</v>
      </c>
      <c r="AO22">
        <f t="shared" si="6"/>
        <v>0</v>
      </c>
      <c r="AP22">
        <f t="shared" si="6"/>
        <v>0</v>
      </c>
      <c r="AQ22">
        <f t="shared" si="6"/>
        <v>0</v>
      </c>
      <c r="AR22">
        <f t="shared" si="6"/>
        <v>105</v>
      </c>
      <c r="AS22">
        <v>10</v>
      </c>
      <c r="AT22">
        <v>15</v>
      </c>
    </row>
    <row r="23" spans="1:46" x14ac:dyDescent="0.25">
      <c r="A23" t="s">
        <v>34</v>
      </c>
      <c r="B23">
        <v>1</v>
      </c>
      <c r="C23">
        <f t="shared" si="4"/>
        <v>0</v>
      </c>
      <c r="D23">
        <f t="shared" si="4"/>
        <v>0</v>
      </c>
      <c r="E23">
        <f t="shared" si="4"/>
        <v>1</v>
      </c>
      <c r="F23">
        <f t="shared" si="4"/>
        <v>1</v>
      </c>
      <c r="G23">
        <f t="shared" si="4"/>
        <v>1</v>
      </c>
      <c r="H23">
        <f t="shared" si="4"/>
        <v>0</v>
      </c>
      <c r="I23">
        <f t="shared" si="4"/>
        <v>0</v>
      </c>
      <c r="J23">
        <f t="shared" si="4"/>
        <v>0</v>
      </c>
      <c r="K23">
        <f t="shared" si="4"/>
        <v>0</v>
      </c>
      <c r="L23">
        <f t="shared" si="4"/>
        <v>0</v>
      </c>
      <c r="O23" t="s">
        <v>34</v>
      </c>
      <c r="P23">
        <v>0</v>
      </c>
      <c r="Q23">
        <f t="shared" si="5"/>
        <v>0</v>
      </c>
      <c r="R23">
        <f t="shared" si="3"/>
        <v>0</v>
      </c>
      <c r="S23">
        <v>280</v>
      </c>
      <c r="T23">
        <v>280</v>
      </c>
      <c r="U23">
        <v>280</v>
      </c>
      <c r="V23">
        <f t="shared" si="3"/>
        <v>0</v>
      </c>
      <c r="W23">
        <f t="shared" si="3"/>
        <v>0</v>
      </c>
      <c r="X23">
        <f t="shared" si="3"/>
        <v>0</v>
      </c>
      <c r="Y23">
        <f t="shared" si="3"/>
        <v>0</v>
      </c>
      <c r="Z23">
        <f t="shared" si="3"/>
        <v>0</v>
      </c>
      <c r="AA23">
        <v>60</v>
      </c>
      <c r="AB23">
        <v>75</v>
      </c>
      <c r="AG23" t="s">
        <v>22</v>
      </c>
      <c r="AH23">
        <v>0</v>
      </c>
      <c r="AI23">
        <f t="shared" si="7"/>
        <v>0</v>
      </c>
      <c r="AJ23">
        <f t="shared" si="6"/>
        <v>0</v>
      </c>
      <c r="AK23">
        <f t="shared" si="6"/>
        <v>0</v>
      </c>
      <c r="AL23">
        <f t="shared" si="6"/>
        <v>0</v>
      </c>
      <c r="AM23">
        <f t="shared" si="6"/>
        <v>0</v>
      </c>
      <c r="AN23">
        <f t="shared" si="6"/>
        <v>0</v>
      </c>
      <c r="AO23">
        <f t="shared" si="6"/>
        <v>0</v>
      </c>
      <c r="AP23">
        <f t="shared" si="6"/>
        <v>0</v>
      </c>
      <c r="AQ23">
        <f t="shared" si="6"/>
        <v>0</v>
      </c>
      <c r="AR23">
        <f t="shared" si="6"/>
        <v>0</v>
      </c>
      <c r="AS23">
        <v>10</v>
      </c>
      <c r="AT23">
        <v>15</v>
      </c>
    </row>
    <row r="24" spans="1:46" x14ac:dyDescent="0.25">
      <c r="A24" t="s">
        <v>35</v>
      </c>
      <c r="B24">
        <v>1</v>
      </c>
      <c r="C24">
        <f t="shared" si="4"/>
        <v>0</v>
      </c>
      <c r="D24">
        <f t="shared" si="4"/>
        <v>0</v>
      </c>
      <c r="E24">
        <f t="shared" si="4"/>
        <v>0</v>
      </c>
      <c r="F24">
        <f t="shared" si="4"/>
        <v>1</v>
      </c>
      <c r="G24">
        <f t="shared" si="4"/>
        <v>1</v>
      </c>
      <c r="H24">
        <f t="shared" si="4"/>
        <v>0</v>
      </c>
      <c r="I24">
        <f t="shared" si="4"/>
        <v>0</v>
      </c>
      <c r="J24">
        <f t="shared" si="4"/>
        <v>0</v>
      </c>
      <c r="K24">
        <f t="shared" si="4"/>
        <v>0</v>
      </c>
      <c r="L24">
        <f t="shared" si="4"/>
        <v>0</v>
      </c>
      <c r="O24" t="s">
        <v>35</v>
      </c>
      <c r="P24">
        <v>0</v>
      </c>
      <c r="Q24">
        <f t="shared" si="5"/>
        <v>0</v>
      </c>
      <c r="R24">
        <f t="shared" si="3"/>
        <v>0</v>
      </c>
      <c r="S24">
        <f t="shared" si="3"/>
        <v>0</v>
      </c>
      <c r="T24">
        <v>280</v>
      </c>
      <c r="U24">
        <v>280</v>
      </c>
      <c r="V24">
        <f t="shared" si="3"/>
        <v>0</v>
      </c>
      <c r="W24">
        <f t="shared" si="3"/>
        <v>0</v>
      </c>
      <c r="X24">
        <f t="shared" si="3"/>
        <v>0</v>
      </c>
      <c r="Y24">
        <f t="shared" si="3"/>
        <v>0</v>
      </c>
      <c r="Z24">
        <f t="shared" si="3"/>
        <v>0</v>
      </c>
      <c r="AA24">
        <v>60</v>
      </c>
      <c r="AB24">
        <v>75</v>
      </c>
      <c r="AG24" t="s">
        <v>23</v>
      </c>
      <c r="AH24">
        <v>0</v>
      </c>
      <c r="AI24">
        <f t="shared" si="7"/>
        <v>0</v>
      </c>
      <c r="AJ24">
        <f t="shared" si="6"/>
        <v>0</v>
      </c>
      <c r="AK24">
        <f t="shared" si="6"/>
        <v>0</v>
      </c>
      <c r="AL24">
        <f t="shared" si="6"/>
        <v>0</v>
      </c>
      <c r="AM24">
        <f t="shared" si="6"/>
        <v>0</v>
      </c>
      <c r="AN24">
        <f t="shared" si="6"/>
        <v>0</v>
      </c>
      <c r="AO24">
        <f t="shared" si="6"/>
        <v>0</v>
      </c>
      <c r="AP24">
        <f t="shared" si="6"/>
        <v>0</v>
      </c>
      <c r="AQ24">
        <f t="shared" si="6"/>
        <v>0</v>
      </c>
      <c r="AR24">
        <f t="shared" si="6"/>
        <v>0</v>
      </c>
      <c r="AS24">
        <v>10</v>
      </c>
      <c r="AT24">
        <v>15</v>
      </c>
    </row>
    <row r="25" spans="1:46" x14ac:dyDescent="0.25">
      <c r="A25" t="s">
        <v>36</v>
      </c>
      <c r="B25">
        <v>1</v>
      </c>
      <c r="C25">
        <f t="shared" si="4"/>
        <v>0</v>
      </c>
      <c r="D25">
        <f t="shared" si="4"/>
        <v>0</v>
      </c>
      <c r="E25">
        <f t="shared" si="4"/>
        <v>0</v>
      </c>
      <c r="F25">
        <f t="shared" si="4"/>
        <v>1</v>
      </c>
      <c r="G25">
        <f t="shared" si="4"/>
        <v>1</v>
      </c>
      <c r="H25">
        <f t="shared" si="4"/>
        <v>0</v>
      </c>
      <c r="I25">
        <f t="shared" si="4"/>
        <v>0</v>
      </c>
      <c r="J25">
        <f t="shared" si="4"/>
        <v>0</v>
      </c>
      <c r="K25">
        <f t="shared" si="4"/>
        <v>0</v>
      </c>
      <c r="L25">
        <f t="shared" si="4"/>
        <v>0</v>
      </c>
      <c r="O25" t="s">
        <v>36</v>
      </c>
      <c r="P25">
        <v>0</v>
      </c>
      <c r="Q25">
        <f t="shared" si="5"/>
        <v>0</v>
      </c>
      <c r="R25">
        <f t="shared" si="3"/>
        <v>0</v>
      </c>
      <c r="S25">
        <f t="shared" si="3"/>
        <v>0</v>
      </c>
      <c r="T25">
        <v>280</v>
      </c>
      <c r="U25">
        <v>280</v>
      </c>
      <c r="V25">
        <f t="shared" si="3"/>
        <v>0</v>
      </c>
      <c r="W25">
        <f t="shared" si="3"/>
        <v>0</v>
      </c>
      <c r="X25">
        <f t="shared" si="3"/>
        <v>0</v>
      </c>
      <c r="Y25">
        <f t="shared" si="3"/>
        <v>0</v>
      </c>
      <c r="Z25">
        <f t="shared" si="3"/>
        <v>0</v>
      </c>
      <c r="AA25">
        <v>60</v>
      </c>
      <c r="AB25">
        <v>75</v>
      </c>
      <c r="AG25" t="s">
        <v>34</v>
      </c>
      <c r="AH25">
        <v>0</v>
      </c>
      <c r="AI25">
        <f t="shared" si="7"/>
        <v>0</v>
      </c>
      <c r="AJ25">
        <f t="shared" si="6"/>
        <v>0</v>
      </c>
      <c r="AK25">
        <f t="shared" si="6"/>
        <v>85</v>
      </c>
      <c r="AL25">
        <f t="shared" si="6"/>
        <v>445</v>
      </c>
      <c r="AM25">
        <f t="shared" si="6"/>
        <v>505</v>
      </c>
      <c r="AN25">
        <f t="shared" si="6"/>
        <v>0</v>
      </c>
      <c r="AO25">
        <f t="shared" si="6"/>
        <v>0</v>
      </c>
      <c r="AP25">
        <f t="shared" si="6"/>
        <v>0</v>
      </c>
      <c r="AQ25">
        <f t="shared" si="6"/>
        <v>0</v>
      </c>
      <c r="AR25">
        <f t="shared" si="6"/>
        <v>0</v>
      </c>
      <c r="AS25">
        <v>10</v>
      </c>
      <c r="AT25">
        <v>15</v>
      </c>
    </row>
    <row r="26" spans="1:46" x14ac:dyDescent="0.25">
      <c r="A26" t="s">
        <v>37</v>
      </c>
      <c r="B26">
        <v>1</v>
      </c>
      <c r="C26">
        <f t="shared" si="4"/>
        <v>0</v>
      </c>
      <c r="D26">
        <f t="shared" si="4"/>
        <v>0</v>
      </c>
      <c r="E26">
        <f t="shared" si="4"/>
        <v>0</v>
      </c>
      <c r="F26">
        <f t="shared" si="4"/>
        <v>1</v>
      </c>
      <c r="G26">
        <f t="shared" si="4"/>
        <v>1</v>
      </c>
      <c r="H26">
        <f t="shared" si="4"/>
        <v>0</v>
      </c>
      <c r="I26">
        <f t="shared" si="4"/>
        <v>0</v>
      </c>
      <c r="J26">
        <f t="shared" si="4"/>
        <v>0</v>
      </c>
      <c r="K26">
        <f t="shared" si="4"/>
        <v>0</v>
      </c>
      <c r="L26">
        <f t="shared" si="4"/>
        <v>0</v>
      </c>
      <c r="O26" t="s">
        <v>37</v>
      </c>
      <c r="P26">
        <v>0</v>
      </c>
      <c r="Q26">
        <f t="shared" si="5"/>
        <v>0</v>
      </c>
      <c r="R26">
        <f t="shared" si="3"/>
        <v>0</v>
      </c>
      <c r="S26">
        <f t="shared" si="3"/>
        <v>0</v>
      </c>
      <c r="T26">
        <v>280</v>
      </c>
      <c r="U26">
        <v>280</v>
      </c>
      <c r="V26">
        <f t="shared" si="3"/>
        <v>0</v>
      </c>
      <c r="W26">
        <f t="shared" si="3"/>
        <v>0</v>
      </c>
      <c r="X26">
        <f t="shared" si="3"/>
        <v>0</v>
      </c>
      <c r="Y26">
        <f t="shared" si="3"/>
        <v>0</v>
      </c>
      <c r="Z26">
        <f t="shared" si="3"/>
        <v>0</v>
      </c>
      <c r="AA26">
        <v>60</v>
      </c>
      <c r="AB26">
        <v>75</v>
      </c>
      <c r="AG26" t="s">
        <v>35</v>
      </c>
      <c r="AH26">
        <v>0</v>
      </c>
      <c r="AI26">
        <f t="shared" si="7"/>
        <v>0</v>
      </c>
      <c r="AJ26">
        <f t="shared" si="6"/>
        <v>0</v>
      </c>
      <c r="AK26">
        <f t="shared" si="6"/>
        <v>0</v>
      </c>
      <c r="AL26">
        <f t="shared" si="6"/>
        <v>275.00000000000011</v>
      </c>
      <c r="AM26">
        <f t="shared" si="6"/>
        <v>335.00000000000011</v>
      </c>
      <c r="AN26">
        <f t="shared" si="6"/>
        <v>0</v>
      </c>
      <c r="AO26">
        <f t="shared" si="6"/>
        <v>0</v>
      </c>
      <c r="AP26">
        <f t="shared" si="6"/>
        <v>0</v>
      </c>
      <c r="AQ26">
        <f t="shared" si="6"/>
        <v>0</v>
      </c>
      <c r="AR26">
        <f t="shared" si="6"/>
        <v>0</v>
      </c>
      <c r="AS26">
        <v>10</v>
      </c>
      <c r="AT26">
        <v>15</v>
      </c>
    </row>
    <row r="27" spans="1:46" x14ac:dyDescent="0.25">
      <c r="A27" t="s">
        <v>38</v>
      </c>
      <c r="B27">
        <v>1</v>
      </c>
      <c r="C27">
        <f t="shared" si="4"/>
        <v>0</v>
      </c>
      <c r="D27">
        <f t="shared" si="4"/>
        <v>0</v>
      </c>
      <c r="E27">
        <f t="shared" si="4"/>
        <v>0</v>
      </c>
      <c r="F27">
        <f t="shared" si="4"/>
        <v>0</v>
      </c>
      <c r="G27">
        <f t="shared" si="4"/>
        <v>1</v>
      </c>
      <c r="H27">
        <f t="shared" si="4"/>
        <v>0</v>
      </c>
      <c r="I27">
        <f t="shared" si="4"/>
        <v>0</v>
      </c>
      <c r="J27">
        <f t="shared" si="4"/>
        <v>0</v>
      </c>
      <c r="K27">
        <f t="shared" si="4"/>
        <v>0</v>
      </c>
      <c r="L27">
        <f t="shared" si="4"/>
        <v>0</v>
      </c>
      <c r="O27" t="s">
        <v>38</v>
      </c>
      <c r="P27">
        <v>0</v>
      </c>
      <c r="Q27">
        <f t="shared" si="5"/>
        <v>0</v>
      </c>
      <c r="R27">
        <f t="shared" si="3"/>
        <v>0</v>
      </c>
      <c r="S27">
        <f t="shared" si="3"/>
        <v>0</v>
      </c>
      <c r="T27">
        <f t="shared" si="3"/>
        <v>0</v>
      </c>
      <c r="U27">
        <v>280</v>
      </c>
      <c r="V27">
        <f t="shared" si="3"/>
        <v>0</v>
      </c>
      <c r="W27">
        <f t="shared" si="3"/>
        <v>0</v>
      </c>
      <c r="X27">
        <f t="shared" si="3"/>
        <v>0</v>
      </c>
      <c r="Y27">
        <f t="shared" si="3"/>
        <v>0</v>
      </c>
      <c r="Z27">
        <f t="shared" si="3"/>
        <v>0</v>
      </c>
      <c r="AA27">
        <v>60</v>
      </c>
      <c r="AB27">
        <v>75</v>
      </c>
      <c r="AG27" t="s">
        <v>36</v>
      </c>
      <c r="AH27">
        <v>0</v>
      </c>
      <c r="AI27">
        <f t="shared" si="7"/>
        <v>0</v>
      </c>
      <c r="AJ27">
        <f t="shared" si="6"/>
        <v>0</v>
      </c>
      <c r="AK27">
        <f t="shared" si="6"/>
        <v>0</v>
      </c>
      <c r="AL27">
        <f t="shared" si="6"/>
        <v>154.99999999999989</v>
      </c>
      <c r="AM27">
        <f t="shared" si="6"/>
        <v>214.99999999999989</v>
      </c>
      <c r="AN27">
        <f t="shared" si="6"/>
        <v>0</v>
      </c>
      <c r="AO27">
        <f t="shared" si="6"/>
        <v>0</v>
      </c>
      <c r="AP27">
        <f t="shared" si="6"/>
        <v>0</v>
      </c>
      <c r="AQ27">
        <f t="shared" si="6"/>
        <v>0</v>
      </c>
      <c r="AR27">
        <f t="shared" si="6"/>
        <v>0</v>
      </c>
      <c r="AS27">
        <v>10</v>
      </c>
      <c r="AT27">
        <v>15</v>
      </c>
    </row>
    <row r="28" spans="1:46" x14ac:dyDescent="0.25">
      <c r="O28" t="s">
        <v>49</v>
      </c>
      <c r="P28">
        <v>0</v>
      </c>
      <c r="Q28">
        <v>60</v>
      </c>
      <c r="R28">
        <v>60</v>
      </c>
      <c r="S28">
        <v>60</v>
      </c>
      <c r="T28">
        <v>60</v>
      </c>
      <c r="U28">
        <v>60</v>
      </c>
      <c r="V28">
        <v>60</v>
      </c>
      <c r="W28">
        <v>60</v>
      </c>
      <c r="X28">
        <v>60</v>
      </c>
      <c r="Y28">
        <v>60</v>
      </c>
      <c r="Z28">
        <v>60</v>
      </c>
      <c r="AA28">
        <v>0</v>
      </c>
      <c r="AB28">
        <v>0</v>
      </c>
      <c r="AG28" t="s">
        <v>37</v>
      </c>
      <c r="AH28">
        <v>0</v>
      </c>
      <c r="AI28">
        <f t="shared" si="7"/>
        <v>0</v>
      </c>
      <c r="AJ28">
        <f t="shared" si="6"/>
        <v>0</v>
      </c>
      <c r="AK28">
        <f t="shared" si="6"/>
        <v>0</v>
      </c>
      <c r="AL28">
        <f t="shared" si="6"/>
        <v>95</v>
      </c>
      <c r="AM28">
        <f t="shared" si="6"/>
        <v>155</v>
      </c>
      <c r="AN28">
        <f t="shared" si="6"/>
        <v>0</v>
      </c>
      <c r="AO28">
        <f t="shared" si="6"/>
        <v>0</v>
      </c>
      <c r="AP28">
        <f t="shared" si="6"/>
        <v>0</v>
      </c>
      <c r="AQ28">
        <f t="shared" si="6"/>
        <v>0</v>
      </c>
      <c r="AR28">
        <f t="shared" si="6"/>
        <v>0</v>
      </c>
      <c r="AS28">
        <v>10</v>
      </c>
      <c r="AT28">
        <v>15</v>
      </c>
    </row>
    <row r="29" spans="1:46" x14ac:dyDescent="0.25">
      <c r="O29" t="s">
        <v>59</v>
      </c>
      <c r="P29">
        <v>0</v>
      </c>
      <c r="Q29">
        <v>75</v>
      </c>
      <c r="R29">
        <v>75</v>
      </c>
      <c r="S29">
        <v>75</v>
      </c>
      <c r="T29">
        <v>75</v>
      </c>
      <c r="U29">
        <v>75</v>
      </c>
      <c r="V29">
        <v>75</v>
      </c>
      <c r="W29">
        <v>75</v>
      </c>
      <c r="X29">
        <v>75</v>
      </c>
      <c r="Y29">
        <v>75</v>
      </c>
      <c r="Z29">
        <v>75</v>
      </c>
      <c r="AA29">
        <v>0</v>
      </c>
      <c r="AB29">
        <v>0</v>
      </c>
      <c r="AG29" t="s">
        <v>38</v>
      </c>
      <c r="AH29">
        <v>0</v>
      </c>
      <c r="AI29">
        <f t="shared" si="7"/>
        <v>0</v>
      </c>
      <c r="AJ29">
        <f t="shared" si="6"/>
        <v>0</v>
      </c>
      <c r="AK29">
        <f t="shared" si="6"/>
        <v>0</v>
      </c>
      <c r="AL29">
        <f t="shared" si="6"/>
        <v>0</v>
      </c>
      <c r="AM29">
        <f t="shared" si="6"/>
        <v>34.999999999999773</v>
      </c>
      <c r="AN29">
        <f t="shared" si="6"/>
        <v>0</v>
      </c>
      <c r="AO29">
        <f t="shared" si="6"/>
        <v>0</v>
      </c>
      <c r="AP29">
        <f t="shared" si="6"/>
        <v>0</v>
      </c>
      <c r="AQ29">
        <f t="shared" si="6"/>
        <v>0</v>
      </c>
      <c r="AR29">
        <f t="shared" si="6"/>
        <v>0</v>
      </c>
      <c r="AS29">
        <v>10</v>
      </c>
      <c r="AT29">
        <v>15</v>
      </c>
    </row>
    <row r="30" spans="1:46" x14ac:dyDescent="0.25">
      <c r="A30" t="s">
        <v>58</v>
      </c>
      <c r="B30" t="s">
        <v>47</v>
      </c>
      <c r="C30" t="s">
        <v>18</v>
      </c>
      <c r="D30" t="s">
        <v>20</v>
      </c>
      <c r="E30" t="s">
        <v>21</v>
      </c>
      <c r="F30" t="s">
        <v>22</v>
      </c>
      <c r="G30" t="s">
        <v>23</v>
      </c>
      <c r="H30" t="s">
        <v>34</v>
      </c>
      <c r="I30" t="s">
        <v>35</v>
      </c>
      <c r="J30" t="s">
        <v>36</v>
      </c>
      <c r="K30" t="s">
        <v>37</v>
      </c>
      <c r="L30" t="s">
        <v>38</v>
      </c>
      <c r="O30" t="s">
        <v>58</v>
      </c>
      <c r="P30" t="s">
        <v>47</v>
      </c>
      <c r="Q30" t="s">
        <v>18</v>
      </c>
      <c r="R30" t="s">
        <v>20</v>
      </c>
      <c r="S30" t="s">
        <v>21</v>
      </c>
      <c r="T30" t="s">
        <v>22</v>
      </c>
      <c r="U30" t="s">
        <v>23</v>
      </c>
      <c r="V30" t="s">
        <v>34</v>
      </c>
      <c r="W30" t="s">
        <v>35</v>
      </c>
      <c r="X30" t="s">
        <v>36</v>
      </c>
      <c r="Y30" t="s">
        <v>37</v>
      </c>
      <c r="Z30" t="s">
        <v>38</v>
      </c>
      <c r="AG30" t="s">
        <v>47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10</v>
      </c>
      <c r="AT30">
        <v>15</v>
      </c>
    </row>
    <row r="31" spans="1:46" x14ac:dyDescent="0.25">
      <c r="A31" t="s">
        <v>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O31" t="s">
        <v>47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G31" t="s">
        <v>49</v>
      </c>
      <c r="AH31">
        <v>0</v>
      </c>
      <c r="AS31">
        <v>0</v>
      </c>
      <c r="AT31">
        <v>0</v>
      </c>
    </row>
    <row r="32" spans="1:46" x14ac:dyDescent="0.25">
      <c r="A32" t="s">
        <v>18</v>
      </c>
      <c r="B32">
        <v>0</v>
      </c>
      <c r="C32">
        <f>IF(AND(VLOOKUP(C$30,$A$3:$G$12,5,FALSE) - VLOOKUP($A32,$A$3:$G$12,6,FALSE)&gt;=(( $B$13)/1440)),1,0)</f>
        <v>0</v>
      </c>
      <c r="D32">
        <f t="shared" ref="D32:L32" si="8">IF(AND(VLOOKUP(D$30,$A$3:$G$12,5,FALSE) - VLOOKUP($A32,$A$3:$G$12,6,FALSE)&gt;=(( $B$13)/1440)),1,0)</f>
        <v>0</v>
      </c>
      <c r="E32">
        <f t="shared" si="8"/>
        <v>1</v>
      </c>
      <c r="F32">
        <f t="shared" si="8"/>
        <v>1</v>
      </c>
      <c r="G32">
        <f t="shared" si="8"/>
        <v>1</v>
      </c>
      <c r="H32">
        <f t="shared" si="8"/>
        <v>0</v>
      </c>
      <c r="I32">
        <f t="shared" si="8"/>
        <v>0</v>
      </c>
      <c r="J32">
        <f t="shared" si="8"/>
        <v>1</v>
      </c>
      <c r="K32">
        <f t="shared" si="8"/>
        <v>1</v>
      </c>
      <c r="L32">
        <f t="shared" si="8"/>
        <v>1</v>
      </c>
      <c r="O32" t="s">
        <v>18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1</v>
      </c>
      <c r="Y32">
        <v>1</v>
      </c>
      <c r="Z32">
        <v>1</v>
      </c>
      <c r="AG32" t="s">
        <v>59</v>
      </c>
      <c r="AH32">
        <v>0</v>
      </c>
      <c r="AS32">
        <v>0</v>
      </c>
      <c r="AT32">
        <v>0</v>
      </c>
    </row>
    <row r="33" spans="1:27" x14ac:dyDescent="0.25">
      <c r="A33" t="s">
        <v>20</v>
      </c>
      <c r="B33">
        <v>0</v>
      </c>
      <c r="C33">
        <f t="shared" ref="C33:L41" si="9">IF(AND(VLOOKUP(C$30,$A$3:$G$12,5,FALSE) - VLOOKUP($A33,$A$3:$G$12,6,FALSE)&gt;=(( $B$13)/1440)),1,0)</f>
        <v>0</v>
      </c>
      <c r="D33">
        <f t="shared" si="9"/>
        <v>0</v>
      </c>
      <c r="E33">
        <f t="shared" si="9"/>
        <v>0</v>
      </c>
      <c r="F33">
        <f t="shared" si="9"/>
        <v>1</v>
      </c>
      <c r="G33">
        <f t="shared" si="9"/>
        <v>1</v>
      </c>
      <c r="H33">
        <f t="shared" si="9"/>
        <v>0</v>
      </c>
      <c r="I33">
        <f t="shared" si="9"/>
        <v>0</v>
      </c>
      <c r="J33">
        <f t="shared" si="9"/>
        <v>0</v>
      </c>
      <c r="K33">
        <f t="shared" si="9"/>
        <v>1</v>
      </c>
      <c r="L33">
        <f t="shared" si="9"/>
        <v>1</v>
      </c>
      <c r="O33" t="s">
        <v>20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7" x14ac:dyDescent="0.25">
      <c r="A34" t="s">
        <v>21</v>
      </c>
      <c r="B34">
        <v>0</v>
      </c>
      <c r="C34">
        <f t="shared" si="9"/>
        <v>0</v>
      </c>
      <c r="D34">
        <f t="shared" si="9"/>
        <v>0</v>
      </c>
      <c r="E34">
        <f t="shared" si="9"/>
        <v>0</v>
      </c>
      <c r="F34">
        <f t="shared" si="9"/>
        <v>1</v>
      </c>
      <c r="G34">
        <f t="shared" si="9"/>
        <v>1</v>
      </c>
      <c r="H34">
        <f t="shared" si="9"/>
        <v>0</v>
      </c>
      <c r="I34">
        <f t="shared" si="9"/>
        <v>0</v>
      </c>
      <c r="J34">
        <f t="shared" si="9"/>
        <v>0</v>
      </c>
      <c r="K34">
        <f t="shared" si="9"/>
        <v>0</v>
      </c>
      <c r="L34">
        <f t="shared" si="9"/>
        <v>1</v>
      </c>
      <c r="O34" t="s">
        <v>21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7" x14ac:dyDescent="0.25">
      <c r="A35" t="s">
        <v>22</v>
      </c>
      <c r="B35">
        <v>0</v>
      </c>
      <c r="C35">
        <f t="shared" si="9"/>
        <v>0</v>
      </c>
      <c r="D35">
        <f t="shared" si="9"/>
        <v>0</v>
      </c>
      <c r="E35">
        <f t="shared" si="9"/>
        <v>0</v>
      </c>
      <c r="F35">
        <f t="shared" si="9"/>
        <v>0</v>
      </c>
      <c r="G35">
        <f t="shared" si="9"/>
        <v>0</v>
      </c>
      <c r="H35">
        <f t="shared" si="9"/>
        <v>0</v>
      </c>
      <c r="I35">
        <f t="shared" si="9"/>
        <v>0</v>
      </c>
      <c r="J35">
        <f t="shared" si="9"/>
        <v>0</v>
      </c>
      <c r="K35">
        <f t="shared" si="9"/>
        <v>0</v>
      </c>
      <c r="L35">
        <f t="shared" si="9"/>
        <v>0</v>
      </c>
      <c r="O35" t="s">
        <v>22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7" x14ac:dyDescent="0.25">
      <c r="A36" t="s">
        <v>23</v>
      </c>
      <c r="B36">
        <v>0</v>
      </c>
      <c r="C36">
        <f t="shared" si="9"/>
        <v>0</v>
      </c>
      <c r="D36">
        <f t="shared" si="9"/>
        <v>0</v>
      </c>
      <c r="E36">
        <f t="shared" si="9"/>
        <v>0</v>
      </c>
      <c r="F36">
        <f t="shared" si="9"/>
        <v>0</v>
      </c>
      <c r="G36">
        <f t="shared" si="9"/>
        <v>0</v>
      </c>
      <c r="H36">
        <f t="shared" si="9"/>
        <v>0</v>
      </c>
      <c r="I36">
        <f t="shared" si="9"/>
        <v>0</v>
      </c>
      <c r="J36">
        <f t="shared" si="9"/>
        <v>0</v>
      </c>
      <c r="K36">
        <f t="shared" si="9"/>
        <v>0</v>
      </c>
      <c r="L36">
        <f t="shared" si="9"/>
        <v>0</v>
      </c>
      <c r="O36" t="s">
        <v>23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7" x14ac:dyDescent="0.25">
      <c r="A37" t="s">
        <v>34</v>
      </c>
      <c r="B37">
        <v>0</v>
      </c>
      <c r="C37">
        <f t="shared" si="9"/>
        <v>0</v>
      </c>
      <c r="D37">
        <f t="shared" si="9"/>
        <v>0</v>
      </c>
      <c r="E37">
        <f t="shared" si="9"/>
        <v>1</v>
      </c>
      <c r="F37">
        <f t="shared" si="9"/>
        <v>1</v>
      </c>
      <c r="G37">
        <f t="shared" si="9"/>
        <v>1</v>
      </c>
      <c r="H37">
        <f t="shared" si="9"/>
        <v>0</v>
      </c>
      <c r="I37">
        <f t="shared" si="9"/>
        <v>0</v>
      </c>
      <c r="J37">
        <f t="shared" si="9"/>
        <v>1</v>
      </c>
      <c r="K37">
        <f t="shared" si="9"/>
        <v>1</v>
      </c>
      <c r="L37">
        <f t="shared" si="9"/>
        <v>1</v>
      </c>
      <c r="O37" t="s">
        <v>34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1</v>
      </c>
      <c r="Y37">
        <v>1</v>
      </c>
      <c r="Z37">
        <v>1</v>
      </c>
    </row>
    <row r="38" spans="1:27" x14ac:dyDescent="0.25">
      <c r="A38" t="s">
        <v>35</v>
      </c>
      <c r="B38">
        <v>0</v>
      </c>
      <c r="C38">
        <f t="shared" si="9"/>
        <v>0</v>
      </c>
      <c r="D38">
        <f t="shared" si="9"/>
        <v>0</v>
      </c>
      <c r="E38">
        <f t="shared" si="9"/>
        <v>0</v>
      </c>
      <c r="F38">
        <f t="shared" si="9"/>
        <v>1</v>
      </c>
      <c r="G38">
        <f t="shared" si="9"/>
        <v>1</v>
      </c>
      <c r="H38">
        <f t="shared" si="9"/>
        <v>0</v>
      </c>
      <c r="I38">
        <f t="shared" si="9"/>
        <v>0</v>
      </c>
      <c r="J38">
        <f t="shared" si="9"/>
        <v>0</v>
      </c>
      <c r="K38">
        <f t="shared" si="9"/>
        <v>0</v>
      </c>
      <c r="L38">
        <f t="shared" si="9"/>
        <v>1</v>
      </c>
      <c r="O38" t="s">
        <v>35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7" x14ac:dyDescent="0.25">
      <c r="A39" t="s">
        <v>36</v>
      </c>
      <c r="B39">
        <v>0</v>
      </c>
      <c r="C39">
        <f t="shared" si="9"/>
        <v>0</v>
      </c>
      <c r="D39">
        <f t="shared" si="9"/>
        <v>0</v>
      </c>
      <c r="E39">
        <f t="shared" si="9"/>
        <v>0</v>
      </c>
      <c r="F39">
        <f t="shared" si="9"/>
        <v>1</v>
      </c>
      <c r="G39">
        <f t="shared" si="9"/>
        <v>1</v>
      </c>
      <c r="H39">
        <f t="shared" si="9"/>
        <v>0</v>
      </c>
      <c r="I39">
        <f t="shared" si="9"/>
        <v>0</v>
      </c>
      <c r="J39">
        <f t="shared" si="9"/>
        <v>0</v>
      </c>
      <c r="K39">
        <f t="shared" si="9"/>
        <v>0</v>
      </c>
      <c r="L39">
        <f t="shared" si="9"/>
        <v>0</v>
      </c>
      <c r="O39" t="s">
        <v>36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7" x14ac:dyDescent="0.25">
      <c r="A40" t="s">
        <v>37</v>
      </c>
      <c r="B40">
        <v>0</v>
      </c>
      <c r="C40">
        <f t="shared" si="9"/>
        <v>0</v>
      </c>
      <c r="D40">
        <f t="shared" si="9"/>
        <v>0</v>
      </c>
      <c r="E40">
        <f t="shared" si="9"/>
        <v>0</v>
      </c>
      <c r="F40">
        <f t="shared" si="9"/>
        <v>1</v>
      </c>
      <c r="G40">
        <f t="shared" si="9"/>
        <v>1</v>
      </c>
      <c r="H40">
        <f t="shared" si="9"/>
        <v>0</v>
      </c>
      <c r="I40">
        <f t="shared" si="9"/>
        <v>0</v>
      </c>
      <c r="J40">
        <f t="shared" si="9"/>
        <v>0</v>
      </c>
      <c r="K40">
        <f t="shared" si="9"/>
        <v>0</v>
      </c>
      <c r="L40">
        <f t="shared" si="9"/>
        <v>0</v>
      </c>
      <c r="O40" t="s">
        <v>37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7" x14ac:dyDescent="0.25">
      <c r="A41" t="s">
        <v>38</v>
      </c>
      <c r="B41">
        <v>0</v>
      </c>
      <c r="C41">
        <f t="shared" si="9"/>
        <v>0</v>
      </c>
      <c r="D41">
        <f t="shared" si="9"/>
        <v>0</v>
      </c>
      <c r="E41">
        <f t="shared" si="9"/>
        <v>0</v>
      </c>
      <c r="F41">
        <f t="shared" si="9"/>
        <v>0</v>
      </c>
      <c r="G41">
        <f t="shared" si="9"/>
        <v>0</v>
      </c>
      <c r="H41">
        <f t="shared" si="9"/>
        <v>0</v>
      </c>
      <c r="I41">
        <f t="shared" si="9"/>
        <v>0</v>
      </c>
      <c r="J41">
        <f t="shared" si="9"/>
        <v>0</v>
      </c>
      <c r="K41">
        <f t="shared" si="9"/>
        <v>0</v>
      </c>
      <c r="L41">
        <f t="shared" si="9"/>
        <v>0</v>
      </c>
      <c r="O41" t="s">
        <v>38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7" x14ac:dyDescent="0.25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27" x14ac:dyDescent="0.25">
      <c r="A43" t="s">
        <v>18</v>
      </c>
      <c r="B43">
        <v>0</v>
      </c>
      <c r="C43">
        <f>IF(AND(VLOOKUP(C$30,$A$3:$G$12,5,FALSE) - VLOOKUP($A43,$A$3:$G$12,6,FALSE)&gt;=(( $B$14)/1440)),1,0)</f>
        <v>0</v>
      </c>
      <c r="D43">
        <f t="shared" ref="D43:L43" si="10">IF(AND(VLOOKUP(D$30,$A$3:$G$12,5,FALSE) - VLOOKUP($A43,$A$3:$G$12,6,FALSE)&gt;=(( $B$14)/1440)),1,0)</f>
        <v>0</v>
      </c>
      <c r="E43">
        <f t="shared" si="10"/>
        <v>1</v>
      </c>
      <c r="F43">
        <f t="shared" si="10"/>
        <v>1</v>
      </c>
      <c r="G43">
        <f t="shared" si="10"/>
        <v>1</v>
      </c>
      <c r="H43">
        <f t="shared" si="10"/>
        <v>0</v>
      </c>
      <c r="I43">
        <f t="shared" si="10"/>
        <v>0</v>
      </c>
      <c r="J43">
        <f t="shared" si="10"/>
        <v>1</v>
      </c>
      <c r="K43">
        <f t="shared" si="10"/>
        <v>1</v>
      </c>
      <c r="L43">
        <f t="shared" si="10"/>
        <v>1</v>
      </c>
    </row>
    <row r="44" spans="1:27" x14ac:dyDescent="0.25">
      <c r="A44" t="s">
        <v>20</v>
      </c>
      <c r="B44">
        <v>0</v>
      </c>
      <c r="C44">
        <f t="shared" ref="C44:L52" si="11">IF(AND(VLOOKUP(C$30,$A$3:$G$12,5,FALSE) - VLOOKUP($A44,$A$3:$G$12,6,FALSE)&gt;=(( $B$14)/1440)),1,0)</f>
        <v>0</v>
      </c>
      <c r="D44">
        <f t="shared" si="11"/>
        <v>0</v>
      </c>
      <c r="E44">
        <f t="shared" si="11"/>
        <v>0</v>
      </c>
      <c r="F44">
        <f t="shared" si="11"/>
        <v>1</v>
      </c>
      <c r="G44">
        <f t="shared" si="11"/>
        <v>1</v>
      </c>
      <c r="H44">
        <f t="shared" si="11"/>
        <v>0</v>
      </c>
      <c r="I44">
        <f t="shared" si="11"/>
        <v>0</v>
      </c>
      <c r="J44">
        <f t="shared" si="11"/>
        <v>0</v>
      </c>
      <c r="K44">
        <f t="shared" si="11"/>
        <v>1</v>
      </c>
      <c r="L44">
        <f t="shared" si="11"/>
        <v>1</v>
      </c>
    </row>
    <row r="45" spans="1:27" x14ac:dyDescent="0.25">
      <c r="A45" t="s">
        <v>21</v>
      </c>
      <c r="B45">
        <v>0</v>
      </c>
      <c r="C45">
        <f t="shared" si="11"/>
        <v>0</v>
      </c>
      <c r="D45">
        <f t="shared" si="11"/>
        <v>0</v>
      </c>
      <c r="E45">
        <f t="shared" si="11"/>
        <v>0</v>
      </c>
      <c r="F45">
        <f t="shared" si="11"/>
        <v>1</v>
      </c>
      <c r="G45">
        <f t="shared" si="11"/>
        <v>1</v>
      </c>
      <c r="H45">
        <f t="shared" si="11"/>
        <v>0</v>
      </c>
      <c r="I45">
        <f t="shared" si="11"/>
        <v>0</v>
      </c>
      <c r="J45">
        <f t="shared" si="11"/>
        <v>0</v>
      </c>
      <c r="K45">
        <f t="shared" si="11"/>
        <v>0</v>
      </c>
      <c r="L45">
        <f t="shared" si="11"/>
        <v>1</v>
      </c>
      <c r="O45" t="s">
        <v>62</v>
      </c>
      <c r="P45" t="s">
        <v>47</v>
      </c>
      <c r="Q45" t="s">
        <v>18</v>
      </c>
      <c r="R45" t="s">
        <v>20</v>
      </c>
      <c r="S45" t="s">
        <v>21</v>
      </c>
      <c r="T45" t="s">
        <v>22</v>
      </c>
      <c r="U45" t="s">
        <v>23</v>
      </c>
      <c r="V45" t="s">
        <v>34</v>
      </c>
      <c r="W45" t="s">
        <v>35</v>
      </c>
      <c r="X45" t="s">
        <v>36</v>
      </c>
      <c r="Y45" t="s">
        <v>37</v>
      </c>
      <c r="Z45" t="s">
        <v>38</v>
      </c>
    </row>
    <row r="46" spans="1:27" x14ac:dyDescent="0.25">
      <c r="A46" t="s">
        <v>22</v>
      </c>
      <c r="B46">
        <v>0</v>
      </c>
      <c r="C46">
        <f t="shared" si="11"/>
        <v>0</v>
      </c>
      <c r="D46">
        <f t="shared" si="11"/>
        <v>0</v>
      </c>
      <c r="E46">
        <f t="shared" si="11"/>
        <v>0</v>
      </c>
      <c r="F46">
        <f t="shared" si="11"/>
        <v>0</v>
      </c>
      <c r="G46">
        <f t="shared" si="11"/>
        <v>0</v>
      </c>
      <c r="H46">
        <f t="shared" si="11"/>
        <v>0</v>
      </c>
      <c r="I46">
        <f t="shared" si="11"/>
        <v>0</v>
      </c>
      <c r="J46">
        <f t="shared" si="11"/>
        <v>0</v>
      </c>
      <c r="K46">
        <f t="shared" si="11"/>
        <v>0</v>
      </c>
      <c r="L46">
        <f t="shared" si="11"/>
        <v>0</v>
      </c>
      <c r="N46">
        <v>0</v>
      </c>
      <c r="O46" t="s">
        <v>47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 t="s">
        <v>23</v>
      </c>
      <c r="B47">
        <v>0</v>
      </c>
      <c r="C47">
        <f t="shared" si="11"/>
        <v>0</v>
      </c>
      <c r="D47">
        <f t="shared" si="11"/>
        <v>0</v>
      </c>
      <c r="E47">
        <f t="shared" si="11"/>
        <v>0</v>
      </c>
      <c r="F47">
        <f t="shared" si="11"/>
        <v>0</v>
      </c>
      <c r="G47">
        <f t="shared" si="11"/>
        <v>0</v>
      </c>
      <c r="H47">
        <f t="shared" si="11"/>
        <v>0</v>
      </c>
      <c r="I47">
        <f t="shared" si="11"/>
        <v>0</v>
      </c>
      <c r="J47">
        <f t="shared" si="11"/>
        <v>0</v>
      </c>
      <c r="K47">
        <f t="shared" si="11"/>
        <v>0</v>
      </c>
      <c r="L47">
        <f t="shared" si="11"/>
        <v>0</v>
      </c>
      <c r="N47">
        <v>0</v>
      </c>
      <c r="O47" t="s">
        <v>18</v>
      </c>
      <c r="P47">
        <v>0</v>
      </c>
      <c r="Q47">
        <f>IF(AND(SUM(VLOOKUP($O47,$A$2:$H$12,2,FALSE),VLOOKUP(Q$45,$A$2:$H$12,2,FALSE))&lt;$K$14,$O47&lt;&gt;Q$45,C18=1),(VLOOKUP(Q$45,$A$2:$H$12,5,FALSE)*1440)-(VLOOKUP($O47,$A$2:$H$12,6,FALSE))*1440,0)</f>
        <v>0</v>
      </c>
      <c r="R47">
        <f t="shared" ref="R47:Z56" si="12">IF(AND(SUM(VLOOKUP($O47,$A$2:$H$12,2,FALSE),VLOOKUP(R$45,$A$2:$H$12,2,FALSE))&lt;$K$14,$O47&lt;&gt;R$45,D18=1),(VLOOKUP(R$45,$A$2:$H$12,5,FALSE)*1440)-(VLOOKUP($O47,$A$2:$H$12,6,FALSE))*1440,0)</f>
        <v>0</v>
      </c>
      <c r="S47">
        <f t="shared" si="12"/>
        <v>0</v>
      </c>
      <c r="T47">
        <f t="shared" si="12"/>
        <v>0</v>
      </c>
      <c r="U47">
        <f t="shared" si="12"/>
        <v>0</v>
      </c>
      <c r="V47">
        <f t="shared" si="12"/>
        <v>0</v>
      </c>
      <c r="W47">
        <v>45</v>
      </c>
      <c r="X47">
        <f t="shared" si="12"/>
        <v>165</v>
      </c>
      <c r="Y47">
        <v>225</v>
      </c>
      <c r="Z47">
        <f t="shared" si="12"/>
        <v>345</v>
      </c>
      <c r="AA47">
        <f>AA46+1</f>
        <v>1</v>
      </c>
    </row>
    <row r="48" spans="1:27" x14ac:dyDescent="0.25">
      <c r="A48" t="s">
        <v>34</v>
      </c>
      <c r="B48">
        <v>0</v>
      </c>
      <c r="C48">
        <f t="shared" si="11"/>
        <v>0</v>
      </c>
      <c r="D48">
        <f t="shared" si="11"/>
        <v>0</v>
      </c>
      <c r="E48">
        <f t="shared" si="11"/>
        <v>1</v>
      </c>
      <c r="F48">
        <f t="shared" si="11"/>
        <v>1</v>
      </c>
      <c r="G48">
        <f t="shared" si="11"/>
        <v>1</v>
      </c>
      <c r="H48">
        <f t="shared" si="11"/>
        <v>0</v>
      </c>
      <c r="I48">
        <f t="shared" si="11"/>
        <v>0</v>
      </c>
      <c r="J48">
        <f t="shared" si="11"/>
        <v>1</v>
      </c>
      <c r="K48">
        <f t="shared" si="11"/>
        <v>1</v>
      </c>
      <c r="L48">
        <f t="shared" si="11"/>
        <v>1</v>
      </c>
      <c r="N48">
        <v>0</v>
      </c>
      <c r="O48" t="s">
        <v>20</v>
      </c>
      <c r="P48">
        <v>0</v>
      </c>
      <c r="Q48">
        <f t="shared" ref="Q48:Q56" si="13">IF(AND(SUM(VLOOKUP($O48,$A$2:$H$12,2,FALSE),VLOOKUP(Q$45,$A$2:$H$12,2,FALSE))&lt;$K$14,$O48&lt;&gt;Q$45,C19=1),(VLOOKUP(Q$45,$A$2:$H$12,5,FALSE)*1440)-(VLOOKUP($O48,$A$2:$H$12,6,FALSE))*1440,0)</f>
        <v>0</v>
      </c>
      <c r="R48">
        <f t="shared" si="12"/>
        <v>0</v>
      </c>
      <c r="S48">
        <f t="shared" si="12"/>
        <v>0</v>
      </c>
      <c r="T48">
        <f t="shared" si="12"/>
        <v>0</v>
      </c>
      <c r="U48">
        <f t="shared" si="12"/>
        <v>0</v>
      </c>
      <c r="V48">
        <f t="shared" si="12"/>
        <v>0</v>
      </c>
      <c r="W48">
        <f t="shared" si="12"/>
        <v>0</v>
      </c>
      <c r="X48">
        <f t="shared" si="12"/>
        <v>45</v>
      </c>
      <c r="Y48">
        <v>105</v>
      </c>
      <c r="Z48">
        <f t="shared" si="12"/>
        <v>225</v>
      </c>
      <c r="AA48">
        <f t="shared" ref="AA48:AA56" si="14">AA47+1</f>
        <v>2</v>
      </c>
    </row>
    <row r="49" spans="1:34" x14ac:dyDescent="0.25">
      <c r="A49" t="s">
        <v>35</v>
      </c>
      <c r="B49">
        <v>0</v>
      </c>
      <c r="C49">
        <f t="shared" si="11"/>
        <v>0</v>
      </c>
      <c r="D49">
        <f t="shared" si="11"/>
        <v>0</v>
      </c>
      <c r="E49">
        <f t="shared" si="11"/>
        <v>0</v>
      </c>
      <c r="F49">
        <f t="shared" si="11"/>
        <v>1</v>
      </c>
      <c r="G49">
        <f t="shared" si="11"/>
        <v>1</v>
      </c>
      <c r="H49">
        <f t="shared" si="11"/>
        <v>0</v>
      </c>
      <c r="I49">
        <f t="shared" si="11"/>
        <v>0</v>
      </c>
      <c r="J49">
        <f t="shared" si="11"/>
        <v>0</v>
      </c>
      <c r="K49">
        <f t="shared" si="11"/>
        <v>0</v>
      </c>
      <c r="L49">
        <f t="shared" si="11"/>
        <v>1</v>
      </c>
      <c r="N49">
        <v>0</v>
      </c>
      <c r="O49" t="s">
        <v>21</v>
      </c>
      <c r="P49">
        <v>0</v>
      </c>
      <c r="Q49">
        <f t="shared" si="13"/>
        <v>0</v>
      </c>
      <c r="R49">
        <f t="shared" si="12"/>
        <v>0</v>
      </c>
      <c r="S49">
        <f t="shared" si="12"/>
        <v>0</v>
      </c>
      <c r="T49">
        <f t="shared" si="12"/>
        <v>0</v>
      </c>
      <c r="U49">
        <f t="shared" si="12"/>
        <v>0</v>
      </c>
      <c r="V49">
        <f t="shared" si="12"/>
        <v>0</v>
      </c>
      <c r="W49">
        <f t="shared" si="12"/>
        <v>0</v>
      </c>
      <c r="X49">
        <f t="shared" si="12"/>
        <v>0</v>
      </c>
      <c r="Y49">
        <f t="shared" si="12"/>
        <v>0</v>
      </c>
      <c r="Z49">
        <f t="shared" si="12"/>
        <v>105</v>
      </c>
      <c r="AA49">
        <f t="shared" si="14"/>
        <v>3</v>
      </c>
    </row>
    <row r="50" spans="1:34" x14ac:dyDescent="0.25">
      <c r="A50" t="s">
        <v>36</v>
      </c>
      <c r="B50">
        <v>0</v>
      </c>
      <c r="C50">
        <f t="shared" si="11"/>
        <v>0</v>
      </c>
      <c r="D50">
        <f t="shared" si="11"/>
        <v>0</v>
      </c>
      <c r="E50">
        <f t="shared" si="11"/>
        <v>0</v>
      </c>
      <c r="F50">
        <f t="shared" si="11"/>
        <v>1</v>
      </c>
      <c r="G50">
        <f t="shared" si="11"/>
        <v>1</v>
      </c>
      <c r="H50">
        <f t="shared" si="11"/>
        <v>0</v>
      </c>
      <c r="I50">
        <f t="shared" si="11"/>
        <v>0</v>
      </c>
      <c r="J50">
        <f t="shared" si="11"/>
        <v>0</v>
      </c>
      <c r="K50">
        <f t="shared" si="11"/>
        <v>0</v>
      </c>
      <c r="L50">
        <f t="shared" si="11"/>
        <v>0</v>
      </c>
      <c r="N50">
        <v>0</v>
      </c>
      <c r="O50" t="s">
        <v>22</v>
      </c>
      <c r="P50">
        <v>0</v>
      </c>
      <c r="Q50">
        <f t="shared" si="13"/>
        <v>0</v>
      </c>
      <c r="R50">
        <f t="shared" si="12"/>
        <v>0</v>
      </c>
      <c r="S50">
        <f t="shared" si="12"/>
        <v>0</v>
      </c>
      <c r="T50">
        <f t="shared" si="12"/>
        <v>0</v>
      </c>
      <c r="U50">
        <f t="shared" si="12"/>
        <v>0</v>
      </c>
      <c r="V50">
        <f t="shared" si="12"/>
        <v>0</v>
      </c>
      <c r="W50">
        <f t="shared" si="12"/>
        <v>0</v>
      </c>
      <c r="X50">
        <f t="shared" si="12"/>
        <v>0</v>
      </c>
      <c r="Y50">
        <f t="shared" si="12"/>
        <v>0</v>
      </c>
      <c r="Z50">
        <f t="shared" si="12"/>
        <v>0</v>
      </c>
      <c r="AA50">
        <f t="shared" si="14"/>
        <v>4</v>
      </c>
      <c r="AC50" t="s">
        <v>63</v>
      </c>
      <c r="AD50" t="s">
        <v>64</v>
      </c>
      <c r="AE50" t="s">
        <v>65</v>
      </c>
      <c r="AF50" t="s">
        <v>66</v>
      </c>
      <c r="AG50" t="s">
        <v>67</v>
      </c>
      <c r="AH50" t="s">
        <v>68</v>
      </c>
    </row>
    <row r="51" spans="1:34" x14ac:dyDescent="0.25">
      <c r="A51" t="s">
        <v>37</v>
      </c>
      <c r="B51">
        <v>0</v>
      </c>
      <c r="C51">
        <f t="shared" si="11"/>
        <v>0</v>
      </c>
      <c r="D51">
        <f t="shared" si="11"/>
        <v>0</v>
      </c>
      <c r="E51">
        <f t="shared" si="11"/>
        <v>0</v>
      </c>
      <c r="F51">
        <f t="shared" si="11"/>
        <v>1</v>
      </c>
      <c r="G51">
        <f t="shared" si="11"/>
        <v>1</v>
      </c>
      <c r="H51">
        <f t="shared" si="11"/>
        <v>0</v>
      </c>
      <c r="I51">
        <f t="shared" si="11"/>
        <v>0</v>
      </c>
      <c r="J51">
        <f t="shared" si="11"/>
        <v>0</v>
      </c>
      <c r="K51">
        <f t="shared" si="11"/>
        <v>0</v>
      </c>
      <c r="L51">
        <f t="shared" si="11"/>
        <v>0</v>
      </c>
      <c r="N51">
        <v>0</v>
      </c>
      <c r="O51" t="s">
        <v>23</v>
      </c>
      <c r="P51">
        <v>0</v>
      </c>
      <c r="Q51">
        <f t="shared" si="13"/>
        <v>0</v>
      </c>
      <c r="R51">
        <f t="shared" si="12"/>
        <v>0</v>
      </c>
      <c r="S51">
        <f t="shared" si="12"/>
        <v>0</v>
      </c>
      <c r="T51">
        <f t="shared" si="12"/>
        <v>0</v>
      </c>
      <c r="U51">
        <f t="shared" si="12"/>
        <v>0</v>
      </c>
      <c r="V51">
        <f t="shared" si="12"/>
        <v>0</v>
      </c>
      <c r="W51">
        <f t="shared" si="12"/>
        <v>0</v>
      </c>
      <c r="X51">
        <f t="shared" si="12"/>
        <v>0</v>
      </c>
      <c r="Y51">
        <f t="shared" si="12"/>
        <v>0</v>
      </c>
      <c r="Z51">
        <f t="shared" si="12"/>
        <v>0</v>
      </c>
      <c r="AA51">
        <f t="shared" si="14"/>
        <v>5</v>
      </c>
      <c r="AC51">
        <v>11</v>
      </c>
      <c r="AD51">
        <v>4</v>
      </c>
      <c r="AE51">
        <v>5</v>
      </c>
      <c r="AF51">
        <f>(AC51-10)*11+AD51+1</f>
        <v>16</v>
      </c>
      <c r="AG51">
        <f>AE51+1</f>
        <v>6</v>
      </c>
      <c r="AH51">
        <f ca="1">OFFSET($O$45,AF51,AG51)</f>
        <v>0</v>
      </c>
    </row>
    <row r="52" spans="1:34" x14ac:dyDescent="0.25">
      <c r="A52" t="s">
        <v>38</v>
      </c>
      <c r="B52">
        <v>0</v>
      </c>
      <c r="C52">
        <f t="shared" si="11"/>
        <v>0</v>
      </c>
      <c r="D52">
        <f t="shared" si="11"/>
        <v>0</v>
      </c>
      <c r="E52">
        <f t="shared" si="11"/>
        <v>0</v>
      </c>
      <c r="F52">
        <f t="shared" si="11"/>
        <v>0</v>
      </c>
      <c r="G52">
        <f t="shared" si="11"/>
        <v>0</v>
      </c>
      <c r="H52">
        <f t="shared" si="11"/>
        <v>0</v>
      </c>
      <c r="I52">
        <f t="shared" si="11"/>
        <v>0</v>
      </c>
      <c r="J52">
        <f t="shared" si="11"/>
        <v>0</v>
      </c>
      <c r="K52">
        <f t="shared" si="11"/>
        <v>0</v>
      </c>
      <c r="L52">
        <f t="shared" si="11"/>
        <v>0</v>
      </c>
      <c r="N52">
        <v>0</v>
      </c>
      <c r="O52" t="s">
        <v>34</v>
      </c>
      <c r="P52">
        <v>0</v>
      </c>
      <c r="Q52">
        <f t="shared" si="13"/>
        <v>0</v>
      </c>
      <c r="R52">
        <f t="shared" si="12"/>
        <v>0</v>
      </c>
      <c r="S52">
        <f t="shared" si="12"/>
        <v>85</v>
      </c>
      <c r="T52">
        <f t="shared" si="12"/>
        <v>445</v>
      </c>
      <c r="U52">
        <f t="shared" si="12"/>
        <v>505</v>
      </c>
      <c r="V52">
        <f t="shared" si="12"/>
        <v>0</v>
      </c>
      <c r="W52">
        <f t="shared" si="12"/>
        <v>0</v>
      </c>
      <c r="X52">
        <f t="shared" si="12"/>
        <v>0</v>
      </c>
      <c r="Y52">
        <f t="shared" si="12"/>
        <v>0</v>
      </c>
      <c r="Z52">
        <f t="shared" si="12"/>
        <v>0</v>
      </c>
      <c r="AA52">
        <f t="shared" si="14"/>
        <v>6</v>
      </c>
      <c r="AC52">
        <v>11</v>
      </c>
      <c r="AD52">
        <v>1</v>
      </c>
      <c r="AE52">
        <v>7</v>
      </c>
      <c r="AF52">
        <f>(AC52-10)*11+AD52+1</f>
        <v>13</v>
      </c>
      <c r="AG52">
        <f>AE52+1</f>
        <v>8</v>
      </c>
      <c r="AH52">
        <f t="shared" ref="AH52:AH53" ca="1" si="15">OFFSET($O$45,AF52,AG52)</f>
        <v>0</v>
      </c>
    </row>
    <row r="53" spans="1:34" x14ac:dyDescent="0.25">
      <c r="N53">
        <v>0</v>
      </c>
      <c r="O53" t="s">
        <v>35</v>
      </c>
      <c r="P53">
        <v>0</v>
      </c>
      <c r="Q53">
        <f t="shared" si="13"/>
        <v>0</v>
      </c>
      <c r="R53">
        <f t="shared" si="12"/>
        <v>0</v>
      </c>
      <c r="S53">
        <f t="shared" si="12"/>
        <v>0</v>
      </c>
      <c r="T53">
        <v>275</v>
      </c>
      <c r="U53">
        <v>335</v>
      </c>
      <c r="V53">
        <f t="shared" si="12"/>
        <v>0</v>
      </c>
      <c r="W53">
        <f t="shared" si="12"/>
        <v>0</v>
      </c>
      <c r="X53">
        <f t="shared" si="12"/>
        <v>0</v>
      </c>
      <c r="Y53">
        <f t="shared" si="12"/>
        <v>0</v>
      </c>
      <c r="Z53">
        <f t="shared" si="12"/>
        <v>0</v>
      </c>
      <c r="AA53">
        <f t="shared" si="14"/>
        <v>7</v>
      </c>
      <c r="AC53">
        <v>10</v>
      </c>
      <c r="AD53">
        <v>1</v>
      </c>
      <c r="AE53">
        <v>7</v>
      </c>
      <c r="AF53">
        <f>(AC53-10)*11+AD53+1</f>
        <v>2</v>
      </c>
      <c r="AG53">
        <f>AE53+1</f>
        <v>8</v>
      </c>
      <c r="AH53">
        <f t="shared" ca="1" si="15"/>
        <v>45</v>
      </c>
    </row>
    <row r="54" spans="1:34" x14ac:dyDescent="0.25">
      <c r="N54">
        <v>0</v>
      </c>
      <c r="O54" t="s">
        <v>36</v>
      </c>
      <c r="P54">
        <v>0</v>
      </c>
      <c r="Q54">
        <f t="shared" si="13"/>
        <v>0</v>
      </c>
      <c r="R54">
        <f t="shared" si="12"/>
        <v>0</v>
      </c>
      <c r="S54">
        <f t="shared" si="12"/>
        <v>0</v>
      </c>
      <c r="T54">
        <v>155</v>
      </c>
      <c r="U54">
        <v>215</v>
      </c>
      <c r="V54">
        <f t="shared" si="12"/>
        <v>0</v>
      </c>
      <c r="W54">
        <f t="shared" si="12"/>
        <v>0</v>
      </c>
      <c r="X54">
        <f t="shared" si="12"/>
        <v>0</v>
      </c>
      <c r="Y54">
        <f t="shared" si="12"/>
        <v>0</v>
      </c>
      <c r="Z54">
        <f t="shared" si="12"/>
        <v>0</v>
      </c>
      <c r="AA54">
        <f t="shared" si="14"/>
        <v>8</v>
      </c>
      <c r="AF54">
        <v>3</v>
      </c>
      <c r="AG54">
        <v>8</v>
      </c>
      <c r="AH54">
        <f t="shared" ref="AH54:AH56" ca="1" si="16">OFFSET($O$45,AF54,AG54)</f>
        <v>0</v>
      </c>
    </row>
    <row r="55" spans="1:34" x14ac:dyDescent="0.25">
      <c r="N55">
        <v>0</v>
      </c>
      <c r="O55" t="s">
        <v>37</v>
      </c>
      <c r="P55">
        <v>0</v>
      </c>
      <c r="Q55">
        <f t="shared" si="13"/>
        <v>0</v>
      </c>
      <c r="R55">
        <f t="shared" si="12"/>
        <v>0</v>
      </c>
      <c r="S55">
        <f t="shared" si="12"/>
        <v>0</v>
      </c>
      <c r="T55">
        <f t="shared" si="12"/>
        <v>95</v>
      </c>
      <c r="U55">
        <f t="shared" si="12"/>
        <v>155</v>
      </c>
      <c r="V55">
        <f t="shared" si="12"/>
        <v>0</v>
      </c>
      <c r="W55">
        <f t="shared" si="12"/>
        <v>0</v>
      </c>
      <c r="X55">
        <f t="shared" si="12"/>
        <v>0</v>
      </c>
      <c r="Y55">
        <f t="shared" si="12"/>
        <v>0</v>
      </c>
      <c r="Z55">
        <f t="shared" si="12"/>
        <v>0</v>
      </c>
      <c r="AA55">
        <f t="shared" si="14"/>
        <v>9</v>
      </c>
      <c r="AC55">
        <v>11</v>
      </c>
      <c r="AD55">
        <v>2</v>
      </c>
      <c r="AE55">
        <v>10</v>
      </c>
      <c r="AF55">
        <f t="shared" ref="AF55:AF56" si="17">(AC55-10)*11+AD55+1</f>
        <v>14</v>
      </c>
      <c r="AG55">
        <f t="shared" ref="AG55:AG56" si="18">AE55+1</f>
        <v>11</v>
      </c>
      <c r="AH55">
        <f t="shared" ca="1" si="16"/>
        <v>165</v>
      </c>
    </row>
    <row r="56" spans="1:34" x14ac:dyDescent="0.25">
      <c r="N56">
        <v>0</v>
      </c>
      <c r="O56" t="s">
        <v>38</v>
      </c>
      <c r="P56">
        <v>0</v>
      </c>
      <c r="Q56">
        <f t="shared" si="13"/>
        <v>0</v>
      </c>
      <c r="R56">
        <f t="shared" si="12"/>
        <v>0</v>
      </c>
      <c r="S56">
        <f t="shared" si="12"/>
        <v>0</v>
      </c>
      <c r="T56">
        <f t="shared" si="12"/>
        <v>0</v>
      </c>
      <c r="U56">
        <v>35</v>
      </c>
      <c r="V56">
        <f t="shared" si="12"/>
        <v>0</v>
      </c>
      <c r="W56">
        <f t="shared" si="12"/>
        <v>0</v>
      </c>
      <c r="X56">
        <f t="shared" si="12"/>
        <v>0</v>
      </c>
      <c r="Y56">
        <f t="shared" si="12"/>
        <v>0</v>
      </c>
      <c r="Z56">
        <f t="shared" si="12"/>
        <v>0</v>
      </c>
      <c r="AA56">
        <f t="shared" si="14"/>
        <v>10</v>
      </c>
      <c r="AC56">
        <v>10</v>
      </c>
      <c r="AD56">
        <v>8</v>
      </c>
      <c r="AE56">
        <v>4</v>
      </c>
      <c r="AF56">
        <f t="shared" si="17"/>
        <v>9</v>
      </c>
      <c r="AG56">
        <f t="shared" si="18"/>
        <v>5</v>
      </c>
      <c r="AH56">
        <f t="shared" ca="1" si="16"/>
        <v>155</v>
      </c>
    </row>
    <row r="57" spans="1:34" x14ac:dyDescent="0.25">
      <c r="N57">
        <v>1</v>
      </c>
      <c r="O57" t="s">
        <v>47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34" x14ac:dyDescent="0.25">
      <c r="N58">
        <v>1</v>
      </c>
      <c r="O58" t="s">
        <v>18</v>
      </c>
      <c r="P58">
        <v>0</v>
      </c>
      <c r="Q58">
        <f>IF(AND(SUM(VLOOKUP($O58,$A$2:$H$12,2,FALSE),VLOOKUP(Q$45,$A$2:$H$12,2,FALSE))&lt;$K$14,$O58&lt;&gt;Q$45,C32=1),(VLOOKUP(Q$45,$A$2:$H$12,5,FALSE)*1440)-(VLOOKUP($O58,$A$2:$H$12,6,FALSE))*1440-$B$13,0)</f>
        <v>0</v>
      </c>
      <c r="R58">
        <f t="shared" ref="R58:Z67" si="19">IF(AND(SUM(VLOOKUP($O58,$A$2:$H$12,2,FALSE),VLOOKUP(R$45,$A$2:$H$12,2,FALSE))&lt;$K$14,$O58&lt;&gt;R$45,D32=1),(VLOOKUP(R$45,$A$2:$H$12,5,FALSE)*1440)-(VLOOKUP($O58,$A$2:$H$12,6,FALSE))*1440-$B$13,0)</f>
        <v>0</v>
      </c>
      <c r="S58">
        <f t="shared" si="19"/>
        <v>40</v>
      </c>
      <c r="T58">
        <f t="shared" si="19"/>
        <v>400</v>
      </c>
      <c r="U58">
        <f t="shared" si="19"/>
        <v>460</v>
      </c>
      <c r="V58">
        <f t="shared" si="19"/>
        <v>0</v>
      </c>
      <c r="W58">
        <f t="shared" si="19"/>
        <v>0</v>
      </c>
      <c r="X58">
        <f t="shared" si="19"/>
        <v>105</v>
      </c>
      <c r="Y58">
        <v>165</v>
      </c>
      <c r="Z58">
        <f t="shared" si="19"/>
        <v>285</v>
      </c>
      <c r="AA58">
        <f>AA57+1</f>
        <v>1</v>
      </c>
    </row>
    <row r="59" spans="1:34" x14ac:dyDescent="0.25">
      <c r="N59">
        <v>1</v>
      </c>
      <c r="O59" t="s">
        <v>20</v>
      </c>
      <c r="P59">
        <v>0</v>
      </c>
      <c r="Q59">
        <f t="shared" ref="Q59:Q67" si="20">IF(AND(SUM(VLOOKUP($O59,$A$2:$H$12,2,FALSE),VLOOKUP(Q$45,$A$2:$H$12,2,FALSE))&lt;$K$14,$O59&lt;&gt;Q$45,C33=1),(VLOOKUP(Q$45,$A$2:$H$12,5,FALSE)*1440)-(VLOOKUP($O59,$A$2:$H$12,6,FALSE))*1440-$B$13,0)</f>
        <v>0</v>
      </c>
      <c r="R59">
        <f t="shared" si="19"/>
        <v>0</v>
      </c>
      <c r="S59">
        <f t="shared" si="19"/>
        <v>0</v>
      </c>
      <c r="T59">
        <f t="shared" si="19"/>
        <v>280</v>
      </c>
      <c r="U59">
        <f t="shared" si="19"/>
        <v>340</v>
      </c>
      <c r="V59">
        <f t="shared" si="19"/>
        <v>0</v>
      </c>
      <c r="W59">
        <f t="shared" si="19"/>
        <v>0</v>
      </c>
      <c r="X59">
        <f t="shared" si="19"/>
        <v>0</v>
      </c>
      <c r="Y59">
        <v>45</v>
      </c>
      <c r="Z59">
        <f t="shared" si="19"/>
        <v>165</v>
      </c>
      <c r="AA59">
        <f t="shared" ref="AA59:AA67" si="21">AA58+1</f>
        <v>2</v>
      </c>
    </row>
    <row r="60" spans="1:34" x14ac:dyDescent="0.25">
      <c r="L60">
        <f>VLOOKUP(K$30,$A$3:$G$12,5,FALSE) - VLOOKUP($A38,$A$3:$G$12,6,FALSE)</f>
        <v>2.7777777777777901E-2</v>
      </c>
      <c r="M60">
        <f>($B$13)/1440</f>
        <v>4.1666666666666664E-2</v>
      </c>
      <c r="N60">
        <v>1</v>
      </c>
      <c r="O60" t="s">
        <v>21</v>
      </c>
      <c r="P60">
        <v>0</v>
      </c>
      <c r="Q60">
        <f t="shared" si="20"/>
        <v>0</v>
      </c>
      <c r="R60">
        <f t="shared" si="19"/>
        <v>0</v>
      </c>
      <c r="S60">
        <f t="shared" si="19"/>
        <v>0</v>
      </c>
      <c r="T60">
        <f t="shared" si="19"/>
        <v>160</v>
      </c>
      <c r="U60">
        <f t="shared" si="19"/>
        <v>220</v>
      </c>
      <c r="V60">
        <f t="shared" si="19"/>
        <v>0</v>
      </c>
      <c r="W60">
        <f t="shared" si="19"/>
        <v>0</v>
      </c>
      <c r="X60">
        <f t="shared" si="19"/>
        <v>0</v>
      </c>
      <c r="Y60">
        <f t="shared" si="19"/>
        <v>0</v>
      </c>
      <c r="Z60">
        <f t="shared" si="19"/>
        <v>45</v>
      </c>
      <c r="AA60">
        <f t="shared" si="21"/>
        <v>3</v>
      </c>
    </row>
    <row r="61" spans="1:34" x14ac:dyDescent="0.25">
      <c r="N61">
        <v>1</v>
      </c>
      <c r="O61" t="s">
        <v>22</v>
      </c>
      <c r="P61">
        <v>0</v>
      </c>
      <c r="Q61">
        <f t="shared" si="20"/>
        <v>0</v>
      </c>
      <c r="R61">
        <f t="shared" si="19"/>
        <v>0</v>
      </c>
      <c r="S61">
        <f t="shared" si="19"/>
        <v>0</v>
      </c>
      <c r="T61">
        <f t="shared" si="19"/>
        <v>0</v>
      </c>
      <c r="U61">
        <f t="shared" si="19"/>
        <v>0</v>
      </c>
      <c r="V61">
        <f t="shared" si="19"/>
        <v>0</v>
      </c>
      <c r="W61">
        <f t="shared" si="19"/>
        <v>0</v>
      </c>
      <c r="X61">
        <f t="shared" si="19"/>
        <v>0</v>
      </c>
      <c r="Y61">
        <f t="shared" si="19"/>
        <v>0</v>
      </c>
      <c r="Z61">
        <f t="shared" si="19"/>
        <v>0</v>
      </c>
      <c r="AA61">
        <f t="shared" si="21"/>
        <v>4</v>
      </c>
    </row>
    <row r="62" spans="1:34" x14ac:dyDescent="0.25">
      <c r="N62">
        <v>1</v>
      </c>
      <c r="O62" t="s">
        <v>23</v>
      </c>
      <c r="P62">
        <v>0</v>
      </c>
      <c r="Q62">
        <f t="shared" si="20"/>
        <v>0</v>
      </c>
      <c r="R62">
        <f t="shared" si="19"/>
        <v>0</v>
      </c>
      <c r="S62">
        <f t="shared" si="19"/>
        <v>0</v>
      </c>
      <c r="T62">
        <f t="shared" si="19"/>
        <v>0</v>
      </c>
      <c r="U62">
        <f t="shared" si="19"/>
        <v>0</v>
      </c>
      <c r="V62">
        <f t="shared" si="19"/>
        <v>0</v>
      </c>
      <c r="W62">
        <f t="shared" si="19"/>
        <v>0</v>
      </c>
      <c r="X62">
        <f t="shared" si="19"/>
        <v>0</v>
      </c>
      <c r="Y62">
        <f t="shared" si="19"/>
        <v>0</v>
      </c>
      <c r="Z62">
        <f t="shared" si="19"/>
        <v>0</v>
      </c>
      <c r="AA62">
        <f t="shared" si="21"/>
        <v>5</v>
      </c>
    </row>
    <row r="63" spans="1:34" x14ac:dyDescent="0.25">
      <c r="N63">
        <v>1</v>
      </c>
      <c r="O63" t="s">
        <v>34</v>
      </c>
      <c r="P63">
        <v>0</v>
      </c>
      <c r="Q63">
        <f t="shared" si="20"/>
        <v>0</v>
      </c>
      <c r="R63">
        <f t="shared" si="19"/>
        <v>0</v>
      </c>
      <c r="S63">
        <f t="shared" si="19"/>
        <v>25</v>
      </c>
      <c r="T63">
        <f t="shared" si="19"/>
        <v>385</v>
      </c>
      <c r="U63">
        <f t="shared" si="19"/>
        <v>445</v>
      </c>
      <c r="V63">
        <f t="shared" si="19"/>
        <v>0</v>
      </c>
      <c r="W63">
        <f t="shared" si="19"/>
        <v>0</v>
      </c>
      <c r="X63">
        <f t="shared" si="19"/>
        <v>90</v>
      </c>
      <c r="Y63">
        <v>150</v>
      </c>
      <c r="Z63">
        <f t="shared" si="19"/>
        <v>270</v>
      </c>
      <c r="AA63">
        <f t="shared" si="21"/>
        <v>6</v>
      </c>
    </row>
    <row r="64" spans="1:34" x14ac:dyDescent="0.25">
      <c r="I64" t="s">
        <v>18</v>
      </c>
      <c r="J64" t="s">
        <v>35</v>
      </c>
      <c r="K64" t="s">
        <v>49</v>
      </c>
      <c r="L64" t="s">
        <v>38</v>
      </c>
      <c r="M64" t="s">
        <v>23</v>
      </c>
      <c r="N64">
        <v>1</v>
      </c>
      <c r="O64" t="s">
        <v>35</v>
      </c>
      <c r="P64">
        <v>0</v>
      </c>
      <c r="Q64">
        <f t="shared" si="20"/>
        <v>0</v>
      </c>
      <c r="R64">
        <f t="shared" si="19"/>
        <v>0</v>
      </c>
      <c r="S64">
        <f t="shared" si="19"/>
        <v>0</v>
      </c>
      <c r="T64">
        <v>215</v>
      </c>
      <c r="U64">
        <v>275</v>
      </c>
      <c r="V64">
        <f t="shared" si="19"/>
        <v>0</v>
      </c>
      <c r="W64">
        <f t="shared" si="19"/>
        <v>0</v>
      </c>
      <c r="X64">
        <f t="shared" si="19"/>
        <v>0</v>
      </c>
      <c r="Y64">
        <f t="shared" si="19"/>
        <v>0</v>
      </c>
      <c r="Z64">
        <v>100</v>
      </c>
      <c r="AA64">
        <f t="shared" si="21"/>
        <v>7</v>
      </c>
    </row>
    <row r="65" spans="1:27" x14ac:dyDescent="0.25">
      <c r="H65" s="4"/>
      <c r="I65">
        <f>(VLOOKUP(J64,A3:H12,5,FALSE)-VLOOKUP(I64,A3:H12,6,FALSE))*60</f>
        <v>1.8749999999999967</v>
      </c>
      <c r="N65">
        <v>1</v>
      </c>
      <c r="O65" t="s">
        <v>36</v>
      </c>
      <c r="P65">
        <v>0</v>
      </c>
      <c r="Q65">
        <f t="shared" si="20"/>
        <v>0</v>
      </c>
      <c r="R65">
        <f t="shared" si="19"/>
        <v>0</v>
      </c>
      <c r="S65">
        <f t="shared" si="19"/>
        <v>0</v>
      </c>
      <c r="T65">
        <v>95</v>
      </c>
      <c r="U65">
        <v>155</v>
      </c>
      <c r="V65">
        <f t="shared" si="19"/>
        <v>0</v>
      </c>
      <c r="W65">
        <f t="shared" si="19"/>
        <v>0</v>
      </c>
      <c r="X65">
        <f t="shared" si="19"/>
        <v>0</v>
      </c>
      <c r="Y65">
        <f t="shared" si="19"/>
        <v>0</v>
      </c>
      <c r="Z65">
        <f t="shared" si="19"/>
        <v>0</v>
      </c>
      <c r="AA65">
        <f t="shared" si="21"/>
        <v>8</v>
      </c>
    </row>
    <row r="66" spans="1:27" x14ac:dyDescent="0.25">
      <c r="H66" s="16"/>
      <c r="N66">
        <v>1</v>
      </c>
      <c r="O66" t="s">
        <v>37</v>
      </c>
      <c r="P66">
        <v>0</v>
      </c>
      <c r="Q66">
        <f t="shared" si="20"/>
        <v>0</v>
      </c>
      <c r="R66">
        <f t="shared" si="19"/>
        <v>0</v>
      </c>
      <c r="S66">
        <f t="shared" si="19"/>
        <v>0</v>
      </c>
      <c r="T66">
        <f t="shared" si="19"/>
        <v>35</v>
      </c>
      <c r="U66">
        <f t="shared" si="19"/>
        <v>95</v>
      </c>
      <c r="V66">
        <f t="shared" si="19"/>
        <v>0</v>
      </c>
      <c r="W66">
        <f t="shared" si="19"/>
        <v>0</v>
      </c>
      <c r="X66">
        <f t="shared" si="19"/>
        <v>0</v>
      </c>
      <c r="Y66">
        <f t="shared" si="19"/>
        <v>0</v>
      </c>
      <c r="Z66">
        <f t="shared" si="19"/>
        <v>0</v>
      </c>
      <c r="AA66">
        <f t="shared" si="21"/>
        <v>9</v>
      </c>
    </row>
    <row r="67" spans="1:27" x14ac:dyDescent="0.25">
      <c r="H67" s="17"/>
      <c r="N67">
        <v>1</v>
      </c>
      <c r="O67" t="s">
        <v>38</v>
      </c>
      <c r="P67">
        <v>0</v>
      </c>
      <c r="Q67">
        <f t="shared" si="20"/>
        <v>0</v>
      </c>
      <c r="R67">
        <f t="shared" si="19"/>
        <v>0</v>
      </c>
      <c r="S67">
        <f t="shared" si="19"/>
        <v>0</v>
      </c>
      <c r="T67">
        <f t="shared" si="19"/>
        <v>0</v>
      </c>
      <c r="U67">
        <f t="shared" si="19"/>
        <v>0</v>
      </c>
      <c r="V67">
        <f t="shared" si="19"/>
        <v>0</v>
      </c>
      <c r="W67">
        <f t="shared" si="19"/>
        <v>0</v>
      </c>
      <c r="X67">
        <f t="shared" si="19"/>
        <v>0</v>
      </c>
      <c r="Y67">
        <f t="shared" si="19"/>
        <v>0</v>
      </c>
      <c r="Z67">
        <f t="shared" si="19"/>
        <v>0</v>
      </c>
      <c r="AA67">
        <f t="shared" si="21"/>
        <v>10</v>
      </c>
    </row>
    <row r="68" spans="1:27" x14ac:dyDescent="0.25">
      <c r="H68" s="18"/>
      <c r="N68">
        <v>2</v>
      </c>
      <c r="O68" t="s">
        <v>47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N69">
        <v>2</v>
      </c>
      <c r="O69" t="s">
        <v>18</v>
      </c>
      <c r="P69">
        <v>0</v>
      </c>
      <c r="Q69">
        <f>IF(AND(SUM(VLOOKUP($O69,$A$2:$H$12,2,FALSE),VLOOKUP(Q$45,$A$2:$H$12,2,FALSE))&lt;$K$14,$O69&lt;&gt;Q$45,C43=1),(VLOOKUP(Q$45,$A$2:$H$12,5,FALSE)*1440)-(VLOOKUP($O69,$A$2:$H$12,6,FALSE))*1440-$B$14,0)</f>
        <v>0</v>
      </c>
      <c r="R69">
        <f t="shared" ref="R69:Z78" si="22">IF(AND(SUM(VLOOKUP($O69,$A$2:$H$12,2,FALSE),VLOOKUP(R$45,$A$2:$H$12,2,FALSE))&lt;$K$14,$O69&lt;&gt;R$45,D43=1),(VLOOKUP(R$45,$A$2:$H$12,5,FALSE)*1440)-(VLOOKUP($O69,$A$2:$H$12,6,FALSE))*1440-$B$14,0)</f>
        <v>0</v>
      </c>
      <c r="S69">
        <f t="shared" si="22"/>
        <v>25</v>
      </c>
      <c r="T69">
        <f t="shared" si="22"/>
        <v>385</v>
      </c>
      <c r="U69">
        <f t="shared" si="22"/>
        <v>445</v>
      </c>
      <c r="V69">
        <f t="shared" si="22"/>
        <v>0</v>
      </c>
      <c r="W69">
        <f t="shared" si="22"/>
        <v>0</v>
      </c>
      <c r="X69">
        <f t="shared" si="22"/>
        <v>90</v>
      </c>
      <c r="Y69">
        <v>150</v>
      </c>
      <c r="Z69">
        <f t="shared" si="22"/>
        <v>270</v>
      </c>
      <c r="AA69">
        <f>AA68+1</f>
        <v>1</v>
      </c>
    </row>
    <row r="70" spans="1:27" x14ac:dyDescent="0.25">
      <c r="N70">
        <v>2</v>
      </c>
      <c r="O70" t="s">
        <v>20</v>
      </c>
      <c r="P70">
        <v>0</v>
      </c>
      <c r="Q70">
        <f t="shared" ref="Q70:Q78" si="23">IF(AND(SUM(VLOOKUP($O70,$A$2:$H$12,2,FALSE),VLOOKUP(Q$45,$A$2:$H$12,2,FALSE))&lt;$K$14,$O70&lt;&gt;Q$45,C44=1),(VLOOKUP(Q$45,$A$2:$H$12,5,FALSE)*1440)-(VLOOKUP($O70,$A$2:$H$12,6,FALSE))*1440-$B$14,0)</f>
        <v>0</v>
      </c>
      <c r="R70">
        <f t="shared" si="22"/>
        <v>0</v>
      </c>
      <c r="S70">
        <f t="shared" si="22"/>
        <v>0</v>
      </c>
      <c r="T70">
        <f t="shared" si="22"/>
        <v>265</v>
      </c>
      <c r="U70">
        <f t="shared" si="22"/>
        <v>325</v>
      </c>
      <c r="V70">
        <f t="shared" si="22"/>
        <v>0</v>
      </c>
      <c r="W70">
        <f t="shared" si="22"/>
        <v>0</v>
      </c>
      <c r="X70">
        <f t="shared" si="22"/>
        <v>0</v>
      </c>
      <c r="Y70">
        <v>30</v>
      </c>
      <c r="Z70">
        <f t="shared" si="22"/>
        <v>150</v>
      </c>
      <c r="AA70">
        <f t="shared" ref="AA70:AA78" si="24">AA69+1</f>
        <v>2</v>
      </c>
    </row>
    <row r="71" spans="1:27" x14ac:dyDescent="0.25">
      <c r="N71">
        <v>2</v>
      </c>
      <c r="O71" t="s">
        <v>21</v>
      </c>
      <c r="P71">
        <v>0</v>
      </c>
      <c r="Q71">
        <f t="shared" si="23"/>
        <v>0</v>
      </c>
      <c r="R71">
        <f t="shared" si="22"/>
        <v>0</v>
      </c>
      <c r="S71">
        <f t="shared" si="22"/>
        <v>0</v>
      </c>
      <c r="T71">
        <f t="shared" si="22"/>
        <v>145</v>
      </c>
      <c r="U71">
        <f t="shared" si="22"/>
        <v>205</v>
      </c>
      <c r="V71">
        <f t="shared" si="22"/>
        <v>0</v>
      </c>
      <c r="W71">
        <f t="shared" si="22"/>
        <v>0</v>
      </c>
      <c r="X71">
        <f t="shared" si="22"/>
        <v>0</v>
      </c>
      <c r="Y71">
        <f t="shared" si="22"/>
        <v>0</v>
      </c>
      <c r="Z71">
        <f t="shared" si="22"/>
        <v>30</v>
      </c>
      <c r="AA71">
        <f t="shared" si="24"/>
        <v>3</v>
      </c>
    </row>
    <row r="72" spans="1:27" x14ac:dyDescent="0.25">
      <c r="N72">
        <v>2</v>
      </c>
      <c r="O72" t="s">
        <v>22</v>
      </c>
      <c r="P72">
        <v>0</v>
      </c>
      <c r="Q72">
        <f t="shared" si="23"/>
        <v>0</v>
      </c>
      <c r="R72">
        <f t="shared" si="22"/>
        <v>0</v>
      </c>
      <c r="S72">
        <f t="shared" si="22"/>
        <v>0</v>
      </c>
      <c r="T72">
        <f t="shared" si="22"/>
        <v>0</v>
      </c>
      <c r="U72">
        <f t="shared" si="22"/>
        <v>0</v>
      </c>
      <c r="V72">
        <f t="shared" si="22"/>
        <v>0</v>
      </c>
      <c r="W72">
        <f t="shared" si="22"/>
        <v>0</v>
      </c>
      <c r="X72">
        <f t="shared" si="22"/>
        <v>0</v>
      </c>
      <c r="Y72">
        <f t="shared" si="22"/>
        <v>0</v>
      </c>
      <c r="Z72">
        <f t="shared" si="22"/>
        <v>0</v>
      </c>
      <c r="AA72">
        <f t="shared" si="24"/>
        <v>4</v>
      </c>
    </row>
    <row r="73" spans="1:27" x14ac:dyDescent="0.25">
      <c r="N73">
        <v>2</v>
      </c>
      <c r="O73" t="s">
        <v>23</v>
      </c>
      <c r="P73">
        <v>0</v>
      </c>
      <c r="Q73">
        <f t="shared" si="23"/>
        <v>0</v>
      </c>
      <c r="R73">
        <f t="shared" si="22"/>
        <v>0</v>
      </c>
      <c r="S73">
        <f t="shared" si="22"/>
        <v>0</v>
      </c>
      <c r="T73">
        <f t="shared" si="22"/>
        <v>0</v>
      </c>
      <c r="U73">
        <f t="shared" si="22"/>
        <v>0</v>
      </c>
      <c r="V73">
        <f t="shared" si="22"/>
        <v>0</v>
      </c>
      <c r="W73">
        <f t="shared" si="22"/>
        <v>0</v>
      </c>
      <c r="X73">
        <f t="shared" si="22"/>
        <v>0</v>
      </c>
      <c r="Y73">
        <f t="shared" si="22"/>
        <v>0</v>
      </c>
      <c r="Z73">
        <f t="shared" si="22"/>
        <v>0</v>
      </c>
      <c r="AA73">
        <f t="shared" si="24"/>
        <v>5</v>
      </c>
    </row>
    <row r="74" spans="1:27" x14ac:dyDescent="0.25">
      <c r="N74">
        <v>2</v>
      </c>
      <c r="O74" t="s">
        <v>34</v>
      </c>
      <c r="P74">
        <v>0</v>
      </c>
      <c r="Q74">
        <f t="shared" si="23"/>
        <v>0</v>
      </c>
      <c r="R74">
        <f t="shared" si="22"/>
        <v>0</v>
      </c>
      <c r="S74">
        <f t="shared" si="22"/>
        <v>10</v>
      </c>
      <c r="T74">
        <f t="shared" si="22"/>
        <v>370</v>
      </c>
      <c r="U74">
        <f t="shared" si="22"/>
        <v>430</v>
      </c>
      <c r="V74">
        <f t="shared" si="22"/>
        <v>0</v>
      </c>
      <c r="W74">
        <f t="shared" si="22"/>
        <v>0</v>
      </c>
      <c r="X74">
        <f t="shared" si="22"/>
        <v>75</v>
      </c>
      <c r="Y74">
        <v>135</v>
      </c>
      <c r="Z74">
        <f t="shared" si="22"/>
        <v>255</v>
      </c>
      <c r="AA74">
        <f t="shared" si="24"/>
        <v>6</v>
      </c>
    </row>
    <row r="75" spans="1:27" x14ac:dyDescent="0.25">
      <c r="N75">
        <v>2</v>
      </c>
      <c r="O75" t="s">
        <v>35</v>
      </c>
      <c r="P75">
        <v>0</v>
      </c>
      <c r="Q75">
        <f t="shared" si="23"/>
        <v>0</v>
      </c>
      <c r="R75">
        <f t="shared" si="22"/>
        <v>0</v>
      </c>
      <c r="S75">
        <f t="shared" si="22"/>
        <v>0</v>
      </c>
      <c r="T75">
        <v>200</v>
      </c>
      <c r="U75">
        <v>260</v>
      </c>
      <c r="V75">
        <f t="shared" si="22"/>
        <v>0</v>
      </c>
      <c r="W75">
        <f t="shared" si="22"/>
        <v>0</v>
      </c>
      <c r="X75">
        <f t="shared" si="22"/>
        <v>0</v>
      </c>
      <c r="Y75">
        <f t="shared" si="22"/>
        <v>0</v>
      </c>
      <c r="Z75">
        <v>85</v>
      </c>
      <c r="AA75">
        <f t="shared" si="24"/>
        <v>7</v>
      </c>
    </row>
    <row r="76" spans="1:27" x14ac:dyDescent="0.25">
      <c r="N76">
        <v>2</v>
      </c>
      <c r="O76" t="s">
        <v>36</v>
      </c>
      <c r="P76">
        <v>0</v>
      </c>
      <c r="Q76">
        <f t="shared" si="23"/>
        <v>0</v>
      </c>
      <c r="R76">
        <f t="shared" si="22"/>
        <v>0</v>
      </c>
      <c r="S76">
        <f t="shared" si="22"/>
        <v>0</v>
      </c>
      <c r="T76">
        <v>80</v>
      </c>
      <c r="U76">
        <v>140</v>
      </c>
      <c r="V76">
        <f t="shared" si="22"/>
        <v>0</v>
      </c>
      <c r="W76">
        <f t="shared" si="22"/>
        <v>0</v>
      </c>
      <c r="X76">
        <f t="shared" si="22"/>
        <v>0</v>
      </c>
      <c r="Y76">
        <f t="shared" si="22"/>
        <v>0</v>
      </c>
      <c r="Z76">
        <f t="shared" si="22"/>
        <v>0</v>
      </c>
      <c r="AA76">
        <f t="shared" si="24"/>
        <v>8</v>
      </c>
    </row>
    <row r="77" spans="1:27" x14ac:dyDescent="0.25">
      <c r="N77">
        <v>2</v>
      </c>
      <c r="O77" t="s">
        <v>37</v>
      </c>
      <c r="P77">
        <v>0</v>
      </c>
      <c r="Q77">
        <f t="shared" si="23"/>
        <v>0</v>
      </c>
      <c r="R77">
        <f t="shared" si="22"/>
        <v>0</v>
      </c>
      <c r="S77">
        <f t="shared" si="22"/>
        <v>0</v>
      </c>
      <c r="T77">
        <v>20</v>
      </c>
      <c r="U77">
        <v>80</v>
      </c>
      <c r="V77">
        <f t="shared" si="22"/>
        <v>0</v>
      </c>
      <c r="W77">
        <f t="shared" si="22"/>
        <v>0</v>
      </c>
      <c r="X77">
        <f t="shared" si="22"/>
        <v>0</v>
      </c>
      <c r="Y77">
        <f t="shared" si="22"/>
        <v>0</v>
      </c>
      <c r="Z77">
        <f t="shared" si="22"/>
        <v>0</v>
      </c>
      <c r="AA77">
        <f t="shared" si="24"/>
        <v>9</v>
      </c>
    </row>
    <row r="78" spans="1:27" x14ac:dyDescent="0.25">
      <c r="N78">
        <v>2</v>
      </c>
      <c r="O78" t="s">
        <v>38</v>
      </c>
      <c r="P78">
        <v>0</v>
      </c>
      <c r="Q78">
        <f t="shared" si="23"/>
        <v>0</v>
      </c>
      <c r="R78">
        <f t="shared" si="22"/>
        <v>0</v>
      </c>
      <c r="S78">
        <f t="shared" si="22"/>
        <v>0</v>
      </c>
      <c r="T78">
        <f t="shared" si="22"/>
        <v>0</v>
      </c>
      <c r="U78">
        <f t="shared" si="22"/>
        <v>0</v>
      </c>
      <c r="V78">
        <f t="shared" si="22"/>
        <v>0</v>
      </c>
      <c r="W78">
        <f t="shared" si="22"/>
        <v>0</v>
      </c>
      <c r="X78">
        <f t="shared" si="22"/>
        <v>0</v>
      </c>
      <c r="Y78">
        <f t="shared" si="22"/>
        <v>0</v>
      </c>
      <c r="Z78">
        <f t="shared" si="22"/>
        <v>0</v>
      </c>
      <c r="AA78">
        <f t="shared" si="24"/>
        <v>10</v>
      </c>
    </row>
    <row r="80" spans="1:27" x14ac:dyDescent="0.25">
      <c r="A80">
        <v>1</v>
      </c>
      <c r="B80">
        <f>A80+1</f>
        <v>2</v>
      </c>
      <c r="C80">
        <f t="shared" ref="C80:AA80" si="25">B80+1</f>
        <v>3</v>
      </c>
      <c r="D80">
        <f t="shared" si="25"/>
        <v>4</v>
      </c>
      <c r="E80">
        <f t="shared" si="25"/>
        <v>5</v>
      </c>
      <c r="F80">
        <f t="shared" si="25"/>
        <v>6</v>
      </c>
      <c r="G80">
        <f t="shared" si="25"/>
        <v>7</v>
      </c>
      <c r="H80">
        <f t="shared" si="25"/>
        <v>8</v>
      </c>
      <c r="I80">
        <f t="shared" si="25"/>
        <v>9</v>
      </c>
      <c r="J80">
        <f t="shared" si="25"/>
        <v>10</v>
      </c>
      <c r="K80">
        <f t="shared" si="25"/>
        <v>11</v>
      </c>
      <c r="L80">
        <f t="shared" si="25"/>
        <v>12</v>
      </c>
      <c r="M80">
        <f t="shared" si="25"/>
        <v>13</v>
      </c>
      <c r="N80">
        <f t="shared" si="25"/>
        <v>14</v>
      </c>
      <c r="O80">
        <f t="shared" si="25"/>
        <v>15</v>
      </c>
      <c r="P80">
        <f t="shared" si="25"/>
        <v>16</v>
      </c>
      <c r="Q80">
        <f t="shared" si="25"/>
        <v>17</v>
      </c>
      <c r="R80">
        <f t="shared" si="25"/>
        <v>18</v>
      </c>
      <c r="S80">
        <f t="shared" si="25"/>
        <v>19</v>
      </c>
      <c r="T80">
        <f t="shared" si="25"/>
        <v>20</v>
      </c>
      <c r="U80">
        <f t="shared" si="25"/>
        <v>21</v>
      </c>
      <c r="V80">
        <f t="shared" si="25"/>
        <v>22</v>
      </c>
      <c r="W80">
        <f t="shared" si="25"/>
        <v>23</v>
      </c>
      <c r="X80">
        <f t="shared" si="25"/>
        <v>24</v>
      </c>
      <c r="Y80">
        <f t="shared" si="25"/>
        <v>25</v>
      </c>
      <c r="Z80">
        <f t="shared" si="25"/>
        <v>26</v>
      </c>
      <c r="AA80">
        <f t="shared" si="25"/>
        <v>27</v>
      </c>
    </row>
  </sheetData>
  <conditionalFormatting sqref="C18:L28 M28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:L5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0:M60 C31:L4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8:M2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8 M17 B17:L28 B31:B5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1:Z4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6:AA7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:AB28 P29 AA29:AB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8:AA2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8:AB27 AA29 AB28:AB2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8:AB27 AA29 AB28:AB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1:AH32 AH19:AT30 AS31:AT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C6F9-D3C6-4C35-84CE-77AE2DCA964C}">
  <dimension ref="A1:AF32"/>
  <sheetViews>
    <sheetView workbookViewId="0">
      <selection activeCell="C3" sqref="C3"/>
    </sheetView>
  </sheetViews>
  <sheetFormatPr defaultRowHeight="15" x14ac:dyDescent="0.25"/>
  <sheetData>
    <row r="1" spans="1:32" x14ac:dyDescent="0.25">
      <c r="B1" t="s">
        <v>47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18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</row>
    <row r="2" spans="1:32" x14ac:dyDescent="0.25">
      <c r="A2" t="s">
        <v>47</v>
      </c>
      <c r="B2">
        <v>0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</row>
    <row r="3" spans="1:32" x14ac:dyDescent="0.25">
      <c r="A3" t="s">
        <v>6</v>
      </c>
      <c r="B3" s="3">
        <v>1</v>
      </c>
      <c r="C3" s="2">
        <f>IF(AND(VLOOKUP(C$1,test!$A$3:$G$32,5,FALSE)-VLOOKUP($A3,test!$A$3:$G$32,6,FALSE)&gt;=VLOOKUP(VLOOKUP(C$1, test!$A$3:$G$32,3,FALSE), test!$J$11:$K$14, 2, FALSE)/1440,VLOOKUP($A3,test!$A$3:$F$32,4,FALSE)=VLOOKUP(C$1,test!$A$3:$F$32,3,FALSE)),1,0)</f>
        <v>0</v>
      </c>
      <c r="D3" s="2">
        <f>IF(AND(VLOOKUP(D$1,test!$A$3:$G$32,5,FALSE)-VLOOKUP($A3,test!$A$3:$G$32,6,FALSE)&gt;=VLOOKUP(VLOOKUP(D$1, test!$A$3:$G$32,3,FALSE), test!$J$11:$K$14, 2, FALSE)/1440,VLOOKUP($A3,test!$A$3:$F$32,4,FALSE)=VLOOKUP(D$1,test!$A$3:$F$32,3,FALSE)),1,0)</f>
        <v>0</v>
      </c>
      <c r="E3" s="2">
        <f>IF(AND(VLOOKUP(E$1,test!$A$3:$G$32,5,FALSE)-VLOOKUP($A3,test!$A$3:$G$32,6,FALSE)&gt;=VLOOKUP(VLOOKUP(E$1, test!$A$3:$G$32,3,FALSE), test!$J$11:$K$14, 2, FALSE)/1440,VLOOKUP($A3,test!$A$3:$F$32,4,FALSE)=VLOOKUP(E$1,test!$A$3:$F$32,3,FALSE)),1,0)</f>
        <v>0</v>
      </c>
      <c r="F3" s="2">
        <f>IF(AND(VLOOKUP(F$1,test!$A$3:$G$32,5,FALSE)-VLOOKUP($A3,test!$A$3:$G$32,6,FALSE)&gt;=VLOOKUP(VLOOKUP(F$1, test!$A$3:$G$32,3,FALSE), test!$J$11:$K$14, 2, FALSE)/1440,VLOOKUP($A3,test!$A$3:$F$32,4,FALSE)=VLOOKUP(F$1,test!$A$3:$F$32,3,FALSE)),1,0)</f>
        <v>0</v>
      </c>
      <c r="G3" s="2">
        <f>IF(AND(VLOOKUP(G$1,test!$A$3:$G$32,5,FALSE)-VLOOKUP($A3,test!$A$3:$G$32,6,FALSE)&gt;=VLOOKUP(VLOOKUP(G$1, test!$A$3:$G$32,3,FALSE), test!$J$11:$K$14, 2, FALSE)/1440,VLOOKUP($A3,test!$A$3:$F$32,4,FALSE)=VLOOKUP(G$1,test!$A$3:$F$32,3,FALSE)),1,0)</f>
        <v>0</v>
      </c>
      <c r="H3" s="2">
        <f>IF(AND(VLOOKUP(H$1,test!$A$3:$G$32,5,FALSE)-VLOOKUP($A3,test!$A$3:$G$32,6,FALSE)&gt;=VLOOKUP(VLOOKUP(H$1, test!$A$3:$G$32,3,FALSE), test!$J$11:$K$14, 2, FALSE)/1440,VLOOKUP($A3,test!$A$3:$F$32,4,FALSE)=VLOOKUP(H$1,test!$A$3:$F$32,3,FALSE)),1,0)</f>
        <v>0</v>
      </c>
      <c r="I3" s="2">
        <f>IF(AND(VLOOKUP(I$1,test!$A$3:$G$32,5,FALSE)-VLOOKUP($A3,test!$A$3:$G$32,6,FALSE)&gt;=VLOOKUP(VLOOKUP(I$1, test!$A$3:$G$32,3,FALSE), test!$J$11:$K$14, 2, FALSE)/1440,VLOOKUP($A3,test!$A$3:$F$32,4,FALSE)=VLOOKUP(I$1,test!$A$3:$F$32,3,FALSE)),1,0)</f>
        <v>0</v>
      </c>
      <c r="J3" s="2">
        <f>IF(AND(VLOOKUP(J$1,test!$A$3:$G$32,5,FALSE)-VLOOKUP($A3,test!$A$3:$G$32,6,FALSE)&gt;=VLOOKUP(VLOOKUP(J$1, test!$A$3:$G$32,3,FALSE), test!$J$11:$K$14, 2, FALSE)/1440,VLOOKUP($A3,test!$A$3:$F$32,4,FALSE)=VLOOKUP(J$1,test!$A$3:$F$32,3,FALSE)),1,0)</f>
        <v>0</v>
      </c>
      <c r="K3" s="2">
        <f>IF(AND(VLOOKUP(K$1,test!$A$3:$G$32,5,FALSE)-VLOOKUP($A3,test!$A$3:$G$32,6,FALSE)&gt;=VLOOKUP(VLOOKUP(K$1, test!$A$3:$G$32,3,FALSE), test!$J$11:$K$14, 2, FALSE)/1440,VLOOKUP($A3,test!$A$3:$F$32,4,FALSE)=VLOOKUP(K$1,test!$A$3:$F$32,3,FALSE)),1,0)</f>
        <v>0</v>
      </c>
      <c r="L3" s="2">
        <f>IF(AND(VLOOKUP(L$1,test!$A$3:$G$32,5,FALSE)-VLOOKUP($A3,test!$A$3:$G$32,6,FALSE)&gt;=VLOOKUP(VLOOKUP(L$1, test!$A$3:$G$32,3,FALSE), test!$J$11:$K$14, 2, FALSE)/1440,VLOOKUP($A3,test!$A$3:$F$32,4,FALSE)=VLOOKUP(L$1,test!$A$3:$F$32,3,FALSE)),1,0)</f>
        <v>0</v>
      </c>
      <c r="M3" s="2">
        <f>IF(AND(VLOOKUP(M$1,test!$A$3:$G$32,5,FALSE)-VLOOKUP($A3,test!$A$3:$G$32,6,FALSE)&gt;=VLOOKUP(VLOOKUP(M$1, test!$A$3:$G$32,3,FALSE), test!$J$11:$K$14, 2, FALSE)/1440,VLOOKUP($A3,test!$A$3:$F$32,4,FALSE)=VLOOKUP(M$1,test!$A$3:$F$32,3,FALSE)),1,0)</f>
        <v>0</v>
      </c>
      <c r="N3" s="2">
        <f>IF(AND(VLOOKUP(N$1,test!$A$3:$G$32,5,FALSE)-VLOOKUP($A3,test!$A$3:$G$32,6,FALSE)&gt;=VLOOKUP(VLOOKUP(N$1, test!$A$3:$G$32,3,FALSE), test!$J$11:$K$14, 2, FALSE)/1440,VLOOKUP($A3,test!$A$3:$F$32,4,FALSE)=VLOOKUP(N$1,test!$A$3:$F$32,3,FALSE)),1,0)</f>
        <v>0</v>
      </c>
      <c r="O3" s="2">
        <f>IF(AND(VLOOKUP(O$1,test!$A$3:$G$32,5,FALSE)-VLOOKUP($A3,test!$A$3:$G$32,6,FALSE)&gt;=VLOOKUP(VLOOKUP(O$1, test!$A$3:$G$32,3,FALSE), test!$J$11:$K$14, 2, FALSE)/1440,VLOOKUP($A3,test!$A$3:$F$32,4,FALSE)=VLOOKUP(O$1,test!$A$3:$F$32,3,FALSE)),1,0)</f>
        <v>0</v>
      </c>
      <c r="P3" s="2">
        <f>IF(AND(VLOOKUP(P$1,test!$A$3:$G$32,5,FALSE)-VLOOKUP($A3,test!$A$3:$G$32,6,FALSE)&gt;=VLOOKUP(VLOOKUP(P$1, test!$A$3:$G$32,3,FALSE), test!$J$11:$K$14, 2, FALSE)/1440,VLOOKUP($A3,test!$A$3:$F$32,4,FALSE)=VLOOKUP(P$1,test!$A$3:$F$32,3,FALSE)),1,0)</f>
        <v>0</v>
      </c>
      <c r="Q3" s="2">
        <f>IF(AND(VLOOKUP(Q$1,test!$A$3:$G$32,5,FALSE)-VLOOKUP($A3,test!$A$3:$G$32,6,FALSE)&gt;=VLOOKUP(VLOOKUP(Q$1, test!$A$3:$G$32,3,FALSE), test!$J$11:$K$14, 2, FALSE)/1440,VLOOKUP($A3,test!$A$3:$F$32,4,FALSE)=VLOOKUP(Q$1,test!$A$3:$F$32,3,FALSE)),1,0)</f>
        <v>0</v>
      </c>
      <c r="R3" s="2">
        <f>IF(AND(VLOOKUP(R$1,test!$A$3:$G$32,5,FALSE)-VLOOKUP($A3,test!$A$3:$G$32,6,FALSE)&gt;=VLOOKUP(VLOOKUP(R$1, test!$A$3:$G$32,3,FALSE), test!$J$11:$K$14, 2, FALSE)/1440,VLOOKUP($A3,test!$A$3:$F$32,4,FALSE)=VLOOKUP(R$1,test!$A$3:$F$32,3,FALSE)),1,0)</f>
        <v>0</v>
      </c>
      <c r="S3" s="2">
        <f>IF(AND(VLOOKUP(S$1,test!$A$3:$G$32,5,FALSE)-VLOOKUP($A3,test!$A$3:$G$32,6,FALSE)&gt;=VLOOKUP(VLOOKUP(S$1, test!$A$3:$G$32,3,FALSE), test!$J$11:$K$14, 2, FALSE)/1440,VLOOKUP($A3,test!$A$3:$F$32,4,FALSE)=VLOOKUP(S$1,test!$A$3:$F$32,3,FALSE)),1,0)</f>
        <v>1</v>
      </c>
      <c r="T3" s="2">
        <f>IF(AND(VLOOKUP(T$1,test!$A$3:$G$32,5,FALSE)-VLOOKUP($A3,test!$A$3:$G$32,6,FALSE)&gt;=VLOOKUP(VLOOKUP(T$1, test!$A$3:$G$32,3,FALSE), test!$J$11:$K$14, 2, FALSE)/1440,VLOOKUP($A3,test!$A$3:$F$32,4,FALSE)=VLOOKUP(T$1,test!$A$3:$F$32,3,FALSE)),1,0)</f>
        <v>1</v>
      </c>
      <c r="U3" s="2">
        <f>IF(AND(VLOOKUP(U$1,test!$A$3:$G$32,5,FALSE)-VLOOKUP($A3,test!$A$3:$G$32,6,FALSE)&gt;=VLOOKUP(VLOOKUP(U$1, test!$A$3:$G$32,3,FALSE), test!$J$11:$K$14, 2, FALSE)/1440,VLOOKUP($A3,test!$A$3:$F$32,4,FALSE)=VLOOKUP(U$1,test!$A$3:$F$32,3,FALSE)),1,0)</f>
        <v>1</v>
      </c>
      <c r="V3" s="2">
        <f>IF(AND(VLOOKUP(V$1,test!$A$3:$G$32,5,FALSE)-VLOOKUP($A3,test!$A$3:$G$32,6,FALSE)&gt;=VLOOKUP(VLOOKUP(V$1, test!$A$3:$G$32,3,FALSE), test!$J$11:$K$14, 2, FALSE)/1440,VLOOKUP($A3,test!$A$3:$F$32,4,FALSE)=VLOOKUP(V$1,test!$A$3:$F$32,3,FALSE)),1,0)</f>
        <v>1</v>
      </c>
      <c r="W3" s="2">
        <f>IF(AND(VLOOKUP(W$1,test!$A$3:$G$32,5,FALSE)-VLOOKUP($A3,test!$A$3:$G$32,6,FALSE)&gt;=VLOOKUP(VLOOKUP(W$1, test!$A$3:$G$32,3,FALSE), test!$J$11:$K$14, 2, FALSE)/1440,VLOOKUP($A3,test!$A$3:$F$32,4,FALSE)=VLOOKUP(W$1,test!$A$3:$F$32,3,FALSE)),1,0)</f>
        <v>1</v>
      </c>
      <c r="X3" s="2">
        <f>IF(AND(VLOOKUP(X$1,test!$A$3:$G$32,5,FALSE)-VLOOKUP($A3,test!$A$3:$G$32,6,FALSE)&gt;=VLOOKUP(VLOOKUP(X$1, test!$A$3:$G$32,3,FALSE), test!$J$11:$K$14, 2, FALSE)/1440,VLOOKUP($A3,test!$A$3:$F$32,4,FALSE)=VLOOKUP(X$1,test!$A$3:$F$32,3,FALSE)),1,0)</f>
        <v>1</v>
      </c>
      <c r="Y3" s="2">
        <f>IF(AND(VLOOKUP(Y$1,test!$A$3:$G$32,5,FALSE)-VLOOKUP($A3,test!$A$3:$G$32,6,FALSE)&gt;=VLOOKUP(VLOOKUP(Y$1, test!$A$3:$G$32,3,FALSE), test!$J$11:$K$14, 2, FALSE)/1440,VLOOKUP($A3,test!$A$3:$F$32,4,FALSE)=VLOOKUP(Y$1,test!$A$3:$F$32,3,FALSE)),1,0)</f>
        <v>0</v>
      </c>
      <c r="Z3" s="2">
        <f>IF(AND(VLOOKUP(Z$1,test!$A$3:$G$32,5,FALSE)-VLOOKUP($A3,test!$A$3:$G$32,6,FALSE)&gt;=VLOOKUP(VLOOKUP(Z$1, test!$A$3:$G$32,3,FALSE), test!$J$11:$K$14, 2, FALSE)/1440,VLOOKUP($A3,test!$A$3:$F$32,4,FALSE)=VLOOKUP(Z$1,test!$A$3:$F$32,3,FALSE)),1,0)</f>
        <v>0</v>
      </c>
      <c r="AA3" s="2">
        <f>IF(AND(VLOOKUP(AA$1,test!$A$3:$G$32,5,FALSE)-VLOOKUP($A3,test!$A$3:$G$32,6,FALSE)&gt;=VLOOKUP(VLOOKUP(AA$1, test!$A$3:$G$32,3,FALSE), test!$J$11:$K$14, 2, FALSE)/1440,VLOOKUP($A3,test!$A$3:$F$32,4,FALSE)=VLOOKUP(AA$1,test!$A$3:$F$32,3,FALSE)),1,0)</f>
        <v>0</v>
      </c>
      <c r="AB3" s="2">
        <f>IF(AND(VLOOKUP(AB$1,test!$A$3:$G$32,5,FALSE)-VLOOKUP($A3,test!$A$3:$G$32,6,FALSE)&gt;=VLOOKUP(VLOOKUP(AB$1, test!$A$3:$G$32,3,FALSE), test!$J$11:$K$14, 2, FALSE)/1440,VLOOKUP($A3,test!$A$3:$F$32,4,FALSE)=VLOOKUP(AB$1,test!$A$3:$F$32,3,FALSE)),1,0)</f>
        <v>0</v>
      </c>
      <c r="AC3" s="2">
        <f>IF(AND(VLOOKUP(AC$1,test!$A$3:$G$32,5,FALSE)-VLOOKUP($A3,test!$A$3:$G$32,6,FALSE)&gt;=VLOOKUP(VLOOKUP(AC$1, test!$A$3:$G$32,3,FALSE), test!$J$11:$K$14, 2, FALSE)/1440,VLOOKUP($A3,test!$A$3:$F$32,4,FALSE)=VLOOKUP(AC$1,test!$A$3:$F$32,3,FALSE)),1,0)</f>
        <v>0</v>
      </c>
      <c r="AD3" s="2">
        <f>IF(AND(VLOOKUP(AD$1,test!$A$3:$G$32,5,FALSE)-VLOOKUP($A3,test!$A$3:$G$32,6,FALSE)&gt;=VLOOKUP(VLOOKUP(AD$1, test!$A$3:$G$32,3,FALSE), test!$J$11:$K$14, 2, FALSE)/1440,VLOOKUP($A3,test!$A$3:$F$32,4,FALSE)=VLOOKUP(AD$1,test!$A$3:$F$32,3,FALSE)),1,0)</f>
        <v>0</v>
      </c>
      <c r="AE3" s="2">
        <f>IF(AND(VLOOKUP(AE$1,test!$A$3:$G$32,5,FALSE)-VLOOKUP($A3,test!$A$3:$G$32,6,FALSE)&gt;=VLOOKUP(VLOOKUP(AE$1, test!$A$3:$G$32,3,FALSE), test!$J$11:$K$14, 2, FALSE)/1440,VLOOKUP($A3,test!$A$3:$F$32,4,FALSE)=VLOOKUP(AE$1,test!$A$3:$F$32,3,FALSE)),1,0)</f>
        <v>0</v>
      </c>
      <c r="AF3" s="2">
        <f>IF(AND(VLOOKUP(AF$1,test!$A$3:$G$32,5,FALSE)-VLOOKUP($A3,test!$A$3:$G$32,6,FALSE)&gt;=VLOOKUP(VLOOKUP(AF$1, test!$A$3:$G$32,3,FALSE), test!$J$11:$K$14, 2, FALSE)/1440,VLOOKUP($A3,test!$A$3:$F$32,4,FALSE)=VLOOKUP(AF$1,test!$A$3:$F$32,3,FALSE)),1,0)</f>
        <v>0</v>
      </c>
    </row>
    <row r="4" spans="1:32" x14ac:dyDescent="0.25">
      <c r="A4" t="s">
        <v>9</v>
      </c>
      <c r="B4" s="3">
        <v>1</v>
      </c>
      <c r="C4" s="2">
        <f>IF(AND(VLOOKUP(C$1,test!$A$3:$G$32,5,FALSE)-VLOOKUP($A4,test!$A$3:$G$32,6,FALSE)&gt;=VLOOKUP(VLOOKUP(C$1, test!$A$3:$G$32,3,FALSE), test!$J$11:$K$14, 2, FALSE)/1440,VLOOKUP($A4,test!$A$3:$F$32,4,FALSE)=VLOOKUP(C$1,test!$A$3:$F$32,3,FALSE)),1,0)</f>
        <v>0</v>
      </c>
      <c r="D4" s="2">
        <f>IF(AND(VLOOKUP(D$1,test!$A$3:$G$32,5,FALSE)-VLOOKUP($A4,test!$A$3:$G$32,6,FALSE)&gt;=VLOOKUP(VLOOKUP(D$1, test!$A$3:$G$32,3,FALSE), test!$J$11:$K$14, 2, FALSE)/1440,VLOOKUP($A4,test!$A$3:$F$32,4,FALSE)=VLOOKUP(D$1,test!$A$3:$F$32,3,FALSE)),1,0)</f>
        <v>0</v>
      </c>
      <c r="E4" s="2">
        <f>IF(AND(VLOOKUP(E$1,test!$A$3:$G$32,5,FALSE)-VLOOKUP($A4,test!$A$3:$G$32,6,FALSE)&gt;=VLOOKUP(VLOOKUP(E$1, test!$A$3:$G$32,3,FALSE), test!$J$11:$K$14, 2, FALSE)/1440,VLOOKUP($A4,test!$A$3:$F$32,4,FALSE)=VLOOKUP(E$1,test!$A$3:$F$32,3,FALSE)),1,0)</f>
        <v>0</v>
      </c>
      <c r="F4" s="2">
        <f>IF(AND(VLOOKUP(F$1,test!$A$3:$G$32,5,FALSE)-VLOOKUP($A4,test!$A$3:$G$32,6,FALSE)&gt;=VLOOKUP(VLOOKUP(F$1, test!$A$3:$G$32,3,FALSE), test!$J$11:$K$14, 2, FALSE)/1440,VLOOKUP($A4,test!$A$3:$F$32,4,FALSE)=VLOOKUP(F$1,test!$A$3:$F$32,3,FALSE)),1,0)</f>
        <v>0</v>
      </c>
      <c r="G4" s="2">
        <f>IF(AND(VLOOKUP(G$1,test!$A$3:$G$32,5,FALSE)-VLOOKUP($A4,test!$A$3:$G$32,6,FALSE)&gt;=VLOOKUP(VLOOKUP(G$1, test!$A$3:$G$32,3,FALSE), test!$J$11:$K$14, 2, FALSE)/1440,VLOOKUP($A4,test!$A$3:$F$32,4,FALSE)=VLOOKUP(G$1,test!$A$3:$F$32,3,FALSE)),1,0)</f>
        <v>0</v>
      </c>
      <c r="H4" s="2">
        <f>IF(AND(VLOOKUP(H$1,test!$A$3:$G$32,5,FALSE)-VLOOKUP($A4,test!$A$3:$G$32,6,FALSE)&gt;=VLOOKUP(VLOOKUP(H$1, test!$A$3:$G$32,3,FALSE), test!$J$11:$K$14, 2, FALSE)/1440,VLOOKUP($A4,test!$A$3:$F$32,4,FALSE)=VLOOKUP(H$1,test!$A$3:$F$32,3,FALSE)),1,0)</f>
        <v>0</v>
      </c>
      <c r="I4" s="2">
        <f>IF(AND(VLOOKUP(I$1,test!$A$3:$G$32,5,FALSE)-VLOOKUP($A4,test!$A$3:$G$32,6,FALSE)&gt;=VLOOKUP(VLOOKUP(I$1, test!$A$3:$G$32,3,FALSE), test!$J$11:$K$14, 2, FALSE)/1440,VLOOKUP($A4,test!$A$3:$F$32,4,FALSE)=VLOOKUP(I$1,test!$A$3:$F$32,3,FALSE)),1,0)</f>
        <v>0</v>
      </c>
      <c r="J4" s="2">
        <f>IF(AND(VLOOKUP(J$1,test!$A$3:$G$32,5,FALSE)-VLOOKUP($A4,test!$A$3:$G$32,6,FALSE)&gt;=VLOOKUP(VLOOKUP(J$1, test!$A$3:$G$32,3,FALSE), test!$J$11:$K$14, 2, FALSE)/1440,VLOOKUP($A4,test!$A$3:$F$32,4,FALSE)=VLOOKUP(J$1,test!$A$3:$F$32,3,FALSE)),1,0)</f>
        <v>0</v>
      </c>
      <c r="K4" s="2">
        <f>IF(AND(VLOOKUP(K$1,test!$A$3:$G$32,5,FALSE)-VLOOKUP($A4,test!$A$3:$G$32,6,FALSE)&gt;=VLOOKUP(VLOOKUP(K$1, test!$A$3:$G$32,3,FALSE), test!$J$11:$K$14, 2, FALSE)/1440,VLOOKUP($A4,test!$A$3:$F$32,4,FALSE)=VLOOKUP(K$1,test!$A$3:$F$32,3,FALSE)),1,0)</f>
        <v>0</v>
      </c>
      <c r="L4" s="2">
        <f>IF(AND(VLOOKUP(L$1,test!$A$3:$G$32,5,FALSE)-VLOOKUP($A4,test!$A$3:$G$32,6,FALSE)&gt;=VLOOKUP(VLOOKUP(L$1, test!$A$3:$G$32,3,FALSE), test!$J$11:$K$14, 2, FALSE)/1440,VLOOKUP($A4,test!$A$3:$F$32,4,FALSE)=VLOOKUP(L$1,test!$A$3:$F$32,3,FALSE)),1,0)</f>
        <v>0</v>
      </c>
      <c r="M4" s="2">
        <f>IF(AND(VLOOKUP(M$1,test!$A$3:$G$32,5,FALSE)-VLOOKUP($A4,test!$A$3:$G$32,6,FALSE)&gt;=VLOOKUP(VLOOKUP(M$1, test!$A$3:$G$32,3,FALSE), test!$J$11:$K$14, 2, FALSE)/1440,VLOOKUP($A4,test!$A$3:$F$32,4,FALSE)=VLOOKUP(M$1,test!$A$3:$F$32,3,FALSE)),1,0)</f>
        <v>0</v>
      </c>
      <c r="N4" s="2">
        <f>IF(AND(VLOOKUP(N$1,test!$A$3:$G$32,5,FALSE)-VLOOKUP($A4,test!$A$3:$G$32,6,FALSE)&gt;=VLOOKUP(VLOOKUP(N$1, test!$A$3:$G$32,3,FALSE), test!$J$11:$K$14, 2, FALSE)/1440,VLOOKUP($A4,test!$A$3:$F$32,4,FALSE)=VLOOKUP(N$1,test!$A$3:$F$32,3,FALSE)),1,0)</f>
        <v>0</v>
      </c>
      <c r="O4" s="2">
        <f>IF(AND(VLOOKUP(O$1,test!$A$3:$G$32,5,FALSE)-VLOOKUP($A4,test!$A$3:$G$32,6,FALSE)&gt;=VLOOKUP(VLOOKUP(O$1, test!$A$3:$G$32,3,FALSE), test!$J$11:$K$14, 2, FALSE)/1440,VLOOKUP($A4,test!$A$3:$F$32,4,FALSE)=VLOOKUP(O$1,test!$A$3:$F$32,3,FALSE)),1,0)</f>
        <v>0</v>
      </c>
      <c r="P4" s="2">
        <f>IF(AND(VLOOKUP(P$1,test!$A$3:$G$32,5,FALSE)-VLOOKUP($A4,test!$A$3:$G$32,6,FALSE)&gt;=VLOOKUP(VLOOKUP(P$1, test!$A$3:$G$32,3,FALSE), test!$J$11:$K$14, 2, FALSE)/1440,VLOOKUP($A4,test!$A$3:$F$32,4,FALSE)=VLOOKUP(P$1,test!$A$3:$F$32,3,FALSE)),1,0)</f>
        <v>0</v>
      </c>
      <c r="Q4" s="2">
        <f>IF(AND(VLOOKUP(Q$1,test!$A$3:$G$32,5,FALSE)-VLOOKUP($A4,test!$A$3:$G$32,6,FALSE)&gt;=VLOOKUP(VLOOKUP(Q$1, test!$A$3:$G$32,3,FALSE), test!$J$11:$K$14, 2, FALSE)/1440,VLOOKUP($A4,test!$A$3:$F$32,4,FALSE)=VLOOKUP(Q$1,test!$A$3:$F$32,3,FALSE)),1,0)</f>
        <v>0</v>
      </c>
      <c r="R4" s="2">
        <f>IF(AND(VLOOKUP(R$1,test!$A$3:$G$32,5,FALSE)-VLOOKUP($A4,test!$A$3:$G$32,6,FALSE)&gt;=VLOOKUP(VLOOKUP(R$1, test!$A$3:$G$32,3,FALSE), test!$J$11:$K$14, 2, FALSE)/1440,VLOOKUP($A4,test!$A$3:$F$32,4,FALSE)=VLOOKUP(R$1,test!$A$3:$F$32,3,FALSE)),1,0)</f>
        <v>0</v>
      </c>
      <c r="S4" s="2">
        <f>IF(AND(VLOOKUP(S$1,test!$A$3:$G$32,5,FALSE)-VLOOKUP($A4,test!$A$3:$G$32,6,FALSE)&gt;=VLOOKUP(VLOOKUP(S$1, test!$A$3:$G$32,3,FALSE), test!$J$11:$K$14, 2, FALSE)/1440,VLOOKUP($A4,test!$A$3:$F$32,4,FALSE)=VLOOKUP(S$1,test!$A$3:$F$32,3,FALSE)),1,0)</f>
        <v>0</v>
      </c>
      <c r="T4" s="2">
        <f>IF(AND(VLOOKUP(T$1,test!$A$3:$G$32,5,FALSE)-VLOOKUP($A4,test!$A$3:$G$32,6,FALSE)&gt;=VLOOKUP(VLOOKUP(T$1, test!$A$3:$G$32,3,FALSE), test!$J$11:$K$14, 2, FALSE)/1440,VLOOKUP($A4,test!$A$3:$F$32,4,FALSE)=VLOOKUP(T$1,test!$A$3:$F$32,3,FALSE)),1,0)</f>
        <v>0</v>
      </c>
      <c r="U4" s="2">
        <f>IF(AND(VLOOKUP(U$1,test!$A$3:$G$32,5,FALSE)-VLOOKUP($A4,test!$A$3:$G$32,6,FALSE)&gt;=VLOOKUP(VLOOKUP(U$1, test!$A$3:$G$32,3,FALSE), test!$J$11:$K$14, 2, FALSE)/1440,VLOOKUP($A4,test!$A$3:$F$32,4,FALSE)=VLOOKUP(U$1,test!$A$3:$F$32,3,FALSE)),1,0)</f>
        <v>1</v>
      </c>
      <c r="V4" s="2">
        <f>IF(AND(VLOOKUP(V$1,test!$A$3:$G$32,5,FALSE)-VLOOKUP($A4,test!$A$3:$G$32,6,FALSE)&gt;=VLOOKUP(VLOOKUP(V$1, test!$A$3:$G$32,3,FALSE), test!$J$11:$K$14, 2, FALSE)/1440,VLOOKUP($A4,test!$A$3:$F$32,4,FALSE)=VLOOKUP(V$1,test!$A$3:$F$32,3,FALSE)),1,0)</f>
        <v>1</v>
      </c>
      <c r="W4" s="2">
        <f>IF(AND(VLOOKUP(W$1,test!$A$3:$G$32,5,FALSE)-VLOOKUP($A4,test!$A$3:$G$32,6,FALSE)&gt;=VLOOKUP(VLOOKUP(W$1, test!$A$3:$G$32,3,FALSE), test!$J$11:$K$14, 2, FALSE)/1440,VLOOKUP($A4,test!$A$3:$F$32,4,FALSE)=VLOOKUP(W$1,test!$A$3:$F$32,3,FALSE)),1,0)</f>
        <v>1</v>
      </c>
      <c r="X4" s="2">
        <f>IF(AND(VLOOKUP(X$1,test!$A$3:$G$32,5,FALSE)-VLOOKUP($A4,test!$A$3:$G$32,6,FALSE)&gt;=VLOOKUP(VLOOKUP(X$1, test!$A$3:$G$32,3,FALSE), test!$J$11:$K$14, 2, FALSE)/1440,VLOOKUP($A4,test!$A$3:$F$32,4,FALSE)=VLOOKUP(X$1,test!$A$3:$F$32,3,FALSE)),1,0)</f>
        <v>1</v>
      </c>
      <c r="Y4" s="2">
        <f>IF(AND(VLOOKUP(Y$1,test!$A$3:$G$32,5,FALSE)-VLOOKUP($A4,test!$A$3:$G$32,6,FALSE)&gt;=VLOOKUP(VLOOKUP(Y$1, test!$A$3:$G$32,3,FALSE), test!$J$11:$K$14, 2, FALSE)/1440,VLOOKUP($A4,test!$A$3:$F$32,4,FALSE)=VLOOKUP(Y$1,test!$A$3:$F$32,3,FALSE)),1,0)</f>
        <v>0</v>
      </c>
      <c r="Z4" s="2">
        <f>IF(AND(VLOOKUP(Z$1,test!$A$3:$G$32,5,FALSE)-VLOOKUP($A4,test!$A$3:$G$32,6,FALSE)&gt;=VLOOKUP(VLOOKUP(Z$1, test!$A$3:$G$32,3,FALSE), test!$J$11:$K$14, 2, FALSE)/1440,VLOOKUP($A4,test!$A$3:$F$32,4,FALSE)=VLOOKUP(Z$1,test!$A$3:$F$32,3,FALSE)),1,0)</f>
        <v>0</v>
      </c>
      <c r="AA4" s="2">
        <f>IF(AND(VLOOKUP(AA$1,test!$A$3:$G$32,5,FALSE)-VLOOKUP($A4,test!$A$3:$G$32,6,FALSE)&gt;=VLOOKUP(VLOOKUP(AA$1, test!$A$3:$G$32,3,FALSE), test!$J$11:$K$14, 2, FALSE)/1440,VLOOKUP($A4,test!$A$3:$F$32,4,FALSE)=VLOOKUP(AA$1,test!$A$3:$F$32,3,FALSE)),1,0)</f>
        <v>0</v>
      </c>
      <c r="AB4" s="2">
        <f>IF(AND(VLOOKUP(AB$1,test!$A$3:$G$32,5,FALSE)-VLOOKUP($A4,test!$A$3:$G$32,6,FALSE)&gt;=VLOOKUP(VLOOKUP(AB$1, test!$A$3:$G$32,3,FALSE), test!$J$11:$K$14, 2, FALSE)/1440,VLOOKUP($A4,test!$A$3:$F$32,4,FALSE)=VLOOKUP(AB$1,test!$A$3:$F$32,3,FALSE)),1,0)</f>
        <v>0</v>
      </c>
      <c r="AC4" s="2">
        <f>IF(AND(VLOOKUP(AC$1,test!$A$3:$G$32,5,FALSE)-VLOOKUP($A4,test!$A$3:$G$32,6,FALSE)&gt;=VLOOKUP(VLOOKUP(AC$1, test!$A$3:$G$32,3,FALSE), test!$J$11:$K$14, 2, FALSE)/1440,VLOOKUP($A4,test!$A$3:$F$32,4,FALSE)=VLOOKUP(AC$1,test!$A$3:$F$32,3,FALSE)),1,0)</f>
        <v>0</v>
      </c>
      <c r="AD4" s="2">
        <f>IF(AND(VLOOKUP(AD$1,test!$A$3:$G$32,5,FALSE)-VLOOKUP($A4,test!$A$3:$G$32,6,FALSE)&gt;=VLOOKUP(VLOOKUP(AD$1, test!$A$3:$G$32,3,FALSE), test!$J$11:$K$14, 2, FALSE)/1440,VLOOKUP($A4,test!$A$3:$F$32,4,FALSE)=VLOOKUP(AD$1,test!$A$3:$F$32,3,FALSE)),1,0)</f>
        <v>0</v>
      </c>
      <c r="AE4" s="2">
        <f>IF(AND(VLOOKUP(AE$1,test!$A$3:$G$32,5,FALSE)-VLOOKUP($A4,test!$A$3:$G$32,6,FALSE)&gt;=VLOOKUP(VLOOKUP(AE$1, test!$A$3:$G$32,3,FALSE), test!$J$11:$K$14, 2, FALSE)/1440,VLOOKUP($A4,test!$A$3:$F$32,4,FALSE)=VLOOKUP(AE$1,test!$A$3:$F$32,3,FALSE)),1,0)</f>
        <v>0</v>
      </c>
      <c r="AF4" s="2">
        <f>IF(AND(VLOOKUP(AF$1,test!$A$3:$G$32,5,FALSE)-VLOOKUP($A4,test!$A$3:$G$32,6,FALSE)&gt;=VLOOKUP(VLOOKUP(AF$1, test!$A$3:$G$32,3,FALSE), test!$J$11:$K$14, 2, FALSE)/1440,VLOOKUP($A4,test!$A$3:$F$32,4,FALSE)=VLOOKUP(AF$1,test!$A$3:$F$32,3,FALSE)),1,0)</f>
        <v>0</v>
      </c>
    </row>
    <row r="5" spans="1:32" x14ac:dyDescent="0.25">
      <c r="A5" t="s">
        <v>10</v>
      </c>
      <c r="B5" s="3">
        <v>1</v>
      </c>
      <c r="C5" s="2">
        <f>IF(AND(VLOOKUP(C$1,test!$A$3:$G$32,5,FALSE)-VLOOKUP($A5,test!$A$3:$G$32,6,FALSE)&gt;=VLOOKUP(VLOOKUP(C$1, test!$A$3:$G$32,3,FALSE), test!$J$11:$K$14, 2, FALSE)/1440,VLOOKUP($A5,test!$A$3:$F$32,4,FALSE)=VLOOKUP(C$1,test!$A$3:$F$32,3,FALSE)),1,0)</f>
        <v>0</v>
      </c>
      <c r="D5" s="2">
        <f>IF(AND(VLOOKUP(D$1,test!$A$3:$G$32,5,FALSE)-VLOOKUP($A5,test!$A$3:$G$32,6,FALSE)&gt;=VLOOKUP(VLOOKUP(D$1, test!$A$3:$G$32,3,FALSE), test!$J$11:$K$14, 2, FALSE)/1440,VLOOKUP($A5,test!$A$3:$F$32,4,FALSE)=VLOOKUP(D$1,test!$A$3:$F$32,3,FALSE)),1,0)</f>
        <v>0</v>
      </c>
      <c r="E5" s="2">
        <f>IF(AND(VLOOKUP(E$1,test!$A$3:$G$32,5,FALSE)-VLOOKUP($A5,test!$A$3:$G$32,6,FALSE)&gt;=VLOOKUP(VLOOKUP(E$1, test!$A$3:$G$32,3,FALSE), test!$J$11:$K$14, 2, FALSE)/1440,VLOOKUP($A5,test!$A$3:$F$32,4,FALSE)=VLOOKUP(E$1,test!$A$3:$F$32,3,FALSE)),1,0)</f>
        <v>0</v>
      </c>
      <c r="F5" s="2">
        <f>IF(AND(VLOOKUP(F$1,test!$A$3:$G$32,5,FALSE)-VLOOKUP($A5,test!$A$3:$G$32,6,FALSE)&gt;=VLOOKUP(VLOOKUP(F$1, test!$A$3:$G$32,3,FALSE), test!$J$11:$K$14, 2, FALSE)/1440,VLOOKUP($A5,test!$A$3:$F$32,4,FALSE)=VLOOKUP(F$1,test!$A$3:$F$32,3,FALSE)),1,0)</f>
        <v>0</v>
      </c>
      <c r="G5" s="2">
        <f>IF(AND(VLOOKUP(G$1,test!$A$3:$G$32,5,FALSE)-VLOOKUP($A5,test!$A$3:$G$32,6,FALSE)&gt;=VLOOKUP(VLOOKUP(G$1, test!$A$3:$G$32,3,FALSE), test!$J$11:$K$14, 2, FALSE)/1440,VLOOKUP($A5,test!$A$3:$F$32,4,FALSE)=VLOOKUP(G$1,test!$A$3:$F$32,3,FALSE)),1,0)</f>
        <v>0</v>
      </c>
      <c r="H5" s="2">
        <f>IF(AND(VLOOKUP(H$1,test!$A$3:$G$32,5,FALSE)-VLOOKUP($A5,test!$A$3:$G$32,6,FALSE)&gt;=VLOOKUP(VLOOKUP(H$1, test!$A$3:$G$32,3,FALSE), test!$J$11:$K$14, 2, FALSE)/1440,VLOOKUP($A5,test!$A$3:$F$32,4,FALSE)=VLOOKUP(H$1,test!$A$3:$F$32,3,FALSE)),1,0)</f>
        <v>0</v>
      </c>
      <c r="I5" s="2">
        <f>IF(AND(VLOOKUP(I$1,test!$A$3:$G$32,5,FALSE)-VLOOKUP($A5,test!$A$3:$G$32,6,FALSE)&gt;=VLOOKUP(VLOOKUP(I$1, test!$A$3:$G$32,3,FALSE), test!$J$11:$K$14, 2, FALSE)/1440,VLOOKUP($A5,test!$A$3:$F$32,4,FALSE)=VLOOKUP(I$1,test!$A$3:$F$32,3,FALSE)),1,0)</f>
        <v>0</v>
      </c>
      <c r="J5" s="2">
        <f>IF(AND(VLOOKUP(J$1,test!$A$3:$G$32,5,FALSE)-VLOOKUP($A5,test!$A$3:$G$32,6,FALSE)&gt;=VLOOKUP(VLOOKUP(J$1, test!$A$3:$G$32,3,FALSE), test!$J$11:$K$14, 2, FALSE)/1440,VLOOKUP($A5,test!$A$3:$F$32,4,FALSE)=VLOOKUP(J$1,test!$A$3:$F$32,3,FALSE)),1,0)</f>
        <v>0</v>
      </c>
      <c r="K5" s="2">
        <f>IF(AND(VLOOKUP(K$1,test!$A$3:$G$32,5,FALSE)-VLOOKUP($A5,test!$A$3:$G$32,6,FALSE)&gt;=VLOOKUP(VLOOKUP(K$1, test!$A$3:$G$32,3,FALSE), test!$J$11:$K$14, 2, FALSE)/1440,VLOOKUP($A5,test!$A$3:$F$32,4,FALSE)=VLOOKUP(K$1,test!$A$3:$F$32,3,FALSE)),1,0)</f>
        <v>0</v>
      </c>
      <c r="L5" s="2">
        <f>IF(AND(VLOOKUP(L$1,test!$A$3:$G$32,5,FALSE)-VLOOKUP($A5,test!$A$3:$G$32,6,FALSE)&gt;=VLOOKUP(VLOOKUP(L$1, test!$A$3:$G$32,3,FALSE), test!$J$11:$K$14, 2, FALSE)/1440,VLOOKUP($A5,test!$A$3:$F$32,4,FALSE)=VLOOKUP(L$1,test!$A$3:$F$32,3,FALSE)),1,0)</f>
        <v>0</v>
      </c>
      <c r="M5" s="2">
        <f>IF(AND(VLOOKUP(M$1,test!$A$3:$G$32,5,FALSE)-VLOOKUP($A5,test!$A$3:$G$32,6,FALSE)&gt;=VLOOKUP(VLOOKUP(M$1, test!$A$3:$G$32,3,FALSE), test!$J$11:$K$14, 2, FALSE)/1440,VLOOKUP($A5,test!$A$3:$F$32,4,FALSE)=VLOOKUP(M$1,test!$A$3:$F$32,3,FALSE)),1,0)</f>
        <v>0</v>
      </c>
      <c r="N5" s="2">
        <f>IF(AND(VLOOKUP(N$1,test!$A$3:$G$32,5,FALSE)-VLOOKUP($A5,test!$A$3:$G$32,6,FALSE)&gt;=VLOOKUP(VLOOKUP(N$1, test!$A$3:$G$32,3,FALSE), test!$J$11:$K$14, 2, FALSE)/1440,VLOOKUP($A5,test!$A$3:$F$32,4,FALSE)=VLOOKUP(N$1,test!$A$3:$F$32,3,FALSE)),1,0)</f>
        <v>0</v>
      </c>
      <c r="O5" s="2">
        <f>IF(AND(VLOOKUP(O$1,test!$A$3:$G$32,5,FALSE)-VLOOKUP($A5,test!$A$3:$G$32,6,FALSE)&gt;=VLOOKUP(VLOOKUP(O$1, test!$A$3:$G$32,3,FALSE), test!$J$11:$K$14, 2, FALSE)/1440,VLOOKUP($A5,test!$A$3:$F$32,4,FALSE)=VLOOKUP(O$1,test!$A$3:$F$32,3,FALSE)),1,0)</f>
        <v>0</v>
      </c>
      <c r="P5" s="2">
        <f>IF(AND(VLOOKUP(P$1,test!$A$3:$G$32,5,FALSE)-VLOOKUP($A5,test!$A$3:$G$32,6,FALSE)&gt;=VLOOKUP(VLOOKUP(P$1, test!$A$3:$G$32,3,FALSE), test!$J$11:$K$14, 2, FALSE)/1440,VLOOKUP($A5,test!$A$3:$F$32,4,FALSE)=VLOOKUP(P$1,test!$A$3:$F$32,3,FALSE)),1,0)</f>
        <v>0</v>
      </c>
      <c r="Q5" s="2">
        <f>IF(AND(VLOOKUP(Q$1,test!$A$3:$G$32,5,FALSE)-VLOOKUP($A5,test!$A$3:$G$32,6,FALSE)&gt;=VLOOKUP(VLOOKUP(Q$1, test!$A$3:$G$32,3,FALSE), test!$J$11:$K$14, 2, FALSE)/1440,VLOOKUP($A5,test!$A$3:$F$32,4,FALSE)=VLOOKUP(Q$1,test!$A$3:$F$32,3,FALSE)),1,0)</f>
        <v>0</v>
      </c>
      <c r="R5" s="2">
        <f>IF(AND(VLOOKUP(R$1,test!$A$3:$G$32,5,FALSE)-VLOOKUP($A5,test!$A$3:$G$32,6,FALSE)&gt;=VLOOKUP(VLOOKUP(R$1, test!$A$3:$G$32,3,FALSE), test!$J$11:$K$14, 2, FALSE)/1440,VLOOKUP($A5,test!$A$3:$F$32,4,FALSE)=VLOOKUP(R$1,test!$A$3:$F$32,3,FALSE)),1,0)</f>
        <v>0</v>
      </c>
      <c r="S5" s="2">
        <f>IF(AND(VLOOKUP(S$1,test!$A$3:$G$32,5,FALSE)-VLOOKUP($A5,test!$A$3:$G$32,6,FALSE)&gt;=VLOOKUP(VLOOKUP(S$1, test!$A$3:$G$32,3,FALSE), test!$J$11:$K$14, 2, FALSE)/1440,VLOOKUP($A5,test!$A$3:$F$32,4,FALSE)=VLOOKUP(S$1,test!$A$3:$F$32,3,FALSE)),1,0)</f>
        <v>0</v>
      </c>
      <c r="T5" s="2">
        <f>IF(AND(VLOOKUP(T$1,test!$A$3:$G$32,5,FALSE)-VLOOKUP($A5,test!$A$3:$G$32,6,FALSE)&gt;=VLOOKUP(VLOOKUP(T$1, test!$A$3:$G$32,3,FALSE), test!$J$11:$K$14, 2, FALSE)/1440,VLOOKUP($A5,test!$A$3:$F$32,4,FALSE)=VLOOKUP(T$1,test!$A$3:$F$32,3,FALSE)),1,0)</f>
        <v>0</v>
      </c>
      <c r="U5" s="2">
        <f>IF(AND(VLOOKUP(U$1,test!$A$3:$G$32,5,FALSE)-VLOOKUP($A5,test!$A$3:$G$32,6,FALSE)&gt;=VLOOKUP(VLOOKUP(U$1, test!$A$3:$G$32,3,FALSE), test!$J$11:$K$14, 2, FALSE)/1440,VLOOKUP($A5,test!$A$3:$F$32,4,FALSE)=VLOOKUP(U$1,test!$A$3:$F$32,3,FALSE)),1,0)</f>
        <v>0</v>
      </c>
      <c r="V5" s="2">
        <f>IF(AND(VLOOKUP(V$1,test!$A$3:$G$32,5,FALSE)-VLOOKUP($A5,test!$A$3:$G$32,6,FALSE)&gt;=VLOOKUP(VLOOKUP(V$1, test!$A$3:$G$32,3,FALSE), test!$J$11:$K$14, 2, FALSE)/1440,VLOOKUP($A5,test!$A$3:$F$32,4,FALSE)=VLOOKUP(V$1,test!$A$3:$F$32,3,FALSE)),1,0)</f>
        <v>1</v>
      </c>
      <c r="W5" s="2">
        <f>IF(AND(VLOOKUP(W$1,test!$A$3:$G$32,5,FALSE)-VLOOKUP($A5,test!$A$3:$G$32,6,FALSE)&gt;=VLOOKUP(VLOOKUP(W$1, test!$A$3:$G$32,3,FALSE), test!$J$11:$K$14, 2, FALSE)/1440,VLOOKUP($A5,test!$A$3:$F$32,4,FALSE)=VLOOKUP(W$1,test!$A$3:$F$32,3,FALSE)),1,0)</f>
        <v>1</v>
      </c>
      <c r="X5" s="2">
        <f>IF(AND(VLOOKUP(X$1,test!$A$3:$G$32,5,FALSE)-VLOOKUP($A5,test!$A$3:$G$32,6,FALSE)&gt;=VLOOKUP(VLOOKUP(X$1, test!$A$3:$G$32,3,FALSE), test!$J$11:$K$14, 2, FALSE)/1440,VLOOKUP($A5,test!$A$3:$F$32,4,FALSE)=VLOOKUP(X$1,test!$A$3:$F$32,3,FALSE)),1,0)</f>
        <v>1</v>
      </c>
      <c r="Y5" s="2">
        <f>IF(AND(VLOOKUP(Y$1,test!$A$3:$G$32,5,FALSE)-VLOOKUP($A5,test!$A$3:$G$32,6,FALSE)&gt;=VLOOKUP(VLOOKUP(Y$1, test!$A$3:$G$32,3,FALSE), test!$J$11:$K$14, 2, FALSE)/1440,VLOOKUP($A5,test!$A$3:$F$32,4,FALSE)=VLOOKUP(Y$1,test!$A$3:$F$32,3,FALSE)),1,0)</f>
        <v>0</v>
      </c>
      <c r="Z5" s="2">
        <f>IF(AND(VLOOKUP(Z$1,test!$A$3:$G$32,5,FALSE)-VLOOKUP($A5,test!$A$3:$G$32,6,FALSE)&gt;=VLOOKUP(VLOOKUP(Z$1, test!$A$3:$G$32,3,FALSE), test!$J$11:$K$14, 2, FALSE)/1440,VLOOKUP($A5,test!$A$3:$F$32,4,FALSE)=VLOOKUP(Z$1,test!$A$3:$F$32,3,FALSE)),1,0)</f>
        <v>0</v>
      </c>
      <c r="AA5" s="2">
        <f>IF(AND(VLOOKUP(AA$1,test!$A$3:$G$32,5,FALSE)-VLOOKUP($A5,test!$A$3:$G$32,6,FALSE)&gt;=VLOOKUP(VLOOKUP(AA$1, test!$A$3:$G$32,3,FALSE), test!$J$11:$K$14, 2, FALSE)/1440,VLOOKUP($A5,test!$A$3:$F$32,4,FALSE)=VLOOKUP(AA$1,test!$A$3:$F$32,3,FALSE)),1,0)</f>
        <v>0</v>
      </c>
      <c r="AB5" s="2">
        <f>IF(AND(VLOOKUP(AB$1,test!$A$3:$G$32,5,FALSE)-VLOOKUP($A5,test!$A$3:$G$32,6,FALSE)&gt;=VLOOKUP(VLOOKUP(AB$1, test!$A$3:$G$32,3,FALSE), test!$J$11:$K$14, 2, FALSE)/1440,VLOOKUP($A5,test!$A$3:$F$32,4,FALSE)=VLOOKUP(AB$1,test!$A$3:$F$32,3,FALSE)),1,0)</f>
        <v>0</v>
      </c>
      <c r="AC5" s="2">
        <f>IF(AND(VLOOKUP(AC$1,test!$A$3:$G$32,5,FALSE)-VLOOKUP($A5,test!$A$3:$G$32,6,FALSE)&gt;=VLOOKUP(VLOOKUP(AC$1, test!$A$3:$G$32,3,FALSE), test!$J$11:$K$14, 2, FALSE)/1440,VLOOKUP($A5,test!$A$3:$F$32,4,FALSE)=VLOOKUP(AC$1,test!$A$3:$F$32,3,FALSE)),1,0)</f>
        <v>0</v>
      </c>
      <c r="AD5" s="2">
        <f>IF(AND(VLOOKUP(AD$1,test!$A$3:$G$32,5,FALSE)-VLOOKUP($A5,test!$A$3:$G$32,6,FALSE)&gt;=VLOOKUP(VLOOKUP(AD$1, test!$A$3:$G$32,3,FALSE), test!$J$11:$K$14, 2, FALSE)/1440,VLOOKUP($A5,test!$A$3:$F$32,4,FALSE)=VLOOKUP(AD$1,test!$A$3:$F$32,3,FALSE)),1,0)</f>
        <v>0</v>
      </c>
      <c r="AE5" s="2">
        <f>IF(AND(VLOOKUP(AE$1,test!$A$3:$G$32,5,FALSE)-VLOOKUP($A5,test!$A$3:$G$32,6,FALSE)&gt;=VLOOKUP(VLOOKUP(AE$1, test!$A$3:$G$32,3,FALSE), test!$J$11:$K$14, 2, FALSE)/1440,VLOOKUP($A5,test!$A$3:$F$32,4,FALSE)=VLOOKUP(AE$1,test!$A$3:$F$32,3,FALSE)),1,0)</f>
        <v>0</v>
      </c>
      <c r="AF5" s="2">
        <f>IF(AND(VLOOKUP(AF$1,test!$A$3:$G$32,5,FALSE)-VLOOKUP($A5,test!$A$3:$G$32,6,FALSE)&gt;=VLOOKUP(VLOOKUP(AF$1, test!$A$3:$G$32,3,FALSE), test!$J$11:$K$14, 2, FALSE)/1440,VLOOKUP($A5,test!$A$3:$F$32,4,FALSE)=VLOOKUP(AF$1,test!$A$3:$F$32,3,FALSE)),1,0)</f>
        <v>0</v>
      </c>
    </row>
    <row r="6" spans="1:32" x14ac:dyDescent="0.25">
      <c r="A6" t="s">
        <v>11</v>
      </c>
      <c r="B6" s="3">
        <v>1</v>
      </c>
      <c r="C6" s="2">
        <f>IF(AND(VLOOKUP(C$1,test!$A$3:$G$32,5,FALSE)-VLOOKUP($A6,test!$A$3:$G$32,6,FALSE)&gt;=VLOOKUP(VLOOKUP(C$1, test!$A$3:$G$32,3,FALSE), test!$J$11:$K$14, 2, FALSE)/1440,VLOOKUP($A6,test!$A$3:$F$32,4,FALSE)=VLOOKUP(C$1,test!$A$3:$F$32,3,FALSE)),1,0)</f>
        <v>0</v>
      </c>
      <c r="D6" s="2">
        <f>IF(AND(VLOOKUP(D$1,test!$A$3:$G$32,5,FALSE)-VLOOKUP($A6,test!$A$3:$G$32,6,FALSE)&gt;=VLOOKUP(VLOOKUP(D$1, test!$A$3:$G$32,3,FALSE), test!$J$11:$K$14, 2, FALSE)/1440,VLOOKUP($A6,test!$A$3:$F$32,4,FALSE)=VLOOKUP(D$1,test!$A$3:$F$32,3,FALSE)),1,0)</f>
        <v>0</v>
      </c>
      <c r="E6" s="2">
        <f>IF(AND(VLOOKUP(E$1,test!$A$3:$G$32,5,FALSE)-VLOOKUP($A6,test!$A$3:$G$32,6,FALSE)&gt;=VLOOKUP(VLOOKUP(E$1, test!$A$3:$G$32,3,FALSE), test!$J$11:$K$14, 2, FALSE)/1440,VLOOKUP($A6,test!$A$3:$F$32,4,FALSE)=VLOOKUP(E$1,test!$A$3:$F$32,3,FALSE)),1,0)</f>
        <v>0</v>
      </c>
      <c r="F6" s="2">
        <f>IF(AND(VLOOKUP(F$1,test!$A$3:$G$32,5,FALSE)-VLOOKUP($A6,test!$A$3:$G$32,6,FALSE)&gt;=VLOOKUP(VLOOKUP(F$1, test!$A$3:$G$32,3,FALSE), test!$J$11:$K$14, 2, FALSE)/1440,VLOOKUP($A6,test!$A$3:$F$32,4,FALSE)=VLOOKUP(F$1,test!$A$3:$F$32,3,FALSE)),1,0)</f>
        <v>0</v>
      </c>
      <c r="G6" s="2">
        <f>IF(AND(VLOOKUP(G$1,test!$A$3:$G$32,5,FALSE)-VLOOKUP($A6,test!$A$3:$G$32,6,FALSE)&gt;=VLOOKUP(VLOOKUP(G$1, test!$A$3:$G$32,3,FALSE), test!$J$11:$K$14, 2, FALSE)/1440,VLOOKUP($A6,test!$A$3:$F$32,4,FALSE)=VLOOKUP(G$1,test!$A$3:$F$32,3,FALSE)),1,0)</f>
        <v>0</v>
      </c>
      <c r="H6" s="2">
        <f>IF(AND(VLOOKUP(H$1,test!$A$3:$G$32,5,FALSE)-VLOOKUP($A6,test!$A$3:$G$32,6,FALSE)&gt;=VLOOKUP(VLOOKUP(H$1, test!$A$3:$G$32,3,FALSE), test!$J$11:$K$14, 2, FALSE)/1440,VLOOKUP($A6,test!$A$3:$F$32,4,FALSE)=VLOOKUP(H$1,test!$A$3:$F$32,3,FALSE)),1,0)</f>
        <v>0</v>
      </c>
      <c r="I6" s="2">
        <f>IF(AND(VLOOKUP(I$1,test!$A$3:$G$32,5,FALSE)-VLOOKUP($A6,test!$A$3:$G$32,6,FALSE)&gt;=VLOOKUP(VLOOKUP(I$1, test!$A$3:$G$32,3,FALSE), test!$J$11:$K$14, 2, FALSE)/1440,VLOOKUP($A6,test!$A$3:$F$32,4,FALSE)=VLOOKUP(I$1,test!$A$3:$F$32,3,FALSE)),1,0)</f>
        <v>0</v>
      </c>
      <c r="J6" s="2">
        <f>IF(AND(VLOOKUP(J$1,test!$A$3:$G$32,5,FALSE)-VLOOKUP($A6,test!$A$3:$G$32,6,FALSE)&gt;=VLOOKUP(VLOOKUP(J$1, test!$A$3:$G$32,3,FALSE), test!$J$11:$K$14, 2, FALSE)/1440,VLOOKUP($A6,test!$A$3:$F$32,4,FALSE)=VLOOKUP(J$1,test!$A$3:$F$32,3,FALSE)),1,0)</f>
        <v>0</v>
      </c>
      <c r="K6" s="2">
        <f>IF(AND(VLOOKUP(K$1,test!$A$3:$G$32,5,FALSE)-VLOOKUP($A6,test!$A$3:$G$32,6,FALSE)&gt;=VLOOKUP(VLOOKUP(K$1, test!$A$3:$G$32,3,FALSE), test!$J$11:$K$14, 2, FALSE)/1440,VLOOKUP($A6,test!$A$3:$F$32,4,FALSE)=VLOOKUP(K$1,test!$A$3:$F$32,3,FALSE)),1,0)</f>
        <v>0</v>
      </c>
      <c r="L6" s="2">
        <f>IF(AND(VLOOKUP(L$1,test!$A$3:$G$32,5,FALSE)-VLOOKUP($A6,test!$A$3:$G$32,6,FALSE)&gt;=VLOOKUP(VLOOKUP(L$1, test!$A$3:$G$32,3,FALSE), test!$J$11:$K$14, 2, FALSE)/1440,VLOOKUP($A6,test!$A$3:$F$32,4,FALSE)=VLOOKUP(L$1,test!$A$3:$F$32,3,FALSE)),1,0)</f>
        <v>0</v>
      </c>
      <c r="M6" s="2">
        <f>IF(AND(VLOOKUP(M$1,test!$A$3:$G$32,5,FALSE)-VLOOKUP($A6,test!$A$3:$G$32,6,FALSE)&gt;=VLOOKUP(VLOOKUP(M$1, test!$A$3:$G$32,3,FALSE), test!$J$11:$K$14, 2, FALSE)/1440,VLOOKUP($A6,test!$A$3:$F$32,4,FALSE)=VLOOKUP(M$1,test!$A$3:$F$32,3,FALSE)),1,0)</f>
        <v>0</v>
      </c>
      <c r="N6" s="2">
        <f>IF(AND(VLOOKUP(N$1,test!$A$3:$G$32,5,FALSE)-VLOOKUP($A6,test!$A$3:$G$32,6,FALSE)&gt;=VLOOKUP(VLOOKUP(N$1, test!$A$3:$G$32,3,FALSE), test!$J$11:$K$14, 2, FALSE)/1440,VLOOKUP($A6,test!$A$3:$F$32,4,FALSE)=VLOOKUP(N$1,test!$A$3:$F$32,3,FALSE)),1,0)</f>
        <v>0</v>
      </c>
      <c r="O6" s="2">
        <f>IF(AND(VLOOKUP(O$1,test!$A$3:$G$32,5,FALSE)-VLOOKUP($A6,test!$A$3:$G$32,6,FALSE)&gt;=VLOOKUP(VLOOKUP(O$1, test!$A$3:$G$32,3,FALSE), test!$J$11:$K$14, 2, FALSE)/1440,VLOOKUP($A6,test!$A$3:$F$32,4,FALSE)=VLOOKUP(O$1,test!$A$3:$F$32,3,FALSE)),1,0)</f>
        <v>0</v>
      </c>
      <c r="P6" s="2">
        <f>IF(AND(VLOOKUP(P$1,test!$A$3:$G$32,5,FALSE)-VLOOKUP($A6,test!$A$3:$G$32,6,FALSE)&gt;=VLOOKUP(VLOOKUP(P$1, test!$A$3:$G$32,3,FALSE), test!$J$11:$K$14, 2, FALSE)/1440,VLOOKUP($A6,test!$A$3:$F$32,4,FALSE)=VLOOKUP(P$1,test!$A$3:$F$32,3,FALSE)),1,0)</f>
        <v>0</v>
      </c>
      <c r="Q6" s="2">
        <f>IF(AND(VLOOKUP(Q$1,test!$A$3:$G$32,5,FALSE)-VLOOKUP($A6,test!$A$3:$G$32,6,FALSE)&gt;=VLOOKUP(VLOOKUP(Q$1, test!$A$3:$G$32,3,FALSE), test!$J$11:$K$14, 2, FALSE)/1440,VLOOKUP($A6,test!$A$3:$F$32,4,FALSE)=VLOOKUP(Q$1,test!$A$3:$F$32,3,FALSE)),1,0)</f>
        <v>0</v>
      </c>
      <c r="R6" s="2">
        <f>IF(AND(VLOOKUP(R$1,test!$A$3:$G$32,5,FALSE)-VLOOKUP($A6,test!$A$3:$G$32,6,FALSE)&gt;=VLOOKUP(VLOOKUP(R$1, test!$A$3:$G$32,3,FALSE), test!$J$11:$K$14, 2, FALSE)/1440,VLOOKUP($A6,test!$A$3:$F$32,4,FALSE)=VLOOKUP(R$1,test!$A$3:$F$32,3,FALSE)),1,0)</f>
        <v>0</v>
      </c>
      <c r="S6" s="2">
        <f>IF(AND(VLOOKUP(S$1,test!$A$3:$G$32,5,FALSE)-VLOOKUP($A6,test!$A$3:$G$32,6,FALSE)&gt;=VLOOKUP(VLOOKUP(S$1, test!$A$3:$G$32,3,FALSE), test!$J$11:$K$14, 2, FALSE)/1440,VLOOKUP($A6,test!$A$3:$F$32,4,FALSE)=VLOOKUP(S$1,test!$A$3:$F$32,3,FALSE)),1,0)</f>
        <v>0</v>
      </c>
      <c r="T6" s="2">
        <f>IF(AND(VLOOKUP(T$1,test!$A$3:$G$32,5,FALSE)-VLOOKUP($A6,test!$A$3:$G$32,6,FALSE)&gt;=VLOOKUP(VLOOKUP(T$1, test!$A$3:$G$32,3,FALSE), test!$J$11:$K$14, 2, FALSE)/1440,VLOOKUP($A6,test!$A$3:$F$32,4,FALSE)=VLOOKUP(T$1,test!$A$3:$F$32,3,FALSE)),1,0)</f>
        <v>0</v>
      </c>
      <c r="U6" s="2">
        <f>IF(AND(VLOOKUP(U$1,test!$A$3:$G$32,5,FALSE)-VLOOKUP($A6,test!$A$3:$G$32,6,FALSE)&gt;=VLOOKUP(VLOOKUP(U$1, test!$A$3:$G$32,3,FALSE), test!$J$11:$K$14, 2, FALSE)/1440,VLOOKUP($A6,test!$A$3:$F$32,4,FALSE)=VLOOKUP(U$1,test!$A$3:$F$32,3,FALSE)),1,0)</f>
        <v>0</v>
      </c>
      <c r="V6" s="2">
        <f>IF(AND(VLOOKUP(V$1,test!$A$3:$G$32,5,FALSE)-VLOOKUP($A6,test!$A$3:$G$32,6,FALSE)&gt;=VLOOKUP(VLOOKUP(V$1, test!$A$3:$G$32,3,FALSE), test!$J$11:$K$14, 2, FALSE)/1440,VLOOKUP($A6,test!$A$3:$F$32,4,FALSE)=VLOOKUP(V$1,test!$A$3:$F$32,3,FALSE)),1,0)</f>
        <v>0</v>
      </c>
      <c r="W6" s="2">
        <f>IF(AND(VLOOKUP(W$1,test!$A$3:$G$32,5,FALSE)-VLOOKUP($A6,test!$A$3:$G$32,6,FALSE)&gt;=VLOOKUP(VLOOKUP(W$1, test!$A$3:$G$32,3,FALSE), test!$J$11:$K$14, 2, FALSE)/1440,VLOOKUP($A6,test!$A$3:$F$32,4,FALSE)=VLOOKUP(W$1,test!$A$3:$F$32,3,FALSE)),1,0)</f>
        <v>1</v>
      </c>
      <c r="X6" s="2">
        <f>IF(AND(VLOOKUP(X$1,test!$A$3:$G$32,5,FALSE)-VLOOKUP($A6,test!$A$3:$G$32,6,FALSE)&gt;=VLOOKUP(VLOOKUP(X$1, test!$A$3:$G$32,3,FALSE), test!$J$11:$K$14, 2, FALSE)/1440,VLOOKUP($A6,test!$A$3:$F$32,4,FALSE)=VLOOKUP(X$1,test!$A$3:$F$32,3,FALSE)),1,0)</f>
        <v>1</v>
      </c>
      <c r="Y6" s="2">
        <f>IF(AND(VLOOKUP(Y$1,test!$A$3:$G$32,5,FALSE)-VLOOKUP($A6,test!$A$3:$G$32,6,FALSE)&gt;=VLOOKUP(VLOOKUP(Y$1, test!$A$3:$G$32,3,FALSE), test!$J$11:$K$14, 2, FALSE)/1440,VLOOKUP($A6,test!$A$3:$F$32,4,FALSE)=VLOOKUP(Y$1,test!$A$3:$F$32,3,FALSE)),1,0)</f>
        <v>0</v>
      </c>
      <c r="Z6" s="2">
        <f>IF(AND(VLOOKUP(Z$1,test!$A$3:$G$32,5,FALSE)-VLOOKUP($A6,test!$A$3:$G$32,6,FALSE)&gt;=VLOOKUP(VLOOKUP(Z$1, test!$A$3:$G$32,3,FALSE), test!$J$11:$K$14, 2, FALSE)/1440,VLOOKUP($A6,test!$A$3:$F$32,4,FALSE)=VLOOKUP(Z$1,test!$A$3:$F$32,3,FALSE)),1,0)</f>
        <v>0</v>
      </c>
      <c r="AA6" s="2">
        <f>IF(AND(VLOOKUP(AA$1,test!$A$3:$G$32,5,FALSE)-VLOOKUP($A6,test!$A$3:$G$32,6,FALSE)&gt;=VLOOKUP(VLOOKUP(AA$1, test!$A$3:$G$32,3,FALSE), test!$J$11:$K$14, 2, FALSE)/1440,VLOOKUP($A6,test!$A$3:$F$32,4,FALSE)=VLOOKUP(AA$1,test!$A$3:$F$32,3,FALSE)),1,0)</f>
        <v>0</v>
      </c>
      <c r="AB6" s="2">
        <f>IF(AND(VLOOKUP(AB$1,test!$A$3:$G$32,5,FALSE)-VLOOKUP($A6,test!$A$3:$G$32,6,FALSE)&gt;=VLOOKUP(VLOOKUP(AB$1, test!$A$3:$G$32,3,FALSE), test!$J$11:$K$14, 2, FALSE)/1440,VLOOKUP($A6,test!$A$3:$F$32,4,FALSE)=VLOOKUP(AB$1,test!$A$3:$F$32,3,FALSE)),1,0)</f>
        <v>0</v>
      </c>
      <c r="AC6" s="2">
        <f>IF(AND(VLOOKUP(AC$1,test!$A$3:$G$32,5,FALSE)-VLOOKUP($A6,test!$A$3:$G$32,6,FALSE)&gt;=VLOOKUP(VLOOKUP(AC$1, test!$A$3:$G$32,3,FALSE), test!$J$11:$K$14, 2, FALSE)/1440,VLOOKUP($A6,test!$A$3:$F$32,4,FALSE)=VLOOKUP(AC$1,test!$A$3:$F$32,3,FALSE)),1,0)</f>
        <v>0</v>
      </c>
      <c r="AD6" s="2">
        <f>IF(AND(VLOOKUP(AD$1,test!$A$3:$G$32,5,FALSE)-VLOOKUP($A6,test!$A$3:$G$32,6,FALSE)&gt;=VLOOKUP(VLOOKUP(AD$1, test!$A$3:$G$32,3,FALSE), test!$J$11:$K$14, 2, FALSE)/1440,VLOOKUP($A6,test!$A$3:$F$32,4,FALSE)=VLOOKUP(AD$1,test!$A$3:$F$32,3,FALSE)),1,0)</f>
        <v>0</v>
      </c>
      <c r="AE6" s="2">
        <f>IF(AND(VLOOKUP(AE$1,test!$A$3:$G$32,5,FALSE)-VLOOKUP($A6,test!$A$3:$G$32,6,FALSE)&gt;=VLOOKUP(VLOOKUP(AE$1, test!$A$3:$G$32,3,FALSE), test!$J$11:$K$14, 2, FALSE)/1440,VLOOKUP($A6,test!$A$3:$F$32,4,FALSE)=VLOOKUP(AE$1,test!$A$3:$F$32,3,FALSE)),1,0)</f>
        <v>0</v>
      </c>
      <c r="AF6" s="2">
        <f>IF(AND(VLOOKUP(AF$1,test!$A$3:$G$32,5,FALSE)-VLOOKUP($A6,test!$A$3:$G$32,6,FALSE)&gt;=VLOOKUP(VLOOKUP(AF$1, test!$A$3:$G$32,3,FALSE), test!$J$11:$K$14, 2, FALSE)/1440,VLOOKUP($A6,test!$A$3:$F$32,4,FALSE)=VLOOKUP(AF$1,test!$A$3:$F$32,3,FALSE)),1,0)</f>
        <v>0</v>
      </c>
    </row>
    <row r="7" spans="1:32" x14ac:dyDescent="0.25">
      <c r="A7" t="s">
        <v>12</v>
      </c>
      <c r="B7" s="3">
        <v>1</v>
      </c>
      <c r="C7" s="2">
        <f>IF(AND(VLOOKUP(C$1,test!$A$3:$G$32,5,FALSE)-VLOOKUP($A7,test!$A$3:$G$32,6,FALSE)&gt;=VLOOKUP(VLOOKUP(C$1, test!$A$3:$G$32,3,FALSE), test!$J$11:$K$14, 2, FALSE)/1440,VLOOKUP($A7,test!$A$3:$F$32,4,FALSE)=VLOOKUP(C$1,test!$A$3:$F$32,3,FALSE)),1,0)</f>
        <v>0</v>
      </c>
      <c r="D7" s="2">
        <f>IF(AND(VLOOKUP(D$1,test!$A$3:$G$32,5,FALSE)-VLOOKUP($A7,test!$A$3:$G$32,6,FALSE)&gt;=VLOOKUP(VLOOKUP(D$1, test!$A$3:$G$32,3,FALSE), test!$J$11:$K$14, 2, FALSE)/1440,VLOOKUP($A7,test!$A$3:$F$32,4,FALSE)=VLOOKUP(D$1,test!$A$3:$F$32,3,FALSE)),1,0)</f>
        <v>0</v>
      </c>
      <c r="E7" s="2">
        <f>IF(AND(VLOOKUP(E$1,test!$A$3:$G$32,5,FALSE)-VLOOKUP($A7,test!$A$3:$G$32,6,FALSE)&gt;=VLOOKUP(VLOOKUP(E$1, test!$A$3:$G$32,3,FALSE), test!$J$11:$K$14, 2, FALSE)/1440,VLOOKUP($A7,test!$A$3:$F$32,4,FALSE)=VLOOKUP(E$1,test!$A$3:$F$32,3,FALSE)),1,0)</f>
        <v>0</v>
      </c>
      <c r="F7" s="2">
        <f>IF(AND(VLOOKUP(F$1,test!$A$3:$G$32,5,FALSE)-VLOOKUP($A7,test!$A$3:$G$32,6,FALSE)&gt;=VLOOKUP(VLOOKUP(F$1, test!$A$3:$G$32,3,FALSE), test!$J$11:$K$14, 2, FALSE)/1440,VLOOKUP($A7,test!$A$3:$F$32,4,FALSE)=VLOOKUP(F$1,test!$A$3:$F$32,3,FALSE)),1,0)</f>
        <v>0</v>
      </c>
      <c r="G7" s="2">
        <f>IF(AND(VLOOKUP(G$1,test!$A$3:$G$32,5,FALSE)-VLOOKUP($A7,test!$A$3:$G$32,6,FALSE)&gt;=VLOOKUP(VLOOKUP(G$1, test!$A$3:$G$32,3,FALSE), test!$J$11:$K$14, 2, FALSE)/1440,VLOOKUP($A7,test!$A$3:$F$32,4,FALSE)=VLOOKUP(G$1,test!$A$3:$F$32,3,FALSE)),1,0)</f>
        <v>0</v>
      </c>
      <c r="H7" s="2">
        <f>IF(AND(VLOOKUP(H$1,test!$A$3:$G$32,5,FALSE)-VLOOKUP($A7,test!$A$3:$G$32,6,FALSE)&gt;=VLOOKUP(VLOOKUP(H$1, test!$A$3:$G$32,3,FALSE), test!$J$11:$K$14, 2, FALSE)/1440,VLOOKUP($A7,test!$A$3:$F$32,4,FALSE)=VLOOKUP(H$1,test!$A$3:$F$32,3,FALSE)),1,0)</f>
        <v>0</v>
      </c>
      <c r="I7" s="2">
        <f>IF(AND(VLOOKUP(I$1,test!$A$3:$G$32,5,FALSE)-VLOOKUP($A7,test!$A$3:$G$32,6,FALSE)&gt;=VLOOKUP(VLOOKUP(I$1, test!$A$3:$G$32,3,FALSE), test!$J$11:$K$14, 2, FALSE)/1440,VLOOKUP($A7,test!$A$3:$F$32,4,FALSE)=VLOOKUP(I$1,test!$A$3:$F$32,3,FALSE)),1,0)</f>
        <v>0</v>
      </c>
      <c r="J7" s="2">
        <f>IF(AND(VLOOKUP(J$1,test!$A$3:$G$32,5,FALSE)-VLOOKUP($A7,test!$A$3:$G$32,6,FALSE)&gt;=VLOOKUP(VLOOKUP(J$1, test!$A$3:$G$32,3,FALSE), test!$J$11:$K$14, 2, FALSE)/1440,VLOOKUP($A7,test!$A$3:$F$32,4,FALSE)=VLOOKUP(J$1,test!$A$3:$F$32,3,FALSE)),1,0)</f>
        <v>0</v>
      </c>
      <c r="K7" s="2">
        <f>IF(AND(VLOOKUP(K$1,test!$A$3:$G$32,5,FALSE)-VLOOKUP($A7,test!$A$3:$G$32,6,FALSE)&gt;=VLOOKUP(VLOOKUP(K$1, test!$A$3:$G$32,3,FALSE), test!$J$11:$K$14, 2, FALSE)/1440,VLOOKUP($A7,test!$A$3:$F$32,4,FALSE)=VLOOKUP(K$1,test!$A$3:$F$32,3,FALSE)),1,0)</f>
        <v>0</v>
      </c>
      <c r="L7" s="2">
        <f>IF(AND(VLOOKUP(L$1,test!$A$3:$G$32,5,FALSE)-VLOOKUP($A7,test!$A$3:$G$32,6,FALSE)&gt;=VLOOKUP(VLOOKUP(L$1, test!$A$3:$G$32,3,FALSE), test!$J$11:$K$14, 2, FALSE)/1440,VLOOKUP($A7,test!$A$3:$F$32,4,FALSE)=VLOOKUP(L$1,test!$A$3:$F$32,3,FALSE)),1,0)</f>
        <v>0</v>
      </c>
      <c r="M7" s="2">
        <f>IF(AND(VLOOKUP(M$1,test!$A$3:$G$32,5,FALSE)-VLOOKUP($A7,test!$A$3:$G$32,6,FALSE)&gt;=VLOOKUP(VLOOKUP(M$1, test!$A$3:$G$32,3,FALSE), test!$J$11:$K$14, 2, FALSE)/1440,VLOOKUP($A7,test!$A$3:$F$32,4,FALSE)=VLOOKUP(M$1,test!$A$3:$F$32,3,FALSE)),1,0)</f>
        <v>0</v>
      </c>
      <c r="N7" s="2">
        <f>IF(AND(VLOOKUP(N$1,test!$A$3:$G$32,5,FALSE)-VLOOKUP($A7,test!$A$3:$G$32,6,FALSE)&gt;=VLOOKUP(VLOOKUP(N$1, test!$A$3:$G$32,3,FALSE), test!$J$11:$K$14, 2, FALSE)/1440,VLOOKUP($A7,test!$A$3:$F$32,4,FALSE)=VLOOKUP(N$1,test!$A$3:$F$32,3,FALSE)),1,0)</f>
        <v>0</v>
      </c>
      <c r="O7" s="2">
        <f>IF(AND(VLOOKUP(O$1,test!$A$3:$G$32,5,FALSE)-VLOOKUP($A7,test!$A$3:$G$32,6,FALSE)&gt;=VLOOKUP(VLOOKUP(O$1, test!$A$3:$G$32,3,FALSE), test!$J$11:$K$14, 2, FALSE)/1440,VLOOKUP($A7,test!$A$3:$F$32,4,FALSE)=VLOOKUP(O$1,test!$A$3:$F$32,3,FALSE)),1,0)</f>
        <v>0</v>
      </c>
      <c r="P7" s="2">
        <f>IF(AND(VLOOKUP(P$1,test!$A$3:$G$32,5,FALSE)-VLOOKUP($A7,test!$A$3:$G$32,6,FALSE)&gt;=VLOOKUP(VLOOKUP(P$1, test!$A$3:$G$32,3,FALSE), test!$J$11:$K$14, 2, FALSE)/1440,VLOOKUP($A7,test!$A$3:$F$32,4,FALSE)=VLOOKUP(P$1,test!$A$3:$F$32,3,FALSE)),1,0)</f>
        <v>0</v>
      </c>
      <c r="Q7" s="2">
        <f>IF(AND(VLOOKUP(Q$1,test!$A$3:$G$32,5,FALSE)-VLOOKUP($A7,test!$A$3:$G$32,6,FALSE)&gt;=VLOOKUP(VLOOKUP(Q$1, test!$A$3:$G$32,3,FALSE), test!$J$11:$K$14, 2, FALSE)/1440,VLOOKUP($A7,test!$A$3:$F$32,4,FALSE)=VLOOKUP(Q$1,test!$A$3:$F$32,3,FALSE)),1,0)</f>
        <v>0</v>
      </c>
      <c r="R7" s="2">
        <f>IF(AND(VLOOKUP(R$1,test!$A$3:$G$32,5,FALSE)-VLOOKUP($A7,test!$A$3:$G$32,6,FALSE)&gt;=VLOOKUP(VLOOKUP(R$1, test!$A$3:$G$32,3,FALSE), test!$J$11:$K$14, 2, FALSE)/1440,VLOOKUP($A7,test!$A$3:$F$32,4,FALSE)=VLOOKUP(R$1,test!$A$3:$F$32,3,FALSE)),1,0)</f>
        <v>0</v>
      </c>
      <c r="S7" s="2">
        <f>IF(AND(VLOOKUP(S$1,test!$A$3:$G$32,5,FALSE)-VLOOKUP($A7,test!$A$3:$G$32,6,FALSE)&gt;=VLOOKUP(VLOOKUP(S$1, test!$A$3:$G$32,3,FALSE), test!$J$11:$K$14, 2, FALSE)/1440,VLOOKUP($A7,test!$A$3:$F$32,4,FALSE)=VLOOKUP(S$1,test!$A$3:$F$32,3,FALSE)),1,0)</f>
        <v>0</v>
      </c>
      <c r="T7" s="2">
        <f>IF(AND(VLOOKUP(T$1,test!$A$3:$G$32,5,FALSE)-VLOOKUP($A7,test!$A$3:$G$32,6,FALSE)&gt;=VLOOKUP(VLOOKUP(T$1, test!$A$3:$G$32,3,FALSE), test!$J$11:$K$14, 2, FALSE)/1440,VLOOKUP($A7,test!$A$3:$F$32,4,FALSE)=VLOOKUP(T$1,test!$A$3:$F$32,3,FALSE)),1,0)</f>
        <v>0</v>
      </c>
      <c r="U7" s="2">
        <f>IF(AND(VLOOKUP(U$1,test!$A$3:$G$32,5,FALSE)-VLOOKUP($A7,test!$A$3:$G$32,6,FALSE)&gt;=VLOOKUP(VLOOKUP(U$1, test!$A$3:$G$32,3,FALSE), test!$J$11:$K$14, 2, FALSE)/1440,VLOOKUP($A7,test!$A$3:$F$32,4,FALSE)=VLOOKUP(U$1,test!$A$3:$F$32,3,FALSE)),1,0)</f>
        <v>0</v>
      </c>
      <c r="V7" s="2">
        <f>IF(AND(VLOOKUP(V$1,test!$A$3:$G$32,5,FALSE)-VLOOKUP($A7,test!$A$3:$G$32,6,FALSE)&gt;=VLOOKUP(VLOOKUP(V$1, test!$A$3:$G$32,3,FALSE), test!$J$11:$K$14, 2, FALSE)/1440,VLOOKUP($A7,test!$A$3:$F$32,4,FALSE)=VLOOKUP(V$1,test!$A$3:$F$32,3,FALSE)),1,0)</f>
        <v>0</v>
      </c>
      <c r="W7" s="2">
        <f>IF(AND(VLOOKUP(W$1,test!$A$3:$G$32,5,FALSE)-VLOOKUP($A7,test!$A$3:$G$32,6,FALSE)&gt;=VLOOKUP(VLOOKUP(W$1, test!$A$3:$G$32,3,FALSE), test!$J$11:$K$14, 2, FALSE)/1440,VLOOKUP($A7,test!$A$3:$F$32,4,FALSE)=VLOOKUP(W$1,test!$A$3:$F$32,3,FALSE)),1,0)</f>
        <v>0</v>
      </c>
      <c r="X7" s="2">
        <f>IF(AND(VLOOKUP(X$1,test!$A$3:$G$32,5,FALSE)-VLOOKUP($A7,test!$A$3:$G$32,6,FALSE)&gt;=VLOOKUP(VLOOKUP(X$1, test!$A$3:$G$32,3,FALSE), test!$J$11:$K$14, 2, FALSE)/1440,VLOOKUP($A7,test!$A$3:$F$32,4,FALSE)=VLOOKUP(X$1,test!$A$3:$F$32,3,FALSE)),1,0)</f>
        <v>1</v>
      </c>
      <c r="Y7" s="2">
        <f>IF(AND(VLOOKUP(Y$1,test!$A$3:$G$32,5,FALSE)-VLOOKUP($A7,test!$A$3:$G$32,6,FALSE)&gt;=VLOOKUP(VLOOKUP(Y$1, test!$A$3:$G$32,3,FALSE), test!$J$11:$K$14, 2, FALSE)/1440,VLOOKUP($A7,test!$A$3:$F$32,4,FALSE)=VLOOKUP(Y$1,test!$A$3:$F$32,3,FALSE)),1,0)</f>
        <v>0</v>
      </c>
      <c r="Z7" s="2">
        <f>IF(AND(VLOOKUP(Z$1,test!$A$3:$G$32,5,FALSE)-VLOOKUP($A7,test!$A$3:$G$32,6,FALSE)&gt;=VLOOKUP(VLOOKUP(Z$1, test!$A$3:$G$32,3,FALSE), test!$J$11:$K$14, 2, FALSE)/1440,VLOOKUP($A7,test!$A$3:$F$32,4,FALSE)=VLOOKUP(Z$1,test!$A$3:$F$32,3,FALSE)),1,0)</f>
        <v>0</v>
      </c>
      <c r="AA7" s="2">
        <f>IF(AND(VLOOKUP(AA$1,test!$A$3:$G$32,5,FALSE)-VLOOKUP($A7,test!$A$3:$G$32,6,FALSE)&gt;=VLOOKUP(VLOOKUP(AA$1, test!$A$3:$G$32,3,FALSE), test!$J$11:$K$14, 2, FALSE)/1440,VLOOKUP($A7,test!$A$3:$F$32,4,FALSE)=VLOOKUP(AA$1,test!$A$3:$F$32,3,FALSE)),1,0)</f>
        <v>0</v>
      </c>
      <c r="AB7" s="2">
        <f>IF(AND(VLOOKUP(AB$1,test!$A$3:$G$32,5,FALSE)-VLOOKUP($A7,test!$A$3:$G$32,6,FALSE)&gt;=VLOOKUP(VLOOKUP(AB$1, test!$A$3:$G$32,3,FALSE), test!$J$11:$K$14, 2, FALSE)/1440,VLOOKUP($A7,test!$A$3:$F$32,4,FALSE)=VLOOKUP(AB$1,test!$A$3:$F$32,3,FALSE)),1,0)</f>
        <v>0</v>
      </c>
      <c r="AC7" s="2">
        <f>IF(AND(VLOOKUP(AC$1,test!$A$3:$G$32,5,FALSE)-VLOOKUP($A7,test!$A$3:$G$32,6,FALSE)&gt;=VLOOKUP(VLOOKUP(AC$1, test!$A$3:$G$32,3,FALSE), test!$J$11:$K$14, 2, FALSE)/1440,VLOOKUP($A7,test!$A$3:$F$32,4,FALSE)=VLOOKUP(AC$1,test!$A$3:$F$32,3,FALSE)),1,0)</f>
        <v>0</v>
      </c>
      <c r="AD7" s="2">
        <f>IF(AND(VLOOKUP(AD$1,test!$A$3:$G$32,5,FALSE)-VLOOKUP($A7,test!$A$3:$G$32,6,FALSE)&gt;=VLOOKUP(VLOOKUP(AD$1, test!$A$3:$G$32,3,FALSE), test!$J$11:$K$14, 2, FALSE)/1440,VLOOKUP($A7,test!$A$3:$F$32,4,FALSE)=VLOOKUP(AD$1,test!$A$3:$F$32,3,FALSE)),1,0)</f>
        <v>0</v>
      </c>
      <c r="AE7" s="2">
        <f>IF(AND(VLOOKUP(AE$1,test!$A$3:$G$32,5,FALSE)-VLOOKUP($A7,test!$A$3:$G$32,6,FALSE)&gt;=VLOOKUP(VLOOKUP(AE$1, test!$A$3:$G$32,3,FALSE), test!$J$11:$K$14, 2, FALSE)/1440,VLOOKUP($A7,test!$A$3:$F$32,4,FALSE)=VLOOKUP(AE$1,test!$A$3:$F$32,3,FALSE)),1,0)</f>
        <v>0</v>
      </c>
      <c r="AF7" s="2">
        <f>IF(AND(VLOOKUP(AF$1,test!$A$3:$G$32,5,FALSE)-VLOOKUP($A7,test!$A$3:$G$32,6,FALSE)&gt;=VLOOKUP(VLOOKUP(AF$1, test!$A$3:$G$32,3,FALSE), test!$J$11:$K$14, 2, FALSE)/1440,VLOOKUP($A7,test!$A$3:$F$32,4,FALSE)=VLOOKUP(AF$1,test!$A$3:$F$32,3,FALSE)),1,0)</f>
        <v>0</v>
      </c>
    </row>
    <row r="8" spans="1:32" x14ac:dyDescent="0.25">
      <c r="A8" t="s">
        <v>13</v>
      </c>
      <c r="B8" s="3">
        <v>1</v>
      </c>
      <c r="C8" s="2">
        <f>IF(AND(VLOOKUP(C$1,test!$A$3:$G$32,5,FALSE)-VLOOKUP($A8,test!$A$3:$G$32,6,FALSE)&gt;=VLOOKUP(VLOOKUP(C$1, test!$A$3:$G$32,3,FALSE), test!$J$11:$K$14, 2, FALSE)/1440,VLOOKUP($A8,test!$A$3:$F$32,4,FALSE)=VLOOKUP(C$1,test!$A$3:$F$32,3,FALSE)),1,0)</f>
        <v>0</v>
      </c>
      <c r="D8" s="2">
        <f>IF(AND(VLOOKUP(D$1,test!$A$3:$G$32,5,FALSE)-VLOOKUP($A8,test!$A$3:$G$32,6,FALSE)&gt;=VLOOKUP(VLOOKUP(D$1, test!$A$3:$G$32,3,FALSE), test!$J$11:$K$14, 2, FALSE)/1440,VLOOKUP($A8,test!$A$3:$F$32,4,FALSE)=VLOOKUP(D$1,test!$A$3:$F$32,3,FALSE)),1,0)</f>
        <v>0</v>
      </c>
      <c r="E8" s="2">
        <f>IF(AND(VLOOKUP(E$1,test!$A$3:$G$32,5,FALSE)-VLOOKUP($A8,test!$A$3:$G$32,6,FALSE)&gt;=VLOOKUP(VLOOKUP(E$1, test!$A$3:$G$32,3,FALSE), test!$J$11:$K$14, 2, FALSE)/1440,VLOOKUP($A8,test!$A$3:$F$32,4,FALSE)=VLOOKUP(E$1,test!$A$3:$F$32,3,FALSE)),1,0)</f>
        <v>0</v>
      </c>
      <c r="F8" s="2">
        <f>IF(AND(VLOOKUP(F$1,test!$A$3:$G$32,5,FALSE)-VLOOKUP($A8,test!$A$3:$G$32,6,FALSE)&gt;=VLOOKUP(VLOOKUP(F$1, test!$A$3:$G$32,3,FALSE), test!$J$11:$K$14, 2, FALSE)/1440,VLOOKUP($A8,test!$A$3:$F$32,4,FALSE)=VLOOKUP(F$1,test!$A$3:$F$32,3,FALSE)),1,0)</f>
        <v>0</v>
      </c>
      <c r="G8" s="2">
        <f>IF(AND(VLOOKUP(G$1,test!$A$3:$G$32,5,FALSE)-VLOOKUP($A8,test!$A$3:$G$32,6,FALSE)&gt;=VLOOKUP(VLOOKUP(G$1, test!$A$3:$G$32,3,FALSE), test!$J$11:$K$14, 2, FALSE)/1440,VLOOKUP($A8,test!$A$3:$F$32,4,FALSE)=VLOOKUP(G$1,test!$A$3:$F$32,3,FALSE)),1,0)</f>
        <v>0</v>
      </c>
      <c r="H8" s="2">
        <f>IF(AND(VLOOKUP(H$1,test!$A$3:$G$32,5,FALSE)-VLOOKUP($A8,test!$A$3:$G$32,6,FALSE)&gt;=VLOOKUP(VLOOKUP(H$1, test!$A$3:$G$32,3,FALSE), test!$J$11:$K$14, 2, FALSE)/1440,VLOOKUP($A8,test!$A$3:$F$32,4,FALSE)=VLOOKUP(H$1,test!$A$3:$F$32,3,FALSE)),1,0)</f>
        <v>0</v>
      </c>
      <c r="I8" s="2">
        <f>IF(AND(VLOOKUP(I$1,test!$A$3:$G$32,5,FALSE)-VLOOKUP($A8,test!$A$3:$G$32,6,FALSE)&gt;=VLOOKUP(VLOOKUP(I$1, test!$A$3:$G$32,3,FALSE), test!$J$11:$K$14, 2, FALSE)/1440,VLOOKUP($A8,test!$A$3:$F$32,4,FALSE)=VLOOKUP(I$1,test!$A$3:$F$32,3,FALSE)),1,0)</f>
        <v>0</v>
      </c>
      <c r="J8" s="2">
        <f>IF(AND(VLOOKUP(J$1,test!$A$3:$G$32,5,FALSE)-VLOOKUP($A8,test!$A$3:$G$32,6,FALSE)&gt;=VLOOKUP(VLOOKUP(J$1, test!$A$3:$G$32,3,FALSE), test!$J$11:$K$14, 2, FALSE)/1440,VLOOKUP($A8,test!$A$3:$F$32,4,FALSE)=VLOOKUP(J$1,test!$A$3:$F$32,3,FALSE)),1,0)</f>
        <v>0</v>
      </c>
      <c r="K8" s="2">
        <f>IF(AND(VLOOKUP(K$1,test!$A$3:$G$32,5,FALSE)-VLOOKUP($A8,test!$A$3:$G$32,6,FALSE)&gt;=VLOOKUP(VLOOKUP(K$1, test!$A$3:$G$32,3,FALSE), test!$J$11:$K$14, 2, FALSE)/1440,VLOOKUP($A8,test!$A$3:$F$32,4,FALSE)=VLOOKUP(K$1,test!$A$3:$F$32,3,FALSE)),1,0)</f>
        <v>0</v>
      </c>
      <c r="L8" s="2">
        <f>IF(AND(VLOOKUP(L$1,test!$A$3:$G$32,5,FALSE)-VLOOKUP($A8,test!$A$3:$G$32,6,FALSE)&gt;=VLOOKUP(VLOOKUP(L$1, test!$A$3:$G$32,3,FALSE), test!$J$11:$K$14, 2, FALSE)/1440,VLOOKUP($A8,test!$A$3:$F$32,4,FALSE)=VLOOKUP(L$1,test!$A$3:$F$32,3,FALSE)),1,0)</f>
        <v>0</v>
      </c>
      <c r="M8" s="2">
        <f>IF(AND(VLOOKUP(M$1,test!$A$3:$G$32,5,FALSE)-VLOOKUP($A8,test!$A$3:$G$32,6,FALSE)&gt;=VLOOKUP(VLOOKUP(M$1, test!$A$3:$G$32,3,FALSE), test!$J$11:$K$14, 2, FALSE)/1440,VLOOKUP($A8,test!$A$3:$F$32,4,FALSE)=VLOOKUP(M$1,test!$A$3:$F$32,3,FALSE)),1,0)</f>
        <v>0</v>
      </c>
      <c r="N8" s="2">
        <f>IF(AND(VLOOKUP(N$1,test!$A$3:$G$32,5,FALSE)-VLOOKUP($A8,test!$A$3:$G$32,6,FALSE)&gt;=VLOOKUP(VLOOKUP(N$1, test!$A$3:$G$32,3,FALSE), test!$J$11:$K$14, 2, FALSE)/1440,VLOOKUP($A8,test!$A$3:$F$32,4,FALSE)=VLOOKUP(N$1,test!$A$3:$F$32,3,FALSE)),1,0)</f>
        <v>0</v>
      </c>
      <c r="O8" s="2">
        <f>IF(AND(VLOOKUP(O$1,test!$A$3:$G$32,5,FALSE)-VLOOKUP($A8,test!$A$3:$G$32,6,FALSE)&gt;=VLOOKUP(VLOOKUP(O$1, test!$A$3:$G$32,3,FALSE), test!$J$11:$K$14, 2, FALSE)/1440,VLOOKUP($A8,test!$A$3:$F$32,4,FALSE)=VLOOKUP(O$1,test!$A$3:$F$32,3,FALSE)),1,0)</f>
        <v>0</v>
      </c>
      <c r="P8" s="2">
        <f>IF(AND(VLOOKUP(P$1,test!$A$3:$G$32,5,FALSE)-VLOOKUP($A8,test!$A$3:$G$32,6,FALSE)&gt;=VLOOKUP(VLOOKUP(P$1, test!$A$3:$G$32,3,FALSE), test!$J$11:$K$14, 2, FALSE)/1440,VLOOKUP($A8,test!$A$3:$F$32,4,FALSE)=VLOOKUP(P$1,test!$A$3:$F$32,3,FALSE)),1,0)</f>
        <v>0</v>
      </c>
      <c r="Q8" s="2">
        <f>IF(AND(VLOOKUP(Q$1,test!$A$3:$G$32,5,FALSE)-VLOOKUP($A8,test!$A$3:$G$32,6,FALSE)&gt;=VLOOKUP(VLOOKUP(Q$1, test!$A$3:$G$32,3,FALSE), test!$J$11:$K$14, 2, FALSE)/1440,VLOOKUP($A8,test!$A$3:$F$32,4,FALSE)=VLOOKUP(Q$1,test!$A$3:$F$32,3,FALSE)),1,0)</f>
        <v>0</v>
      </c>
      <c r="R8" s="2">
        <f>IF(AND(VLOOKUP(R$1,test!$A$3:$G$32,5,FALSE)-VLOOKUP($A8,test!$A$3:$G$32,6,FALSE)&gt;=VLOOKUP(VLOOKUP(R$1, test!$A$3:$G$32,3,FALSE), test!$J$11:$K$14, 2, FALSE)/1440,VLOOKUP($A8,test!$A$3:$F$32,4,FALSE)=VLOOKUP(R$1,test!$A$3:$F$32,3,FALSE)),1,0)</f>
        <v>0</v>
      </c>
      <c r="S8" s="2">
        <f>IF(AND(VLOOKUP(S$1,test!$A$3:$G$32,5,FALSE)-VLOOKUP($A8,test!$A$3:$G$32,6,FALSE)&gt;=VLOOKUP(VLOOKUP(S$1, test!$A$3:$G$32,3,FALSE), test!$J$11:$K$14, 2, FALSE)/1440,VLOOKUP($A8,test!$A$3:$F$32,4,FALSE)=VLOOKUP(S$1,test!$A$3:$F$32,3,FALSE)),1,0)</f>
        <v>0</v>
      </c>
      <c r="T8" s="2">
        <f>IF(AND(VLOOKUP(T$1,test!$A$3:$G$32,5,FALSE)-VLOOKUP($A8,test!$A$3:$G$32,6,FALSE)&gt;=VLOOKUP(VLOOKUP(T$1, test!$A$3:$G$32,3,FALSE), test!$J$11:$K$14, 2, FALSE)/1440,VLOOKUP($A8,test!$A$3:$F$32,4,FALSE)=VLOOKUP(T$1,test!$A$3:$F$32,3,FALSE)),1,0)</f>
        <v>0</v>
      </c>
      <c r="U8" s="2">
        <f>IF(AND(VLOOKUP(U$1,test!$A$3:$G$32,5,FALSE)-VLOOKUP($A8,test!$A$3:$G$32,6,FALSE)&gt;=VLOOKUP(VLOOKUP(U$1, test!$A$3:$G$32,3,FALSE), test!$J$11:$K$14, 2, FALSE)/1440,VLOOKUP($A8,test!$A$3:$F$32,4,FALSE)=VLOOKUP(U$1,test!$A$3:$F$32,3,FALSE)),1,0)</f>
        <v>0</v>
      </c>
      <c r="V8" s="2">
        <f>IF(AND(VLOOKUP(V$1,test!$A$3:$G$32,5,FALSE)-VLOOKUP($A8,test!$A$3:$G$32,6,FALSE)&gt;=VLOOKUP(VLOOKUP(V$1, test!$A$3:$G$32,3,FALSE), test!$J$11:$K$14, 2, FALSE)/1440,VLOOKUP($A8,test!$A$3:$F$32,4,FALSE)=VLOOKUP(V$1,test!$A$3:$F$32,3,FALSE)),1,0)</f>
        <v>0</v>
      </c>
      <c r="W8" s="2">
        <f>IF(AND(VLOOKUP(W$1,test!$A$3:$G$32,5,FALSE)-VLOOKUP($A8,test!$A$3:$G$32,6,FALSE)&gt;=VLOOKUP(VLOOKUP(W$1, test!$A$3:$G$32,3,FALSE), test!$J$11:$K$14, 2, FALSE)/1440,VLOOKUP($A8,test!$A$3:$F$32,4,FALSE)=VLOOKUP(W$1,test!$A$3:$F$32,3,FALSE)),1,0)</f>
        <v>0</v>
      </c>
      <c r="X8" s="2">
        <f>IF(AND(VLOOKUP(X$1,test!$A$3:$G$32,5,FALSE)-VLOOKUP($A8,test!$A$3:$G$32,6,FALSE)&gt;=VLOOKUP(VLOOKUP(X$1, test!$A$3:$G$32,3,FALSE), test!$J$11:$K$14, 2, FALSE)/1440,VLOOKUP($A8,test!$A$3:$F$32,4,FALSE)=VLOOKUP(X$1,test!$A$3:$F$32,3,FALSE)),1,0)</f>
        <v>0</v>
      </c>
      <c r="Y8" s="2">
        <f>IF(AND(VLOOKUP(Y$1,test!$A$3:$G$32,5,FALSE)-VLOOKUP($A8,test!$A$3:$G$32,6,FALSE)&gt;=VLOOKUP(VLOOKUP(Y$1, test!$A$3:$G$32,3,FALSE), test!$J$11:$K$14, 2, FALSE)/1440,VLOOKUP($A8,test!$A$3:$F$32,4,FALSE)=VLOOKUP(Y$1,test!$A$3:$F$32,3,FALSE)),1,0)</f>
        <v>0</v>
      </c>
      <c r="Z8" s="2">
        <f>IF(AND(VLOOKUP(Z$1,test!$A$3:$G$32,5,FALSE)-VLOOKUP($A8,test!$A$3:$G$32,6,FALSE)&gt;=VLOOKUP(VLOOKUP(Z$1, test!$A$3:$G$32,3,FALSE), test!$J$11:$K$14, 2, FALSE)/1440,VLOOKUP($A8,test!$A$3:$F$32,4,FALSE)=VLOOKUP(Z$1,test!$A$3:$F$32,3,FALSE)),1,0)</f>
        <v>0</v>
      </c>
      <c r="AA8" s="2">
        <f>IF(AND(VLOOKUP(AA$1,test!$A$3:$G$32,5,FALSE)-VLOOKUP($A8,test!$A$3:$G$32,6,FALSE)&gt;=VLOOKUP(VLOOKUP(AA$1, test!$A$3:$G$32,3,FALSE), test!$J$11:$K$14, 2, FALSE)/1440,VLOOKUP($A8,test!$A$3:$F$32,4,FALSE)=VLOOKUP(AA$1,test!$A$3:$F$32,3,FALSE)),1,0)</f>
        <v>0</v>
      </c>
      <c r="AB8" s="2">
        <f>IF(AND(VLOOKUP(AB$1,test!$A$3:$G$32,5,FALSE)-VLOOKUP($A8,test!$A$3:$G$32,6,FALSE)&gt;=VLOOKUP(VLOOKUP(AB$1, test!$A$3:$G$32,3,FALSE), test!$J$11:$K$14, 2, FALSE)/1440,VLOOKUP($A8,test!$A$3:$F$32,4,FALSE)=VLOOKUP(AB$1,test!$A$3:$F$32,3,FALSE)),1,0)</f>
        <v>0</v>
      </c>
      <c r="AC8" s="2">
        <f>IF(AND(VLOOKUP(AC$1,test!$A$3:$G$32,5,FALSE)-VLOOKUP($A8,test!$A$3:$G$32,6,FALSE)&gt;=VLOOKUP(VLOOKUP(AC$1, test!$A$3:$G$32,3,FALSE), test!$J$11:$K$14, 2, FALSE)/1440,VLOOKUP($A8,test!$A$3:$F$32,4,FALSE)=VLOOKUP(AC$1,test!$A$3:$F$32,3,FALSE)),1,0)</f>
        <v>0</v>
      </c>
      <c r="AD8" s="2">
        <f>IF(AND(VLOOKUP(AD$1,test!$A$3:$G$32,5,FALSE)-VLOOKUP($A8,test!$A$3:$G$32,6,FALSE)&gt;=VLOOKUP(VLOOKUP(AD$1, test!$A$3:$G$32,3,FALSE), test!$J$11:$K$14, 2, FALSE)/1440,VLOOKUP($A8,test!$A$3:$F$32,4,FALSE)=VLOOKUP(AD$1,test!$A$3:$F$32,3,FALSE)),1,0)</f>
        <v>0</v>
      </c>
      <c r="AE8" s="2">
        <f>IF(AND(VLOOKUP(AE$1,test!$A$3:$G$32,5,FALSE)-VLOOKUP($A8,test!$A$3:$G$32,6,FALSE)&gt;=VLOOKUP(VLOOKUP(AE$1, test!$A$3:$G$32,3,FALSE), test!$J$11:$K$14, 2, FALSE)/1440,VLOOKUP($A8,test!$A$3:$F$32,4,FALSE)=VLOOKUP(AE$1,test!$A$3:$F$32,3,FALSE)),1,0)</f>
        <v>0</v>
      </c>
      <c r="AF8" s="2">
        <f>IF(AND(VLOOKUP(AF$1,test!$A$3:$G$32,5,FALSE)-VLOOKUP($A8,test!$A$3:$G$32,6,FALSE)&gt;=VLOOKUP(VLOOKUP(AF$1, test!$A$3:$G$32,3,FALSE), test!$J$11:$K$14, 2, FALSE)/1440,VLOOKUP($A8,test!$A$3:$F$32,4,FALSE)=VLOOKUP(AF$1,test!$A$3:$F$32,3,FALSE)),1,0)</f>
        <v>0</v>
      </c>
    </row>
    <row r="9" spans="1:32" x14ac:dyDescent="0.25">
      <c r="A9" t="s">
        <v>14</v>
      </c>
      <c r="B9" s="3">
        <v>1</v>
      </c>
      <c r="C9" s="2">
        <f>IF(AND(VLOOKUP(C$1,test!$A$3:$G$32,5,FALSE)-VLOOKUP($A9,test!$A$3:$G$32,6,FALSE)&gt;=VLOOKUP(VLOOKUP(C$1, test!$A$3:$G$32,3,FALSE), test!$J$11:$K$14, 2, FALSE)/1440,VLOOKUP($A9,test!$A$3:$F$32,4,FALSE)=VLOOKUP(C$1,test!$A$3:$F$32,3,FALSE)),1,0)</f>
        <v>0</v>
      </c>
      <c r="D9" s="2">
        <f>IF(AND(VLOOKUP(D$1,test!$A$3:$G$32,5,FALSE)-VLOOKUP($A9,test!$A$3:$G$32,6,FALSE)&gt;=VLOOKUP(VLOOKUP(D$1, test!$A$3:$G$32,3,FALSE), test!$J$11:$K$14, 2, FALSE)/1440,VLOOKUP($A9,test!$A$3:$F$32,4,FALSE)=VLOOKUP(D$1,test!$A$3:$F$32,3,FALSE)),1,0)</f>
        <v>0</v>
      </c>
      <c r="E9" s="2">
        <f>IF(AND(VLOOKUP(E$1,test!$A$3:$G$32,5,FALSE)-VLOOKUP($A9,test!$A$3:$G$32,6,FALSE)&gt;=VLOOKUP(VLOOKUP(E$1, test!$A$3:$G$32,3,FALSE), test!$J$11:$K$14, 2, FALSE)/1440,VLOOKUP($A9,test!$A$3:$F$32,4,FALSE)=VLOOKUP(E$1,test!$A$3:$F$32,3,FALSE)),1,0)</f>
        <v>0</v>
      </c>
      <c r="F9" s="2">
        <f>IF(AND(VLOOKUP(F$1,test!$A$3:$G$32,5,FALSE)-VLOOKUP($A9,test!$A$3:$G$32,6,FALSE)&gt;=VLOOKUP(VLOOKUP(F$1, test!$A$3:$G$32,3,FALSE), test!$J$11:$K$14, 2, FALSE)/1440,VLOOKUP($A9,test!$A$3:$F$32,4,FALSE)=VLOOKUP(F$1,test!$A$3:$F$32,3,FALSE)),1,0)</f>
        <v>0</v>
      </c>
      <c r="G9" s="2">
        <f>IF(AND(VLOOKUP(G$1,test!$A$3:$G$32,5,FALSE)-VLOOKUP($A9,test!$A$3:$G$32,6,FALSE)&gt;=VLOOKUP(VLOOKUP(G$1, test!$A$3:$G$32,3,FALSE), test!$J$11:$K$14, 2, FALSE)/1440,VLOOKUP($A9,test!$A$3:$F$32,4,FALSE)=VLOOKUP(G$1,test!$A$3:$F$32,3,FALSE)),1,0)</f>
        <v>0</v>
      </c>
      <c r="H9" s="2">
        <f>IF(AND(VLOOKUP(H$1,test!$A$3:$G$32,5,FALSE)-VLOOKUP($A9,test!$A$3:$G$32,6,FALSE)&gt;=VLOOKUP(VLOOKUP(H$1, test!$A$3:$G$32,3,FALSE), test!$J$11:$K$14, 2, FALSE)/1440,VLOOKUP($A9,test!$A$3:$F$32,4,FALSE)=VLOOKUP(H$1,test!$A$3:$F$32,3,FALSE)),1,0)</f>
        <v>0</v>
      </c>
      <c r="I9" s="2">
        <f>IF(AND(VLOOKUP(I$1,test!$A$3:$G$32,5,FALSE)-VLOOKUP($A9,test!$A$3:$G$32,6,FALSE)&gt;=VLOOKUP(VLOOKUP(I$1, test!$A$3:$G$32,3,FALSE), test!$J$11:$K$14, 2, FALSE)/1440,VLOOKUP($A9,test!$A$3:$F$32,4,FALSE)=VLOOKUP(I$1,test!$A$3:$F$32,3,FALSE)),1,0)</f>
        <v>0</v>
      </c>
      <c r="J9" s="2">
        <f>IF(AND(VLOOKUP(J$1,test!$A$3:$G$32,5,FALSE)-VLOOKUP($A9,test!$A$3:$G$32,6,FALSE)&gt;=VLOOKUP(VLOOKUP(J$1, test!$A$3:$G$32,3,FALSE), test!$J$11:$K$14, 2, FALSE)/1440,VLOOKUP($A9,test!$A$3:$F$32,4,FALSE)=VLOOKUP(J$1,test!$A$3:$F$32,3,FALSE)),1,0)</f>
        <v>0</v>
      </c>
      <c r="K9" s="2">
        <f>IF(AND(VLOOKUP(K$1,test!$A$3:$G$32,5,FALSE)-VLOOKUP($A9,test!$A$3:$G$32,6,FALSE)&gt;=VLOOKUP(VLOOKUP(K$1, test!$A$3:$G$32,3,FALSE), test!$J$11:$K$14, 2, FALSE)/1440,VLOOKUP($A9,test!$A$3:$F$32,4,FALSE)=VLOOKUP(K$1,test!$A$3:$F$32,3,FALSE)),1,0)</f>
        <v>0</v>
      </c>
      <c r="L9" s="2">
        <f>IF(AND(VLOOKUP(L$1,test!$A$3:$G$32,5,FALSE)-VLOOKUP($A9,test!$A$3:$G$32,6,FALSE)&gt;=VLOOKUP(VLOOKUP(L$1, test!$A$3:$G$32,3,FALSE), test!$J$11:$K$14, 2, FALSE)/1440,VLOOKUP($A9,test!$A$3:$F$32,4,FALSE)=VLOOKUP(L$1,test!$A$3:$F$32,3,FALSE)),1,0)</f>
        <v>0</v>
      </c>
      <c r="M9" s="2">
        <f>IF(AND(VLOOKUP(M$1,test!$A$3:$G$32,5,FALSE)-VLOOKUP($A9,test!$A$3:$G$32,6,FALSE)&gt;=VLOOKUP(VLOOKUP(M$1, test!$A$3:$G$32,3,FALSE), test!$J$11:$K$14, 2, FALSE)/1440,VLOOKUP($A9,test!$A$3:$F$32,4,FALSE)=VLOOKUP(M$1,test!$A$3:$F$32,3,FALSE)),1,0)</f>
        <v>0</v>
      </c>
      <c r="N9" s="2">
        <f>IF(AND(VLOOKUP(N$1,test!$A$3:$G$32,5,FALSE)-VLOOKUP($A9,test!$A$3:$G$32,6,FALSE)&gt;=VLOOKUP(VLOOKUP(N$1, test!$A$3:$G$32,3,FALSE), test!$J$11:$K$14, 2, FALSE)/1440,VLOOKUP($A9,test!$A$3:$F$32,4,FALSE)=VLOOKUP(N$1,test!$A$3:$F$32,3,FALSE)),1,0)</f>
        <v>0</v>
      </c>
      <c r="O9" s="2">
        <f>IF(AND(VLOOKUP(O$1,test!$A$3:$G$32,5,FALSE)-VLOOKUP($A9,test!$A$3:$G$32,6,FALSE)&gt;=VLOOKUP(VLOOKUP(O$1, test!$A$3:$G$32,3,FALSE), test!$J$11:$K$14, 2, FALSE)/1440,VLOOKUP($A9,test!$A$3:$F$32,4,FALSE)=VLOOKUP(O$1,test!$A$3:$F$32,3,FALSE)),1,0)</f>
        <v>0</v>
      </c>
      <c r="P9" s="2">
        <f>IF(AND(VLOOKUP(P$1,test!$A$3:$G$32,5,FALSE)-VLOOKUP($A9,test!$A$3:$G$32,6,FALSE)&gt;=VLOOKUP(VLOOKUP(P$1, test!$A$3:$G$32,3,FALSE), test!$J$11:$K$14, 2, FALSE)/1440,VLOOKUP($A9,test!$A$3:$F$32,4,FALSE)=VLOOKUP(P$1,test!$A$3:$F$32,3,FALSE)),1,0)</f>
        <v>0</v>
      </c>
      <c r="Q9" s="2">
        <f>IF(AND(VLOOKUP(Q$1,test!$A$3:$G$32,5,FALSE)-VLOOKUP($A9,test!$A$3:$G$32,6,FALSE)&gt;=VLOOKUP(VLOOKUP(Q$1, test!$A$3:$G$32,3,FALSE), test!$J$11:$K$14, 2, FALSE)/1440,VLOOKUP($A9,test!$A$3:$F$32,4,FALSE)=VLOOKUP(Q$1,test!$A$3:$F$32,3,FALSE)),1,0)</f>
        <v>0</v>
      </c>
      <c r="R9" s="2">
        <f>IF(AND(VLOOKUP(R$1,test!$A$3:$G$32,5,FALSE)-VLOOKUP($A9,test!$A$3:$G$32,6,FALSE)&gt;=VLOOKUP(VLOOKUP(R$1, test!$A$3:$G$32,3,FALSE), test!$J$11:$K$14, 2, FALSE)/1440,VLOOKUP($A9,test!$A$3:$F$32,4,FALSE)=VLOOKUP(R$1,test!$A$3:$F$32,3,FALSE)),1,0)</f>
        <v>0</v>
      </c>
      <c r="S9" s="2">
        <f>IF(AND(VLOOKUP(S$1,test!$A$3:$G$32,5,FALSE)-VLOOKUP($A9,test!$A$3:$G$32,6,FALSE)&gt;=VLOOKUP(VLOOKUP(S$1, test!$A$3:$G$32,3,FALSE), test!$J$11:$K$14, 2, FALSE)/1440,VLOOKUP($A9,test!$A$3:$F$32,4,FALSE)=VLOOKUP(S$1,test!$A$3:$F$32,3,FALSE)),1,0)</f>
        <v>0</v>
      </c>
      <c r="T9" s="2">
        <f>IF(AND(VLOOKUP(T$1,test!$A$3:$G$32,5,FALSE)-VLOOKUP($A9,test!$A$3:$G$32,6,FALSE)&gt;=VLOOKUP(VLOOKUP(T$1, test!$A$3:$G$32,3,FALSE), test!$J$11:$K$14, 2, FALSE)/1440,VLOOKUP($A9,test!$A$3:$F$32,4,FALSE)=VLOOKUP(T$1,test!$A$3:$F$32,3,FALSE)),1,0)</f>
        <v>0</v>
      </c>
      <c r="U9" s="2">
        <f>IF(AND(VLOOKUP(U$1,test!$A$3:$G$32,5,FALSE)-VLOOKUP($A9,test!$A$3:$G$32,6,FALSE)&gt;=VLOOKUP(VLOOKUP(U$1, test!$A$3:$G$32,3,FALSE), test!$J$11:$K$14, 2, FALSE)/1440,VLOOKUP($A9,test!$A$3:$F$32,4,FALSE)=VLOOKUP(U$1,test!$A$3:$F$32,3,FALSE)),1,0)</f>
        <v>0</v>
      </c>
      <c r="V9" s="2">
        <f>IF(AND(VLOOKUP(V$1,test!$A$3:$G$32,5,FALSE)-VLOOKUP($A9,test!$A$3:$G$32,6,FALSE)&gt;=VLOOKUP(VLOOKUP(V$1, test!$A$3:$G$32,3,FALSE), test!$J$11:$K$14, 2, FALSE)/1440,VLOOKUP($A9,test!$A$3:$F$32,4,FALSE)=VLOOKUP(V$1,test!$A$3:$F$32,3,FALSE)),1,0)</f>
        <v>0</v>
      </c>
      <c r="W9" s="2">
        <f>IF(AND(VLOOKUP(W$1,test!$A$3:$G$32,5,FALSE)-VLOOKUP($A9,test!$A$3:$G$32,6,FALSE)&gt;=VLOOKUP(VLOOKUP(W$1, test!$A$3:$G$32,3,FALSE), test!$J$11:$K$14, 2, FALSE)/1440,VLOOKUP($A9,test!$A$3:$F$32,4,FALSE)=VLOOKUP(W$1,test!$A$3:$F$32,3,FALSE)),1,0)</f>
        <v>0</v>
      </c>
      <c r="X9" s="2">
        <f>IF(AND(VLOOKUP(X$1,test!$A$3:$G$32,5,FALSE)-VLOOKUP($A9,test!$A$3:$G$32,6,FALSE)&gt;=VLOOKUP(VLOOKUP(X$1, test!$A$3:$G$32,3,FALSE), test!$J$11:$K$14, 2, FALSE)/1440,VLOOKUP($A9,test!$A$3:$F$32,4,FALSE)=VLOOKUP(X$1,test!$A$3:$F$32,3,FALSE)),1,0)</f>
        <v>0</v>
      </c>
      <c r="Y9" s="2">
        <f>IF(AND(VLOOKUP(Y$1,test!$A$3:$G$32,5,FALSE)-VLOOKUP($A9,test!$A$3:$G$32,6,FALSE)&gt;=VLOOKUP(VLOOKUP(Y$1, test!$A$3:$G$32,3,FALSE), test!$J$11:$K$14, 2, FALSE)/1440,VLOOKUP($A9,test!$A$3:$F$32,4,FALSE)=VLOOKUP(Y$1,test!$A$3:$F$32,3,FALSE)),1,0)</f>
        <v>0</v>
      </c>
      <c r="Z9" s="2">
        <f>IF(AND(VLOOKUP(Z$1,test!$A$3:$G$32,5,FALSE)-VLOOKUP($A9,test!$A$3:$G$32,6,FALSE)&gt;=VLOOKUP(VLOOKUP(Z$1, test!$A$3:$G$32,3,FALSE), test!$J$11:$K$14, 2, FALSE)/1440,VLOOKUP($A9,test!$A$3:$F$32,4,FALSE)=VLOOKUP(Z$1,test!$A$3:$F$32,3,FALSE)),1,0)</f>
        <v>0</v>
      </c>
      <c r="AA9" s="2">
        <f>IF(AND(VLOOKUP(AA$1,test!$A$3:$G$32,5,FALSE)-VLOOKUP($A9,test!$A$3:$G$32,6,FALSE)&gt;=VLOOKUP(VLOOKUP(AA$1, test!$A$3:$G$32,3,FALSE), test!$J$11:$K$14, 2, FALSE)/1440,VLOOKUP($A9,test!$A$3:$F$32,4,FALSE)=VLOOKUP(AA$1,test!$A$3:$F$32,3,FALSE)),1,0)</f>
        <v>0</v>
      </c>
      <c r="AB9" s="2">
        <f>IF(AND(VLOOKUP(AB$1,test!$A$3:$G$32,5,FALSE)-VLOOKUP($A9,test!$A$3:$G$32,6,FALSE)&gt;=VLOOKUP(VLOOKUP(AB$1, test!$A$3:$G$32,3,FALSE), test!$J$11:$K$14, 2, FALSE)/1440,VLOOKUP($A9,test!$A$3:$F$32,4,FALSE)=VLOOKUP(AB$1,test!$A$3:$F$32,3,FALSE)),1,0)</f>
        <v>0</v>
      </c>
      <c r="AC9" s="2">
        <f>IF(AND(VLOOKUP(AC$1,test!$A$3:$G$32,5,FALSE)-VLOOKUP($A9,test!$A$3:$G$32,6,FALSE)&gt;=VLOOKUP(VLOOKUP(AC$1, test!$A$3:$G$32,3,FALSE), test!$J$11:$K$14, 2, FALSE)/1440,VLOOKUP($A9,test!$A$3:$F$32,4,FALSE)=VLOOKUP(AC$1,test!$A$3:$F$32,3,FALSE)),1,0)</f>
        <v>0</v>
      </c>
      <c r="AD9" s="2">
        <f>IF(AND(VLOOKUP(AD$1,test!$A$3:$G$32,5,FALSE)-VLOOKUP($A9,test!$A$3:$G$32,6,FALSE)&gt;=VLOOKUP(VLOOKUP(AD$1, test!$A$3:$G$32,3,FALSE), test!$J$11:$K$14, 2, FALSE)/1440,VLOOKUP($A9,test!$A$3:$F$32,4,FALSE)=VLOOKUP(AD$1,test!$A$3:$F$32,3,FALSE)),1,0)</f>
        <v>0</v>
      </c>
      <c r="AE9" s="2">
        <f>IF(AND(VLOOKUP(AE$1,test!$A$3:$G$32,5,FALSE)-VLOOKUP($A9,test!$A$3:$G$32,6,FALSE)&gt;=VLOOKUP(VLOOKUP(AE$1, test!$A$3:$G$32,3,FALSE), test!$J$11:$K$14, 2, FALSE)/1440,VLOOKUP($A9,test!$A$3:$F$32,4,FALSE)=VLOOKUP(AE$1,test!$A$3:$F$32,3,FALSE)),1,0)</f>
        <v>0</v>
      </c>
      <c r="AF9" s="2">
        <f>IF(AND(VLOOKUP(AF$1,test!$A$3:$G$32,5,FALSE)-VLOOKUP($A9,test!$A$3:$G$32,6,FALSE)&gt;=VLOOKUP(VLOOKUP(AF$1, test!$A$3:$G$32,3,FALSE), test!$J$11:$K$14, 2, FALSE)/1440,VLOOKUP($A9,test!$A$3:$F$32,4,FALSE)=VLOOKUP(AF$1,test!$A$3:$F$32,3,FALSE)),1,0)</f>
        <v>0</v>
      </c>
    </row>
    <row r="10" spans="1:32" x14ac:dyDescent="0.25">
      <c r="A10" t="s">
        <v>15</v>
      </c>
      <c r="B10" s="3">
        <v>1</v>
      </c>
      <c r="C10" s="2">
        <f>IF(AND(VLOOKUP(C$1,test!$A$3:$G$32,5,FALSE)-VLOOKUP($A10,test!$A$3:$G$32,6,FALSE)&gt;=VLOOKUP(VLOOKUP(C$1, test!$A$3:$G$32,3,FALSE), test!$J$11:$K$14, 2, FALSE)/1440,VLOOKUP($A10,test!$A$3:$F$32,4,FALSE)=VLOOKUP(C$1,test!$A$3:$F$32,3,FALSE)),1,0)</f>
        <v>0</v>
      </c>
      <c r="D10" s="2">
        <f>IF(AND(VLOOKUP(D$1,test!$A$3:$G$32,5,FALSE)-VLOOKUP($A10,test!$A$3:$G$32,6,FALSE)&gt;=VLOOKUP(VLOOKUP(D$1, test!$A$3:$G$32,3,FALSE), test!$J$11:$K$14, 2, FALSE)/1440,VLOOKUP($A10,test!$A$3:$F$32,4,FALSE)=VLOOKUP(D$1,test!$A$3:$F$32,3,FALSE)),1,0)</f>
        <v>0</v>
      </c>
      <c r="E10" s="2">
        <f>IF(AND(VLOOKUP(E$1,test!$A$3:$G$32,5,FALSE)-VLOOKUP($A10,test!$A$3:$G$32,6,FALSE)&gt;=VLOOKUP(VLOOKUP(E$1, test!$A$3:$G$32,3,FALSE), test!$J$11:$K$14, 2, FALSE)/1440,VLOOKUP($A10,test!$A$3:$F$32,4,FALSE)=VLOOKUP(E$1,test!$A$3:$F$32,3,FALSE)),1,0)</f>
        <v>0</v>
      </c>
      <c r="F10" s="2">
        <f>IF(AND(VLOOKUP(F$1,test!$A$3:$G$32,5,FALSE)-VLOOKUP($A10,test!$A$3:$G$32,6,FALSE)&gt;=VLOOKUP(VLOOKUP(F$1, test!$A$3:$G$32,3,FALSE), test!$J$11:$K$14, 2, FALSE)/1440,VLOOKUP($A10,test!$A$3:$F$32,4,FALSE)=VLOOKUP(F$1,test!$A$3:$F$32,3,FALSE)),1,0)</f>
        <v>0</v>
      </c>
      <c r="G10" s="2">
        <f>IF(AND(VLOOKUP(G$1,test!$A$3:$G$32,5,FALSE)-VLOOKUP($A10,test!$A$3:$G$32,6,FALSE)&gt;=VLOOKUP(VLOOKUP(G$1, test!$A$3:$G$32,3,FALSE), test!$J$11:$K$14, 2, FALSE)/1440,VLOOKUP($A10,test!$A$3:$F$32,4,FALSE)=VLOOKUP(G$1,test!$A$3:$F$32,3,FALSE)),1,0)</f>
        <v>0</v>
      </c>
      <c r="H10" s="2">
        <f>IF(AND(VLOOKUP(H$1,test!$A$3:$G$32,5,FALSE)-VLOOKUP($A10,test!$A$3:$G$32,6,FALSE)&gt;=VLOOKUP(VLOOKUP(H$1, test!$A$3:$G$32,3,FALSE), test!$J$11:$K$14, 2, FALSE)/1440,VLOOKUP($A10,test!$A$3:$F$32,4,FALSE)=VLOOKUP(H$1,test!$A$3:$F$32,3,FALSE)),1,0)</f>
        <v>0</v>
      </c>
      <c r="I10" s="2">
        <f>IF(AND(VLOOKUP(I$1,test!$A$3:$G$32,5,FALSE)-VLOOKUP($A10,test!$A$3:$G$32,6,FALSE)&gt;=VLOOKUP(VLOOKUP(I$1, test!$A$3:$G$32,3,FALSE), test!$J$11:$K$14, 2, FALSE)/1440,VLOOKUP($A10,test!$A$3:$F$32,4,FALSE)=VLOOKUP(I$1,test!$A$3:$F$32,3,FALSE)),1,0)</f>
        <v>0</v>
      </c>
      <c r="J10" s="2">
        <f>IF(AND(VLOOKUP(J$1,test!$A$3:$G$32,5,FALSE)-VLOOKUP($A10,test!$A$3:$G$32,6,FALSE)&gt;=VLOOKUP(VLOOKUP(J$1, test!$A$3:$G$32,3,FALSE), test!$J$11:$K$14, 2, FALSE)/1440,VLOOKUP($A10,test!$A$3:$F$32,4,FALSE)=VLOOKUP(J$1,test!$A$3:$F$32,3,FALSE)),1,0)</f>
        <v>0</v>
      </c>
      <c r="K10" s="2">
        <f>IF(AND(VLOOKUP(K$1,test!$A$3:$G$32,5,FALSE)-VLOOKUP($A10,test!$A$3:$G$32,6,FALSE)&gt;=VLOOKUP(VLOOKUP(K$1, test!$A$3:$G$32,3,FALSE), test!$J$11:$K$14, 2, FALSE)/1440,VLOOKUP($A10,test!$A$3:$F$32,4,FALSE)=VLOOKUP(K$1,test!$A$3:$F$32,3,FALSE)),1,0)</f>
        <v>0</v>
      </c>
      <c r="L10" s="2">
        <f>IF(AND(VLOOKUP(L$1,test!$A$3:$G$32,5,FALSE)-VLOOKUP($A10,test!$A$3:$G$32,6,FALSE)&gt;=VLOOKUP(VLOOKUP(L$1, test!$A$3:$G$32,3,FALSE), test!$J$11:$K$14, 2, FALSE)/1440,VLOOKUP($A10,test!$A$3:$F$32,4,FALSE)=VLOOKUP(L$1,test!$A$3:$F$32,3,FALSE)),1,0)</f>
        <v>0</v>
      </c>
      <c r="M10" s="2">
        <f>IF(AND(VLOOKUP(M$1,test!$A$3:$G$32,5,FALSE)-VLOOKUP($A10,test!$A$3:$G$32,6,FALSE)&gt;=VLOOKUP(VLOOKUP(M$1, test!$A$3:$G$32,3,FALSE), test!$J$11:$K$14, 2, FALSE)/1440,VLOOKUP($A10,test!$A$3:$F$32,4,FALSE)=VLOOKUP(M$1,test!$A$3:$F$32,3,FALSE)),1,0)</f>
        <v>0</v>
      </c>
      <c r="N10" s="2">
        <f>IF(AND(VLOOKUP(N$1,test!$A$3:$G$32,5,FALSE)-VLOOKUP($A10,test!$A$3:$G$32,6,FALSE)&gt;=VLOOKUP(VLOOKUP(N$1, test!$A$3:$G$32,3,FALSE), test!$J$11:$K$14, 2, FALSE)/1440,VLOOKUP($A10,test!$A$3:$F$32,4,FALSE)=VLOOKUP(N$1,test!$A$3:$F$32,3,FALSE)),1,0)</f>
        <v>0</v>
      </c>
      <c r="O10" s="2">
        <f>IF(AND(VLOOKUP(O$1,test!$A$3:$G$32,5,FALSE)-VLOOKUP($A10,test!$A$3:$G$32,6,FALSE)&gt;=VLOOKUP(VLOOKUP(O$1, test!$A$3:$G$32,3,FALSE), test!$J$11:$K$14, 2, FALSE)/1440,VLOOKUP($A10,test!$A$3:$F$32,4,FALSE)=VLOOKUP(O$1,test!$A$3:$F$32,3,FALSE)),1,0)</f>
        <v>0</v>
      </c>
      <c r="P10" s="2">
        <f>IF(AND(VLOOKUP(P$1,test!$A$3:$G$32,5,FALSE)-VLOOKUP($A10,test!$A$3:$G$32,6,FALSE)&gt;=VLOOKUP(VLOOKUP(P$1, test!$A$3:$G$32,3,FALSE), test!$J$11:$K$14, 2, FALSE)/1440,VLOOKUP($A10,test!$A$3:$F$32,4,FALSE)=VLOOKUP(P$1,test!$A$3:$F$32,3,FALSE)),1,0)</f>
        <v>0</v>
      </c>
      <c r="Q10" s="2">
        <f>IF(AND(VLOOKUP(Q$1,test!$A$3:$G$32,5,FALSE)-VLOOKUP($A10,test!$A$3:$G$32,6,FALSE)&gt;=VLOOKUP(VLOOKUP(Q$1, test!$A$3:$G$32,3,FALSE), test!$J$11:$K$14, 2, FALSE)/1440,VLOOKUP($A10,test!$A$3:$F$32,4,FALSE)=VLOOKUP(Q$1,test!$A$3:$F$32,3,FALSE)),1,0)</f>
        <v>0</v>
      </c>
      <c r="R10" s="2">
        <f>IF(AND(VLOOKUP(R$1,test!$A$3:$G$32,5,FALSE)-VLOOKUP($A10,test!$A$3:$G$32,6,FALSE)&gt;=VLOOKUP(VLOOKUP(R$1, test!$A$3:$G$32,3,FALSE), test!$J$11:$K$14, 2, FALSE)/1440,VLOOKUP($A10,test!$A$3:$F$32,4,FALSE)=VLOOKUP(R$1,test!$A$3:$F$32,3,FALSE)),1,0)</f>
        <v>0</v>
      </c>
      <c r="S10" s="2">
        <f>IF(AND(VLOOKUP(S$1,test!$A$3:$G$32,5,FALSE)-VLOOKUP($A10,test!$A$3:$G$32,6,FALSE)&gt;=VLOOKUP(VLOOKUP(S$1, test!$A$3:$G$32,3,FALSE), test!$J$11:$K$14, 2, FALSE)/1440,VLOOKUP($A10,test!$A$3:$F$32,4,FALSE)=VLOOKUP(S$1,test!$A$3:$F$32,3,FALSE)),1,0)</f>
        <v>0</v>
      </c>
      <c r="T10" s="2">
        <f>IF(AND(VLOOKUP(T$1,test!$A$3:$G$32,5,FALSE)-VLOOKUP($A10,test!$A$3:$G$32,6,FALSE)&gt;=VLOOKUP(VLOOKUP(T$1, test!$A$3:$G$32,3,FALSE), test!$J$11:$K$14, 2, FALSE)/1440,VLOOKUP($A10,test!$A$3:$F$32,4,FALSE)=VLOOKUP(T$1,test!$A$3:$F$32,3,FALSE)),1,0)</f>
        <v>0</v>
      </c>
      <c r="U10" s="2">
        <f>IF(AND(VLOOKUP(U$1,test!$A$3:$G$32,5,FALSE)-VLOOKUP($A10,test!$A$3:$G$32,6,FALSE)&gt;=VLOOKUP(VLOOKUP(U$1, test!$A$3:$G$32,3,FALSE), test!$J$11:$K$14, 2, FALSE)/1440,VLOOKUP($A10,test!$A$3:$F$32,4,FALSE)=VLOOKUP(U$1,test!$A$3:$F$32,3,FALSE)),1,0)</f>
        <v>0</v>
      </c>
      <c r="V10" s="2">
        <f>IF(AND(VLOOKUP(V$1,test!$A$3:$G$32,5,FALSE)-VLOOKUP($A10,test!$A$3:$G$32,6,FALSE)&gt;=VLOOKUP(VLOOKUP(V$1, test!$A$3:$G$32,3,FALSE), test!$J$11:$K$14, 2, FALSE)/1440,VLOOKUP($A10,test!$A$3:$F$32,4,FALSE)=VLOOKUP(V$1,test!$A$3:$F$32,3,FALSE)),1,0)</f>
        <v>0</v>
      </c>
      <c r="W10" s="2">
        <f>IF(AND(VLOOKUP(W$1,test!$A$3:$G$32,5,FALSE)-VLOOKUP($A10,test!$A$3:$G$32,6,FALSE)&gt;=VLOOKUP(VLOOKUP(W$1, test!$A$3:$G$32,3,FALSE), test!$J$11:$K$14, 2, FALSE)/1440,VLOOKUP($A10,test!$A$3:$F$32,4,FALSE)=VLOOKUP(W$1,test!$A$3:$F$32,3,FALSE)),1,0)</f>
        <v>0</v>
      </c>
      <c r="X10" s="2">
        <f>IF(AND(VLOOKUP(X$1,test!$A$3:$G$32,5,FALSE)-VLOOKUP($A10,test!$A$3:$G$32,6,FALSE)&gt;=VLOOKUP(VLOOKUP(X$1, test!$A$3:$G$32,3,FALSE), test!$J$11:$K$14, 2, FALSE)/1440,VLOOKUP($A10,test!$A$3:$F$32,4,FALSE)=VLOOKUP(X$1,test!$A$3:$F$32,3,FALSE)),1,0)</f>
        <v>0</v>
      </c>
      <c r="Y10" s="2">
        <f>IF(AND(VLOOKUP(Y$1,test!$A$3:$G$32,5,FALSE)-VLOOKUP($A10,test!$A$3:$G$32,6,FALSE)&gt;=VLOOKUP(VLOOKUP(Y$1, test!$A$3:$G$32,3,FALSE), test!$J$11:$K$14, 2, FALSE)/1440,VLOOKUP($A10,test!$A$3:$F$32,4,FALSE)=VLOOKUP(Y$1,test!$A$3:$F$32,3,FALSE)),1,0)</f>
        <v>0</v>
      </c>
      <c r="Z10" s="2">
        <f>IF(AND(VLOOKUP(Z$1,test!$A$3:$G$32,5,FALSE)-VLOOKUP($A10,test!$A$3:$G$32,6,FALSE)&gt;=VLOOKUP(VLOOKUP(Z$1, test!$A$3:$G$32,3,FALSE), test!$J$11:$K$14, 2, FALSE)/1440,VLOOKUP($A10,test!$A$3:$F$32,4,FALSE)=VLOOKUP(Z$1,test!$A$3:$F$32,3,FALSE)),1,0)</f>
        <v>0</v>
      </c>
      <c r="AA10" s="2">
        <f>IF(AND(VLOOKUP(AA$1,test!$A$3:$G$32,5,FALSE)-VLOOKUP($A10,test!$A$3:$G$32,6,FALSE)&gt;=VLOOKUP(VLOOKUP(AA$1, test!$A$3:$G$32,3,FALSE), test!$J$11:$K$14, 2, FALSE)/1440,VLOOKUP($A10,test!$A$3:$F$32,4,FALSE)=VLOOKUP(AA$1,test!$A$3:$F$32,3,FALSE)),1,0)</f>
        <v>0</v>
      </c>
      <c r="AB10" s="2">
        <f>IF(AND(VLOOKUP(AB$1,test!$A$3:$G$32,5,FALSE)-VLOOKUP($A10,test!$A$3:$G$32,6,FALSE)&gt;=VLOOKUP(VLOOKUP(AB$1, test!$A$3:$G$32,3,FALSE), test!$J$11:$K$14, 2, FALSE)/1440,VLOOKUP($A10,test!$A$3:$F$32,4,FALSE)=VLOOKUP(AB$1,test!$A$3:$F$32,3,FALSE)),1,0)</f>
        <v>0</v>
      </c>
      <c r="AC10" s="2">
        <f>IF(AND(VLOOKUP(AC$1,test!$A$3:$G$32,5,FALSE)-VLOOKUP($A10,test!$A$3:$G$32,6,FALSE)&gt;=VLOOKUP(VLOOKUP(AC$1, test!$A$3:$G$32,3,FALSE), test!$J$11:$K$14, 2, FALSE)/1440,VLOOKUP($A10,test!$A$3:$F$32,4,FALSE)=VLOOKUP(AC$1,test!$A$3:$F$32,3,FALSE)),1,0)</f>
        <v>0</v>
      </c>
      <c r="AD10" s="2">
        <f>IF(AND(VLOOKUP(AD$1,test!$A$3:$G$32,5,FALSE)-VLOOKUP($A10,test!$A$3:$G$32,6,FALSE)&gt;=VLOOKUP(VLOOKUP(AD$1, test!$A$3:$G$32,3,FALSE), test!$J$11:$K$14, 2, FALSE)/1440,VLOOKUP($A10,test!$A$3:$F$32,4,FALSE)=VLOOKUP(AD$1,test!$A$3:$F$32,3,FALSE)),1,0)</f>
        <v>0</v>
      </c>
      <c r="AE10" s="2">
        <f>IF(AND(VLOOKUP(AE$1,test!$A$3:$G$32,5,FALSE)-VLOOKUP($A10,test!$A$3:$G$32,6,FALSE)&gt;=VLOOKUP(VLOOKUP(AE$1, test!$A$3:$G$32,3,FALSE), test!$J$11:$K$14, 2, FALSE)/1440,VLOOKUP($A10,test!$A$3:$F$32,4,FALSE)=VLOOKUP(AE$1,test!$A$3:$F$32,3,FALSE)),1,0)</f>
        <v>0</v>
      </c>
      <c r="AF10" s="2">
        <f>IF(AND(VLOOKUP(AF$1,test!$A$3:$G$32,5,FALSE)-VLOOKUP($A10,test!$A$3:$G$32,6,FALSE)&gt;=VLOOKUP(VLOOKUP(AF$1, test!$A$3:$G$32,3,FALSE), test!$J$11:$K$14, 2, FALSE)/1440,VLOOKUP($A10,test!$A$3:$F$32,4,FALSE)=VLOOKUP(AF$1,test!$A$3:$F$32,3,FALSE)),1,0)</f>
        <v>0</v>
      </c>
    </row>
    <row r="11" spans="1:32" x14ac:dyDescent="0.25">
      <c r="A11" t="s">
        <v>18</v>
      </c>
      <c r="B11" s="3">
        <v>1</v>
      </c>
      <c r="C11" s="2">
        <f>IF(AND(VLOOKUP(C$1,test!$A$3:$G$32,5,FALSE)-VLOOKUP($A11,test!$A$3:$G$32,6,FALSE)&gt;=VLOOKUP(VLOOKUP(C$1, test!$A$3:$G$32,3,FALSE), test!$J$11:$K$14, 2, FALSE)/1440,VLOOKUP($A11,test!$A$3:$F$32,4,FALSE)=VLOOKUP(C$1,test!$A$3:$F$32,3,FALSE)),1,0)</f>
        <v>0</v>
      </c>
      <c r="D11" s="2">
        <f>IF(AND(VLOOKUP(D$1,test!$A$3:$G$32,5,FALSE)-VLOOKUP($A11,test!$A$3:$G$32,6,FALSE)&gt;=VLOOKUP(VLOOKUP(D$1, test!$A$3:$G$32,3,FALSE), test!$J$11:$K$14, 2, FALSE)/1440,VLOOKUP($A11,test!$A$3:$F$32,4,FALSE)=VLOOKUP(D$1,test!$A$3:$F$32,3,FALSE)),1,0)</f>
        <v>0</v>
      </c>
      <c r="E11" s="2">
        <f>IF(AND(VLOOKUP(E$1,test!$A$3:$G$32,5,FALSE)-VLOOKUP($A11,test!$A$3:$G$32,6,FALSE)&gt;=VLOOKUP(VLOOKUP(E$1, test!$A$3:$G$32,3,FALSE), test!$J$11:$K$14, 2, FALSE)/1440,VLOOKUP($A11,test!$A$3:$F$32,4,FALSE)=VLOOKUP(E$1,test!$A$3:$F$32,3,FALSE)),1,0)</f>
        <v>0</v>
      </c>
      <c r="F11" s="2">
        <f>IF(AND(VLOOKUP(F$1,test!$A$3:$G$32,5,FALSE)-VLOOKUP($A11,test!$A$3:$G$32,6,FALSE)&gt;=VLOOKUP(VLOOKUP(F$1, test!$A$3:$G$32,3,FALSE), test!$J$11:$K$14, 2, FALSE)/1440,VLOOKUP($A11,test!$A$3:$F$32,4,FALSE)=VLOOKUP(F$1,test!$A$3:$F$32,3,FALSE)),1,0)</f>
        <v>0</v>
      </c>
      <c r="G11" s="2">
        <f>IF(AND(VLOOKUP(G$1,test!$A$3:$G$32,5,FALSE)-VLOOKUP($A11,test!$A$3:$G$32,6,FALSE)&gt;=VLOOKUP(VLOOKUP(G$1, test!$A$3:$G$32,3,FALSE), test!$J$11:$K$14, 2, FALSE)/1440,VLOOKUP($A11,test!$A$3:$F$32,4,FALSE)=VLOOKUP(G$1,test!$A$3:$F$32,3,FALSE)),1,0)</f>
        <v>0</v>
      </c>
      <c r="H11" s="2">
        <f>IF(AND(VLOOKUP(H$1,test!$A$3:$G$32,5,FALSE)-VLOOKUP($A11,test!$A$3:$G$32,6,FALSE)&gt;=VLOOKUP(VLOOKUP(H$1, test!$A$3:$G$32,3,FALSE), test!$J$11:$K$14, 2, FALSE)/1440,VLOOKUP($A11,test!$A$3:$F$32,4,FALSE)=VLOOKUP(H$1,test!$A$3:$F$32,3,FALSE)),1,0)</f>
        <v>0</v>
      </c>
      <c r="I11" s="2">
        <f>IF(AND(VLOOKUP(I$1,test!$A$3:$G$32,5,FALSE)-VLOOKUP($A11,test!$A$3:$G$32,6,FALSE)&gt;=VLOOKUP(VLOOKUP(I$1, test!$A$3:$G$32,3,FALSE), test!$J$11:$K$14, 2, FALSE)/1440,VLOOKUP($A11,test!$A$3:$F$32,4,FALSE)=VLOOKUP(I$1,test!$A$3:$F$32,3,FALSE)),1,0)</f>
        <v>0</v>
      </c>
      <c r="J11" s="2">
        <f>IF(AND(VLOOKUP(J$1,test!$A$3:$G$32,5,FALSE)-VLOOKUP($A11,test!$A$3:$G$32,6,FALSE)&gt;=VLOOKUP(VLOOKUP(J$1, test!$A$3:$G$32,3,FALSE), test!$J$11:$K$14, 2, FALSE)/1440,VLOOKUP($A11,test!$A$3:$F$32,4,FALSE)=VLOOKUP(J$1,test!$A$3:$F$32,3,FALSE)),1,0)</f>
        <v>0</v>
      </c>
      <c r="K11" s="2">
        <f>IF(AND(VLOOKUP(K$1,test!$A$3:$G$32,5,FALSE)-VLOOKUP($A11,test!$A$3:$G$32,6,FALSE)&gt;=VLOOKUP(VLOOKUP(K$1, test!$A$3:$G$32,3,FALSE), test!$J$11:$K$14, 2, FALSE)/1440,VLOOKUP($A11,test!$A$3:$F$32,4,FALSE)=VLOOKUP(K$1,test!$A$3:$F$32,3,FALSE)),1,0)</f>
        <v>0</v>
      </c>
      <c r="L11" s="2">
        <f>IF(AND(VLOOKUP(L$1,test!$A$3:$G$32,5,FALSE)-VLOOKUP($A11,test!$A$3:$G$32,6,FALSE)&gt;=VLOOKUP(VLOOKUP(L$1, test!$A$3:$G$32,3,FALSE), test!$J$11:$K$14, 2, FALSE)/1440,VLOOKUP($A11,test!$A$3:$F$32,4,FALSE)=VLOOKUP(L$1,test!$A$3:$F$32,3,FALSE)),1,0)</f>
        <v>0</v>
      </c>
      <c r="M11" s="2">
        <f>IF(AND(VLOOKUP(M$1,test!$A$3:$G$32,5,FALSE)-VLOOKUP($A11,test!$A$3:$G$32,6,FALSE)&gt;=VLOOKUP(VLOOKUP(M$1, test!$A$3:$G$32,3,FALSE), test!$J$11:$K$14, 2, FALSE)/1440,VLOOKUP($A11,test!$A$3:$F$32,4,FALSE)=VLOOKUP(M$1,test!$A$3:$F$32,3,FALSE)),1,0)</f>
        <v>0</v>
      </c>
      <c r="N11" s="2">
        <f>IF(AND(VLOOKUP(N$1,test!$A$3:$G$32,5,FALSE)-VLOOKUP($A11,test!$A$3:$G$32,6,FALSE)&gt;=VLOOKUP(VLOOKUP(N$1, test!$A$3:$G$32,3,FALSE), test!$J$11:$K$14, 2, FALSE)/1440,VLOOKUP($A11,test!$A$3:$F$32,4,FALSE)=VLOOKUP(N$1,test!$A$3:$F$32,3,FALSE)),1,0)</f>
        <v>0</v>
      </c>
      <c r="O11" s="2">
        <f>IF(AND(VLOOKUP(O$1,test!$A$3:$G$32,5,FALSE)-VLOOKUP($A11,test!$A$3:$G$32,6,FALSE)&gt;=VLOOKUP(VLOOKUP(O$1, test!$A$3:$G$32,3,FALSE), test!$J$11:$K$14, 2, FALSE)/1440,VLOOKUP($A11,test!$A$3:$F$32,4,FALSE)=VLOOKUP(O$1,test!$A$3:$F$32,3,FALSE)),1,0)</f>
        <v>0</v>
      </c>
      <c r="P11" s="2">
        <f>IF(AND(VLOOKUP(P$1,test!$A$3:$G$32,5,FALSE)-VLOOKUP($A11,test!$A$3:$G$32,6,FALSE)&gt;=VLOOKUP(VLOOKUP(P$1, test!$A$3:$G$32,3,FALSE), test!$J$11:$K$14, 2, FALSE)/1440,VLOOKUP($A11,test!$A$3:$F$32,4,FALSE)=VLOOKUP(P$1,test!$A$3:$F$32,3,FALSE)),1,0)</f>
        <v>0</v>
      </c>
      <c r="Q11" s="2">
        <f>IF(AND(VLOOKUP(Q$1,test!$A$3:$G$32,5,FALSE)-VLOOKUP($A11,test!$A$3:$G$32,6,FALSE)&gt;=VLOOKUP(VLOOKUP(Q$1, test!$A$3:$G$32,3,FALSE), test!$J$11:$K$14, 2, FALSE)/1440,VLOOKUP($A11,test!$A$3:$F$32,4,FALSE)=VLOOKUP(Q$1,test!$A$3:$F$32,3,FALSE)),1,0)</f>
        <v>0</v>
      </c>
      <c r="R11" s="2">
        <f>IF(AND(VLOOKUP(R$1,test!$A$3:$G$32,5,FALSE)-VLOOKUP($A11,test!$A$3:$G$32,6,FALSE)&gt;=VLOOKUP(VLOOKUP(R$1, test!$A$3:$G$32,3,FALSE), test!$J$11:$K$14, 2, FALSE)/1440,VLOOKUP($A11,test!$A$3:$F$32,4,FALSE)=VLOOKUP(R$1,test!$A$3:$F$32,3,FALSE)),1,0)</f>
        <v>0</v>
      </c>
      <c r="S11" s="2">
        <f>IF(AND(VLOOKUP(S$1,test!$A$3:$G$32,5,FALSE)-VLOOKUP($A11,test!$A$3:$G$32,6,FALSE)&gt;=VLOOKUP(VLOOKUP(S$1, test!$A$3:$G$32,3,FALSE), test!$J$11:$K$14, 2, FALSE)/1440,VLOOKUP($A11,test!$A$3:$F$32,4,FALSE)=VLOOKUP(S$1,test!$A$3:$F$32,3,FALSE)),1,0)</f>
        <v>0</v>
      </c>
      <c r="T11" s="2">
        <f>IF(AND(VLOOKUP(T$1,test!$A$3:$G$32,5,FALSE)-VLOOKUP($A11,test!$A$3:$G$32,6,FALSE)&gt;=VLOOKUP(VLOOKUP(T$1, test!$A$3:$G$32,3,FALSE), test!$J$11:$K$14, 2, FALSE)/1440,VLOOKUP($A11,test!$A$3:$F$32,4,FALSE)=VLOOKUP(T$1,test!$A$3:$F$32,3,FALSE)),1,0)</f>
        <v>0</v>
      </c>
      <c r="U11" s="2">
        <f>IF(AND(VLOOKUP(U$1,test!$A$3:$G$32,5,FALSE)-VLOOKUP($A11,test!$A$3:$G$32,6,FALSE)&gt;=VLOOKUP(VLOOKUP(U$1, test!$A$3:$G$32,3,FALSE), test!$J$11:$K$14, 2, FALSE)/1440,VLOOKUP($A11,test!$A$3:$F$32,4,FALSE)=VLOOKUP(U$1,test!$A$3:$F$32,3,FALSE)),1,0)</f>
        <v>0</v>
      </c>
      <c r="V11" s="2">
        <f>IF(AND(VLOOKUP(V$1,test!$A$3:$G$32,5,FALSE)-VLOOKUP($A11,test!$A$3:$G$32,6,FALSE)&gt;=VLOOKUP(VLOOKUP(V$1, test!$A$3:$G$32,3,FALSE), test!$J$11:$K$14, 2, FALSE)/1440,VLOOKUP($A11,test!$A$3:$F$32,4,FALSE)=VLOOKUP(V$1,test!$A$3:$F$32,3,FALSE)),1,0)</f>
        <v>0</v>
      </c>
      <c r="W11" s="2">
        <f>IF(AND(VLOOKUP(W$1,test!$A$3:$G$32,5,FALSE)-VLOOKUP($A11,test!$A$3:$G$32,6,FALSE)&gt;=VLOOKUP(VLOOKUP(W$1, test!$A$3:$G$32,3,FALSE), test!$J$11:$K$14, 2, FALSE)/1440,VLOOKUP($A11,test!$A$3:$F$32,4,FALSE)=VLOOKUP(W$1,test!$A$3:$F$32,3,FALSE)),1,0)</f>
        <v>0</v>
      </c>
      <c r="X11" s="2">
        <f>IF(AND(VLOOKUP(X$1,test!$A$3:$G$32,5,FALSE)-VLOOKUP($A11,test!$A$3:$G$32,6,FALSE)&gt;=VLOOKUP(VLOOKUP(X$1, test!$A$3:$G$32,3,FALSE), test!$J$11:$K$14, 2, FALSE)/1440,VLOOKUP($A11,test!$A$3:$F$32,4,FALSE)=VLOOKUP(X$1,test!$A$3:$F$32,3,FALSE)),1,0)</f>
        <v>0</v>
      </c>
      <c r="Y11" s="2">
        <f>IF(AND(VLOOKUP(Y$1,test!$A$3:$G$32,5,FALSE)-VLOOKUP($A11,test!$A$3:$G$32,6,FALSE)&gt;=VLOOKUP(VLOOKUP(Y$1, test!$A$3:$G$32,3,FALSE), test!$J$11:$K$14, 2, FALSE)/1440,VLOOKUP($A11,test!$A$3:$F$32,4,FALSE)=VLOOKUP(Y$1,test!$A$3:$F$32,3,FALSE)),1,0)</f>
        <v>0</v>
      </c>
      <c r="Z11" s="2">
        <f>IF(AND(VLOOKUP(Z$1,test!$A$3:$G$32,5,FALSE)-VLOOKUP($A11,test!$A$3:$G$32,6,FALSE)&gt;=VLOOKUP(VLOOKUP(Z$1, test!$A$3:$G$32,3,FALSE), test!$J$11:$K$14, 2, FALSE)/1440,VLOOKUP($A11,test!$A$3:$F$32,4,FALSE)=VLOOKUP(Z$1,test!$A$3:$F$32,3,FALSE)),1,0)</f>
        <v>1</v>
      </c>
      <c r="AA11" s="2">
        <f>IF(AND(VLOOKUP(AA$1,test!$A$3:$G$32,5,FALSE)-VLOOKUP($A11,test!$A$3:$G$32,6,FALSE)&gt;=VLOOKUP(VLOOKUP(AA$1, test!$A$3:$G$32,3,FALSE), test!$J$11:$K$14, 2, FALSE)/1440,VLOOKUP($A11,test!$A$3:$F$32,4,FALSE)=VLOOKUP(AA$1,test!$A$3:$F$32,3,FALSE)),1,0)</f>
        <v>1</v>
      </c>
      <c r="AB11" s="2">
        <f>IF(AND(VLOOKUP(AB$1,test!$A$3:$G$32,5,FALSE)-VLOOKUP($A11,test!$A$3:$G$32,6,FALSE)&gt;=VLOOKUP(VLOOKUP(AB$1, test!$A$3:$G$32,3,FALSE), test!$J$11:$K$14, 2, FALSE)/1440,VLOOKUP($A11,test!$A$3:$F$32,4,FALSE)=VLOOKUP(AB$1,test!$A$3:$F$32,3,FALSE)),1,0)</f>
        <v>1</v>
      </c>
      <c r="AC11" s="2">
        <f>IF(AND(VLOOKUP(AC$1,test!$A$3:$G$32,5,FALSE)-VLOOKUP($A11,test!$A$3:$G$32,6,FALSE)&gt;=VLOOKUP(VLOOKUP(AC$1, test!$A$3:$G$32,3,FALSE), test!$J$11:$K$14, 2, FALSE)/1440,VLOOKUP($A11,test!$A$3:$F$32,4,FALSE)=VLOOKUP(AC$1,test!$A$3:$F$32,3,FALSE)),1,0)</f>
        <v>1</v>
      </c>
      <c r="AD11" s="2">
        <f>IF(AND(VLOOKUP(AD$1,test!$A$3:$G$32,5,FALSE)-VLOOKUP($A11,test!$A$3:$G$32,6,FALSE)&gt;=VLOOKUP(VLOOKUP(AD$1, test!$A$3:$G$32,3,FALSE), test!$J$11:$K$14, 2, FALSE)/1440,VLOOKUP($A11,test!$A$3:$F$32,4,FALSE)=VLOOKUP(AD$1,test!$A$3:$F$32,3,FALSE)),1,0)</f>
        <v>0</v>
      </c>
      <c r="AE11" s="2">
        <f>IF(AND(VLOOKUP(AE$1,test!$A$3:$G$32,5,FALSE)-VLOOKUP($A11,test!$A$3:$G$32,6,FALSE)&gt;=VLOOKUP(VLOOKUP(AE$1, test!$A$3:$G$32,3,FALSE), test!$J$11:$K$14, 2, FALSE)/1440,VLOOKUP($A11,test!$A$3:$F$32,4,FALSE)=VLOOKUP(AE$1,test!$A$3:$F$32,3,FALSE)),1,0)</f>
        <v>0</v>
      </c>
      <c r="AF11" s="2">
        <f>IF(AND(VLOOKUP(AF$1,test!$A$3:$G$32,5,FALSE)-VLOOKUP($A11,test!$A$3:$G$32,6,FALSE)&gt;=VLOOKUP(VLOOKUP(AF$1, test!$A$3:$G$32,3,FALSE), test!$J$11:$K$14, 2, FALSE)/1440,VLOOKUP($A11,test!$A$3:$F$32,4,FALSE)=VLOOKUP(AF$1,test!$A$3:$F$32,3,FALSE)),1,0)</f>
        <v>0</v>
      </c>
    </row>
    <row r="12" spans="1:32" x14ac:dyDescent="0.25">
      <c r="A12" t="s">
        <v>20</v>
      </c>
      <c r="B12" s="3">
        <v>1</v>
      </c>
      <c r="C12" s="2">
        <f>IF(AND(VLOOKUP(C$1,test!$A$3:$G$32,5,FALSE)-VLOOKUP($A12,test!$A$3:$G$32,6,FALSE)&gt;=VLOOKUP(VLOOKUP(C$1, test!$A$3:$G$32,3,FALSE), test!$J$11:$K$14, 2, FALSE)/1440,VLOOKUP($A12,test!$A$3:$F$32,4,FALSE)=VLOOKUP(C$1,test!$A$3:$F$32,3,FALSE)),1,0)</f>
        <v>0</v>
      </c>
      <c r="D12" s="2">
        <f>IF(AND(VLOOKUP(D$1,test!$A$3:$G$32,5,FALSE)-VLOOKUP($A12,test!$A$3:$G$32,6,FALSE)&gt;=VLOOKUP(VLOOKUP(D$1, test!$A$3:$G$32,3,FALSE), test!$J$11:$K$14, 2, FALSE)/1440,VLOOKUP($A12,test!$A$3:$F$32,4,FALSE)=VLOOKUP(D$1,test!$A$3:$F$32,3,FALSE)),1,0)</f>
        <v>0</v>
      </c>
      <c r="E12" s="2">
        <f>IF(AND(VLOOKUP(E$1,test!$A$3:$G$32,5,FALSE)-VLOOKUP($A12,test!$A$3:$G$32,6,FALSE)&gt;=VLOOKUP(VLOOKUP(E$1, test!$A$3:$G$32,3,FALSE), test!$J$11:$K$14, 2, FALSE)/1440,VLOOKUP($A12,test!$A$3:$F$32,4,FALSE)=VLOOKUP(E$1,test!$A$3:$F$32,3,FALSE)),1,0)</f>
        <v>0</v>
      </c>
      <c r="F12" s="2">
        <f>IF(AND(VLOOKUP(F$1,test!$A$3:$G$32,5,FALSE)-VLOOKUP($A12,test!$A$3:$G$32,6,FALSE)&gt;=VLOOKUP(VLOOKUP(F$1, test!$A$3:$G$32,3,FALSE), test!$J$11:$K$14, 2, FALSE)/1440,VLOOKUP($A12,test!$A$3:$F$32,4,FALSE)=VLOOKUP(F$1,test!$A$3:$F$32,3,FALSE)),1,0)</f>
        <v>0</v>
      </c>
      <c r="G12" s="2">
        <f>IF(AND(VLOOKUP(G$1,test!$A$3:$G$32,5,FALSE)-VLOOKUP($A12,test!$A$3:$G$32,6,FALSE)&gt;=VLOOKUP(VLOOKUP(G$1, test!$A$3:$G$32,3,FALSE), test!$J$11:$K$14, 2, FALSE)/1440,VLOOKUP($A12,test!$A$3:$F$32,4,FALSE)=VLOOKUP(G$1,test!$A$3:$F$32,3,FALSE)),1,0)</f>
        <v>0</v>
      </c>
      <c r="H12" s="2">
        <f>IF(AND(VLOOKUP(H$1,test!$A$3:$G$32,5,FALSE)-VLOOKUP($A12,test!$A$3:$G$32,6,FALSE)&gt;=VLOOKUP(VLOOKUP(H$1, test!$A$3:$G$32,3,FALSE), test!$J$11:$K$14, 2, FALSE)/1440,VLOOKUP($A12,test!$A$3:$F$32,4,FALSE)=VLOOKUP(H$1,test!$A$3:$F$32,3,FALSE)),1,0)</f>
        <v>0</v>
      </c>
      <c r="I12" s="2">
        <f>IF(AND(VLOOKUP(I$1,test!$A$3:$G$32,5,FALSE)-VLOOKUP($A12,test!$A$3:$G$32,6,FALSE)&gt;=VLOOKUP(VLOOKUP(I$1, test!$A$3:$G$32,3,FALSE), test!$J$11:$K$14, 2, FALSE)/1440,VLOOKUP($A12,test!$A$3:$F$32,4,FALSE)=VLOOKUP(I$1,test!$A$3:$F$32,3,FALSE)),1,0)</f>
        <v>0</v>
      </c>
      <c r="J12" s="2">
        <f>IF(AND(VLOOKUP(J$1,test!$A$3:$G$32,5,FALSE)-VLOOKUP($A12,test!$A$3:$G$32,6,FALSE)&gt;=VLOOKUP(VLOOKUP(J$1, test!$A$3:$G$32,3,FALSE), test!$J$11:$K$14, 2, FALSE)/1440,VLOOKUP($A12,test!$A$3:$F$32,4,FALSE)=VLOOKUP(J$1,test!$A$3:$F$32,3,FALSE)),1,0)</f>
        <v>0</v>
      </c>
      <c r="K12" s="2">
        <f>IF(AND(VLOOKUP(K$1,test!$A$3:$G$32,5,FALSE)-VLOOKUP($A12,test!$A$3:$G$32,6,FALSE)&gt;=VLOOKUP(VLOOKUP(K$1, test!$A$3:$G$32,3,FALSE), test!$J$11:$K$14, 2, FALSE)/1440,VLOOKUP($A12,test!$A$3:$F$32,4,FALSE)=VLOOKUP(K$1,test!$A$3:$F$32,3,FALSE)),1,0)</f>
        <v>0</v>
      </c>
      <c r="L12" s="2">
        <f>IF(AND(VLOOKUP(L$1,test!$A$3:$G$32,5,FALSE)-VLOOKUP($A12,test!$A$3:$G$32,6,FALSE)&gt;=VLOOKUP(VLOOKUP(L$1, test!$A$3:$G$32,3,FALSE), test!$J$11:$K$14, 2, FALSE)/1440,VLOOKUP($A12,test!$A$3:$F$32,4,FALSE)=VLOOKUP(L$1,test!$A$3:$F$32,3,FALSE)),1,0)</f>
        <v>0</v>
      </c>
      <c r="M12" s="2">
        <f>IF(AND(VLOOKUP(M$1,test!$A$3:$G$32,5,FALSE)-VLOOKUP($A12,test!$A$3:$G$32,6,FALSE)&gt;=VLOOKUP(VLOOKUP(M$1, test!$A$3:$G$32,3,FALSE), test!$J$11:$K$14, 2, FALSE)/1440,VLOOKUP($A12,test!$A$3:$F$32,4,FALSE)=VLOOKUP(M$1,test!$A$3:$F$32,3,FALSE)),1,0)</f>
        <v>0</v>
      </c>
      <c r="N12" s="2">
        <f>IF(AND(VLOOKUP(N$1,test!$A$3:$G$32,5,FALSE)-VLOOKUP($A12,test!$A$3:$G$32,6,FALSE)&gt;=VLOOKUP(VLOOKUP(N$1, test!$A$3:$G$32,3,FALSE), test!$J$11:$K$14, 2, FALSE)/1440,VLOOKUP($A12,test!$A$3:$F$32,4,FALSE)=VLOOKUP(N$1,test!$A$3:$F$32,3,FALSE)),1,0)</f>
        <v>0</v>
      </c>
      <c r="O12" s="2">
        <f>IF(AND(VLOOKUP(O$1,test!$A$3:$G$32,5,FALSE)-VLOOKUP($A12,test!$A$3:$G$32,6,FALSE)&gt;=VLOOKUP(VLOOKUP(O$1, test!$A$3:$G$32,3,FALSE), test!$J$11:$K$14, 2, FALSE)/1440,VLOOKUP($A12,test!$A$3:$F$32,4,FALSE)=VLOOKUP(O$1,test!$A$3:$F$32,3,FALSE)),1,0)</f>
        <v>0</v>
      </c>
      <c r="P12" s="2">
        <f>IF(AND(VLOOKUP(P$1,test!$A$3:$G$32,5,FALSE)-VLOOKUP($A12,test!$A$3:$G$32,6,FALSE)&gt;=VLOOKUP(VLOOKUP(P$1, test!$A$3:$G$32,3,FALSE), test!$J$11:$K$14, 2, FALSE)/1440,VLOOKUP($A12,test!$A$3:$F$32,4,FALSE)=VLOOKUP(P$1,test!$A$3:$F$32,3,FALSE)),1,0)</f>
        <v>0</v>
      </c>
      <c r="Q12" s="2">
        <f>IF(AND(VLOOKUP(Q$1,test!$A$3:$G$32,5,FALSE)-VLOOKUP($A12,test!$A$3:$G$32,6,FALSE)&gt;=VLOOKUP(VLOOKUP(Q$1, test!$A$3:$G$32,3,FALSE), test!$J$11:$K$14, 2, FALSE)/1440,VLOOKUP($A12,test!$A$3:$F$32,4,FALSE)=VLOOKUP(Q$1,test!$A$3:$F$32,3,FALSE)),1,0)</f>
        <v>0</v>
      </c>
      <c r="R12" s="2">
        <f>IF(AND(VLOOKUP(R$1,test!$A$3:$G$32,5,FALSE)-VLOOKUP($A12,test!$A$3:$G$32,6,FALSE)&gt;=VLOOKUP(VLOOKUP(R$1, test!$A$3:$G$32,3,FALSE), test!$J$11:$K$14, 2, FALSE)/1440,VLOOKUP($A12,test!$A$3:$F$32,4,FALSE)=VLOOKUP(R$1,test!$A$3:$F$32,3,FALSE)),1,0)</f>
        <v>0</v>
      </c>
      <c r="S12" s="2">
        <f>IF(AND(VLOOKUP(S$1,test!$A$3:$G$32,5,FALSE)-VLOOKUP($A12,test!$A$3:$G$32,6,FALSE)&gt;=VLOOKUP(VLOOKUP(S$1, test!$A$3:$G$32,3,FALSE), test!$J$11:$K$14, 2, FALSE)/1440,VLOOKUP($A12,test!$A$3:$F$32,4,FALSE)=VLOOKUP(S$1,test!$A$3:$F$32,3,FALSE)),1,0)</f>
        <v>0</v>
      </c>
      <c r="T12" s="2">
        <f>IF(AND(VLOOKUP(T$1,test!$A$3:$G$32,5,FALSE)-VLOOKUP($A12,test!$A$3:$G$32,6,FALSE)&gt;=VLOOKUP(VLOOKUP(T$1, test!$A$3:$G$32,3,FALSE), test!$J$11:$K$14, 2, FALSE)/1440,VLOOKUP($A12,test!$A$3:$F$32,4,FALSE)=VLOOKUP(T$1,test!$A$3:$F$32,3,FALSE)),1,0)</f>
        <v>0</v>
      </c>
      <c r="U12" s="2">
        <f>IF(AND(VLOOKUP(U$1,test!$A$3:$G$32,5,FALSE)-VLOOKUP($A12,test!$A$3:$G$32,6,FALSE)&gt;=VLOOKUP(VLOOKUP(U$1, test!$A$3:$G$32,3,FALSE), test!$J$11:$K$14, 2, FALSE)/1440,VLOOKUP($A12,test!$A$3:$F$32,4,FALSE)=VLOOKUP(U$1,test!$A$3:$F$32,3,FALSE)),1,0)</f>
        <v>0</v>
      </c>
      <c r="V12" s="2">
        <f>IF(AND(VLOOKUP(V$1,test!$A$3:$G$32,5,FALSE)-VLOOKUP($A12,test!$A$3:$G$32,6,FALSE)&gt;=VLOOKUP(VLOOKUP(V$1, test!$A$3:$G$32,3,FALSE), test!$J$11:$K$14, 2, FALSE)/1440,VLOOKUP($A12,test!$A$3:$F$32,4,FALSE)=VLOOKUP(V$1,test!$A$3:$F$32,3,FALSE)),1,0)</f>
        <v>0</v>
      </c>
      <c r="W12" s="2">
        <f>IF(AND(VLOOKUP(W$1,test!$A$3:$G$32,5,FALSE)-VLOOKUP($A12,test!$A$3:$G$32,6,FALSE)&gt;=VLOOKUP(VLOOKUP(W$1, test!$A$3:$G$32,3,FALSE), test!$J$11:$K$14, 2, FALSE)/1440,VLOOKUP($A12,test!$A$3:$F$32,4,FALSE)=VLOOKUP(W$1,test!$A$3:$F$32,3,FALSE)),1,0)</f>
        <v>0</v>
      </c>
      <c r="X12" s="2">
        <f>IF(AND(VLOOKUP(X$1,test!$A$3:$G$32,5,FALSE)-VLOOKUP($A12,test!$A$3:$G$32,6,FALSE)&gt;=VLOOKUP(VLOOKUP(X$1, test!$A$3:$G$32,3,FALSE), test!$J$11:$K$14, 2, FALSE)/1440,VLOOKUP($A12,test!$A$3:$F$32,4,FALSE)=VLOOKUP(X$1,test!$A$3:$F$32,3,FALSE)),1,0)</f>
        <v>0</v>
      </c>
      <c r="Y12" s="2">
        <f>IF(AND(VLOOKUP(Y$1,test!$A$3:$G$32,5,FALSE)-VLOOKUP($A12,test!$A$3:$G$32,6,FALSE)&gt;=VLOOKUP(VLOOKUP(Y$1, test!$A$3:$G$32,3,FALSE), test!$J$11:$K$14, 2, FALSE)/1440,VLOOKUP($A12,test!$A$3:$F$32,4,FALSE)=VLOOKUP(Y$1,test!$A$3:$F$32,3,FALSE)),1,0)</f>
        <v>0</v>
      </c>
      <c r="Z12" s="2">
        <f>IF(AND(VLOOKUP(Z$1,test!$A$3:$G$32,5,FALSE)-VLOOKUP($A12,test!$A$3:$G$32,6,FALSE)&gt;=VLOOKUP(VLOOKUP(Z$1, test!$A$3:$G$32,3,FALSE), test!$J$11:$K$14, 2, FALSE)/1440,VLOOKUP($A12,test!$A$3:$F$32,4,FALSE)=VLOOKUP(Z$1,test!$A$3:$F$32,3,FALSE)),1,0)</f>
        <v>0</v>
      </c>
      <c r="AA12" s="2">
        <f>IF(AND(VLOOKUP(AA$1,test!$A$3:$G$32,5,FALSE)-VLOOKUP($A12,test!$A$3:$G$32,6,FALSE)&gt;=VLOOKUP(VLOOKUP(AA$1, test!$A$3:$G$32,3,FALSE), test!$J$11:$K$14, 2, FALSE)/1440,VLOOKUP($A12,test!$A$3:$F$32,4,FALSE)=VLOOKUP(AA$1,test!$A$3:$F$32,3,FALSE)),1,0)</f>
        <v>1</v>
      </c>
      <c r="AB12" s="2">
        <f>IF(AND(VLOOKUP(AB$1,test!$A$3:$G$32,5,FALSE)-VLOOKUP($A12,test!$A$3:$G$32,6,FALSE)&gt;=VLOOKUP(VLOOKUP(AB$1, test!$A$3:$G$32,3,FALSE), test!$J$11:$K$14, 2, FALSE)/1440,VLOOKUP($A12,test!$A$3:$F$32,4,FALSE)=VLOOKUP(AB$1,test!$A$3:$F$32,3,FALSE)),1,0)</f>
        <v>1</v>
      </c>
      <c r="AC12" s="2">
        <f>IF(AND(VLOOKUP(AC$1,test!$A$3:$G$32,5,FALSE)-VLOOKUP($A12,test!$A$3:$G$32,6,FALSE)&gt;=VLOOKUP(VLOOKUP(AC$1, test!$A$3:$G$32,3,FALSE), test!$J$11:$K$14, 2, FALSE)/1440,VLOOKUP($A12,test!$A$3:$F$32,4,FALSE)=VLOOKUP(AC$1,test!$A$3:$F$32,3,FALSE)),1,0)</f>
        <v>1</v>
      </c>
      <c r="AD12" s="2">
        <f>IF(AND(VLOOKUP(AD$1,test!$A$3:$G$32,5,FALSE)-VLOOKUP($A12,test!$A$3:$G$32,6,FALSE)&gt;=VLOOKUP(VLOOKUP(AD$1, test!$A$3:$G$32,3,FALSE), test!$J$11:$K$14, 2, FALSE)/1440,VLOOKUP($A12,test!$A$3:$F$32,4,FALSE)=VLOOKUP(AD$1,test!$A$3:$F$32,3,FALSE)),1,0)</f>
        <v>0</v>
      </c>
      <c r="AE12" s="2">
        <f>IF(AND(VLOOKUP(AE$1,test!$A$3:$G$32,5,FALSE)-VLOOKUP($A12,test!$A$3:$G$32,6,FALSE)&gt;=VLOOKUP(VLOOKUP(AE$1, test!$A$3:$G$32,3,FALSE), test!$J$11:$K$14, 2, FALSE)/1440,VLOOKUP($A12,test!$A$3:$F$32,4,FALSE)=VLOOKUP(AE$1,test!$A$3:$F$32,3,FALSE)),1,0)</f>
        <v>0</v>
      </c>
      <c r="AF12" s="2">
        <f>IF(AND(VLOOKUP(AF$1,test!$A$3:$G$32,5,FALSE)-VLOOKUP($A12,test!$A$3:$G$32,6,FALSE)&gt;=VLOOKUP(VLOOKUP(AF$1, test!$A$3:$G$32,3,FALSE), test!$J$11:$K$14, 2, FALSE)/1440,VLOOKUP($A12,test!$A$3:$F$32,4,FALSE)=VLOOKUP(AF$1,test!$A$3:$F$32,3,FALSE)),1,0)</f>
        <v>0</v>
      </c>
    </row>
    <row r="13" spans="1:32" x14ac:dyDescent="0.25">
      <c r="A13" t="s">
        <v>21</v>
      </c>
      <c r="B13" s="3">
        <v>1</v>
      </c>
      <c r="C13" s="2">
        <f>IF(AND(VLOOKUP(C$1,test!$A$3:$G$32,5,FALSE)-VLOOKUP($A13,test!$A$3:$G$32,6,FALSE)&gt;=VLOOKUP(VLOOKUP(C$1, test!$A$3:$G$32,3,FALSE), test!$J$11:$K$14, 2, FALSE)/1440,VLOOKUP($A13,test!$A$3:$F$32,4,FALSE)=VLOOKUP(C$1,test!$A$3:$F$32,3,FALSE)),1,0)</f>
        <v>0</v>
      </c>
      <c r="D13" s="2">
        <f>IF(AND(VLOOKUP(D$1,test!$A$3:$G$32,5,FALSE)-VLOOKUP($A13,test!$A$3:$G$32,6,FALSE)&gt;=VLOOKUP(VLOOKUP(D$1, test!$A$3:$G$32,3,FALSE), test!$J$11:$K$14, 2, FALSE)/1440,VLOOKUP($A13,test!$A$3:$F$32,4,FALSE)=VLOOKUP(D$1,test!$A$3:$F$32,3,FALSE)),1,0)</f>
        <v>0</v>
      </c>
      <c r="E13" s="2">
        <f>IF(AND(VLOOKUP(E$1,test!$A$3:$G$32,5,FALSE)-VLOOKUP($A13,test!$A$3:$G$32,6,FALSE)&gt;=VLOOKUP(VLOOKUP(E$1, test!$A$3:$G$32,3,FALSE), test!$J$11:$K$14, 2, FALSE)/1440,VLOOKUP($A13,test!$A$3:$F$32,4,FALSE)=VLOOKUP(E$1,test!$A$3:$F$32,3,FALSE)),1,0)</f>
        <v>0</v>
      </c>
      <c r="F13" s="2">
        <f>IF(AND(VLOOKUP(F$1,test!$A$3:$G$32,5,FALSE)-VLOOKUP($A13,test!$A$3:$G$32,6,FALSE)&gt;=VLOOKUP(VLOOKUP(F$1, test!$A$3:$G$32,3,FALSE), test!$J$11:$K$14, 2, FALSE)/1440,VLOOKUP($A13,test!$A$3:$F$32,4,FALSE)=VLOOKUP(F$1,test!$A$3:$F$32,3,FALSE)),1,0)</f>
        <v>0</v>
      </c>
      <c r="G13" s="2">
        <f>IF(AND(VLOOKUP(G$1,test!$A$3:$G$32,5,FALSE)-VLOOKUP($A13,test!$A$3:$G$32,6,FALSE)&gt;=VLOOKUP(VLOOKUP(G$1, test!$A$3:$G$32,3,FALSE), test!$J$11:$K$14, 2, FALSE)/1440,VLOOKUP($A13,test!$A$3:$F$32,4,FALSE)=VLOOKUP(G$1,test!$A$3:$F$32,3,FALSE)),1,0)</f>
        <v>0</v>
      </c>
      <c r="H13" s="2">
        <f>IF(AND(VLOOKUP(H$1,test!$A$3:$G$32,5,FALSE)-VLOOKUP($A13,test!$A$3:$G$32,6,FALSE)&gt;=VLOOKUP(VLOOKUP(H$1, test!$A$3:$G$32,3,FALSE), test!$J$11:$K$14, 2, FALSE)/1440,VLOOKUP($A13,test!$A$3:$F$32,4,FALSE)=VLOOKUP(H$1,test!$A$3:$F$32,3,FALSE)),1,0)</f>
        <v>0</v>
      </c>
      <c r="I13" s="2">
        <f>IF(AND(VLOOKUP(I$1,test!$A$3:$G$32,5,FALSE)-VLOOKUP($A13,test!$A$3:$G$32,6,FALSE)&gt;=VLOOKUP(VLOOKUP(I$1, test!$A$3:$G$32,3,FALSE), test!$J$11:$K$14, 2, FALSE)/1440,VLOOKUP($A13,test!$A$3:$F$32,4,FALSE)=VLOOKUP(I$1,test!$A$3:$F$32,3,FALSE)),1,0)</f>
        <v>0</v>
      </c>
      <c r="J13" s="2">
        <f>IF(AND(VLOOKUP(J$1,test!$A$3:$G$32,5,FALSE)-VLOOKUP($A13,test!$A$3:$G$32,6,FALSE)&gt;=VLOOKUP(VLOOKUP(J$1, test!$A$3:$G$32,3,FALSE), test!$J$11:$K$14, 2, FALSE)/1440,VLOOKUP($A13,test!$A$3:$F$32,4,FALSE)=VLOOKUP(J$1,test!$A$3:$F$32,3,FALSE)),1,0)</f>
        <v>0</v>
      </c>
      <c r="K13" s="2">
        <f>IF(AND(VLOOKUP(K$1,test!$A$3:$G$32,5,FALSE)-VLOOKUP($A13,test!$A$3:$G$32,6,FALSE)&gt;=VLOOKUP(VLOOKUP(K$1, test!$A$3:$G$32,3,FALSE), test!$J$11:$K$14, 2, FALSE)/1440,VLOOKUP($A13,test!$A$3:$F$32,4,FALSE)=VLOOKUP(K$1,test!$A$3:$F$32,3,FALSE)),1,0)</f>
        <v>0</v>
      </c>
      <c r="L13" s="2">
        <f>IF(AND(VLOOKUP(L$1,test!$A$3:$G$32,5,FALSE)-VLOOKUP($A13,test!$A$3:$G$32,6,FALSE)&gt;=VLOOKUP(VLOOKUP(L$1, test!$A$3:$G$32,3,FALSE), test!$J$11:$K$14, 2, FALSE)/1440,VLOOKUP($A13,test!$A$3:$F$32,4,FALSE)=VLOOKUP(L$1,test!$A$3:$F$32,3,FALSE)),1,0)</f>
        <v>0</v>
      </c>
      <c r="M13" s="2">
        <f>IF(AND(VLOOKUP(M$1,test!$A$3:$G$32,5,FALSE)-VLOOKUP($A13,test!$A$3:$G$32,6,FALSE)&gt;=VLOOKUP(VLOOKUP(M$1, test!$A$3:$G$32,3,FALSE), test!$J$11:$K$14, 2, FALSE)/1440,VLOOKUP($A13,test!$A$3:$F$32,4,FALSE)=VLOOKUP(M$1,test!$A$3:$F$32,3,FALSE)),1,0)</f>
        <v>0</v>
      </c>
      <c r="N13" s="2">
        <f>IF(AND(VLOOKUP(N$1,test!$A$3:$G$32,5,FALSE)-VLOOKUP($A13,test!$A$3:$G$32,6,FALSE)&gt;=VLOOKUP(VLOOKUP(N$1, test!$A$3:$G$32,3,FALSE), test!$J$11:$K$14, 2, FALSE)/1440,VLOOKUP($A13,test!$A$3:$F$32,4,FALSE)=VLOOKUP(N$1,test!$A$3:$F$32,3,FALSE)),1,0)</f>
        <v>0</v>
      </c>
      <c r="O13" s="2">
        <f>IF(AND(VLOOKUP(O$1,test!$A$3:$G$32,5,FALSE)-VLOOKUP($A13,test!$A$3:$G$32,6,FALSE)&gt;=VLOOKUP(VLOOKUP(O$1, test!$A$3:$G$32,3,FALSE), test!$J$11:$K$14, 2, FALSE)/1440,VLOOKUP($A13,test!$A$3:$F$32,4,FALSE)=VLOOKUP(O$1,test!$A$3:$F$32,3,FALSE)),1,0)</f>
        <v>0</v>
      </c>
      <c r="P13" s="2">
        <f>IF(AND(VLOOKUP(P$1,test!$A$3:$G$32,5,FALSE)-VLOOKUP($A13,test!$A$3:$G$32,6,FALSE)&gt;=VLOOKUP(VLOOKUP(P$1, test!$A$3:$G$32,3,FALSE), test!$J$11:$K$14, 2, FALSE)/1440,VLOOKUP($A13,test!$A$3:$F$32,4,FALSE)=VLOOKUP(P$1,test!$A$3:$F$32,3,FALSE)),1,0)</f>
        <v>0</v>
      </c>
      <c r="Q13" s="2">
        <f>IF(AND(VLOOKUP(Q$1,test!$A$3:$G$32,5,FALSE)-VLOOKUP($A13,test!$A$3:$G$32,6,FALSE)&gt;=VLOOKUP(VLOOKUP(Q$1, test!$A$3:$G$32,3,FALSE), test!$J$11:$K$14, 2, FALSE)/1440,VLOOKUP($A13,test!$A$3:$F$32,4,FALSE)=VLOOKUP(Q$1,test!$A$3:$F$32,3,FALSE)),1,0)</f>
        <v>0</v>
      </c>
      <c r="R13" s="2">
        <f>IF(AND(VLOOKUP(R$1,test!$A$3:$G$32,5,FALSE)-VLOOKUP($A13,test!$A$3:$G$32,6,FALSE)&gt;=VLOOKUP(VLOOKUP(R$1, test!$A$3:$G$32,3,FALSE), test!$J$11:$K$14, 2, FALSE)/1440,VLOOKUP($A13,test!$A$3:$F$32,4,FALSE)=VLOOKUP(R$1,test!$A$3:$F$32,3,FALSE)),1,0)</f>
        <v>0</v>
      </c>
      <c r="S13" s="2">
        <f>IF(AND(VLOOKUP(S$1,test!$A$3:$G$32,5,FALSE)-VLOOKUP($A13,test!$A$3:$G$32,6,FALSE)&gt;=VLOOKUP(VLOOKUP(S$1, test!$A$3:$G$32,3,FALSE), test!$J$11:$K$14, 2, FALSE)/1440,VLOOKUP($A13,test!$A$3:$F$32,4,FALSE)=VLOOKUP(S$1,test!$A$3:$F$32,3,FALSE)),1,0)</f>
        <v>0</v>
      </c>
      <c r="T13" s="2">
        <f>IF(AND(VLOOKUP(T$1,test!$A$3:$G$32,5,FALSE)-VLOOKUP($A13,test!$A$3:$G$32,6,FALSE)&gt;=VLOOKUP(VLOOKUP(T$1, test!$A$3:$G$32,3,FALSE), test!$J$11:$K$14, 2, FALSE)/1440,VLOOKUP($A13,test!$A$3:$F$32,4,FALSE)=VLOOKUP(T$1,test!$A$3:$F$32,3,FALSE)),1,0)</f>
        <v>0</v>
      </c>
      <c r="U13" s="2">
        <f>IF(AND(VLOOKUP(U$1,test!$A$3:$G$32,5,FALSE)-VLOOKUP($A13,test!$A$3:$G$32,6,FALSE)&gt;=VLOOKUP(VLOOKUP(U$1, test!$A$3:$G$32,3,FALSE), test!$J$11:$K$14, 2, FALSE)/1440,VLOOKUP($A13,test!$A$3:$F$32,4,FALSE)=VLOOKUP(U$1,test!$A$3:$F$32,3,FALSE)),1,0)</f>
        <v>0</v>
      </c>
      <c r="V13" s="2">
        <f>IF(AND(VLOOKUP(V$1,test!$A$3:$G$32,5,FALSE)-VLOOKUP($A13,test!$A$3:$G$32,6,FALSE)&gt;=VLOOKUP(VLOOKUP(V$1, test!$A$3:$G$32,3,FALSE), test!$J$11:$K$14, 2, FALSE)/1440,VLOOKUP($A13,test!$A$3:$F$32,4,FALSE)=VLOOKUP(V$1,test!$A$3:$F$32,3,FALSE)),1,0)</f>
        <v>0</v>
      </c>
      <c r="W13" s="2">
        <f>IF(AND(VLOOKUP(W$1,test!$A$3:$G$32,5,FALSE)-VLOOKUP($A13,test!$A$3:$G$32,6,FALSE)&gt;=VLOOKUP(VLOOKUP(W$1, test!$A$3:$G$32,3,FALSE), test!$J$11:$K$14, 2, FALSE)/1440,VLOOKUP($A13,test!$A$3:$F$32,4,FALSE)=VLOOKUP(W$1,test!$A$3:$F$32,3,FALSE)),1,0)</f>
        <v>0</v>
      </c>
      <c r="X13" s="2">
        <f>IF(AND(VLOOKUP(X$1,test!$A$3:$G$32,5,FALSE)-VLOOKUP($A13,test!$A$3:$G$32,6,FALSE)&gt;=VLOOKUP(VLOOKUP(X$1, test!$A$3:$G$32,3,FALSE), test!$J$11:$K$14, 2, FALSE)/1440,VLOOKUP($A13,test!$A$3:$F$32,4,FALSE)=VLOOKUP(X$1,test!$A$3:$F$32,3,FALSE)),1,0)</f>
        <v>0</v>
      </c>
      <c r="Y13" s="2">
        <f>IF(AND(VLOOKUP(Y$1,test!$A$3:$G$32,5,FALSE)-VLOOKUP($A13,test!$A$3:$G$32,6,FALSE)&gt;=VLOOKUP(VLOOKUP(Y$1, test!$A$3:$G$32,3,FALSE), test!$J$11:$K$14, 2, FALSE)/1440,VLOOKUP($A13,test!$A$3:$F$32,4,FALSE)=VLOOKUP(Y$1,test!$A$3:$F$32,3,FALSE)),1,0)</f>
        <v>0</v>
      </c>
      <c r="Z13" s="2">
        <f>IF(AND(VLOOKUP(Z$1,test!$A$3:$G$32,5,FALSE)-VLOOKUP($A13,test!$A$3:$G$32,6,FALSE)&gt;=VLOOKUP(VLOOKUP(Z$1, test!$A$3:$G$32,3,FALSE), test!$J$11:$K$14, 2, FALSE)/1440,VLOOKUP($A13,test!$A$3:$F$32,4,FALSE)=VLOOKUP(Z$1,test!$A$3:$F$32,3,FALSE)),1,0)</f>
        <v>0</v>
      </c>
      <c r="AA13" s="2">
        <f>IF(AND(VLOOKUP(AA$1,test!$A$3:$G$32,5,FALSE)-VLOOKUP($A13,test!$A$3:$G$32,6,FALSE)&gt;=VLOOKUP(VLOOKUP(AA$1, test!$A$3:$G$32,3,FALSE), test!$J$11:$K$14, 2, FALSE)/1440,VLOOKUP($A13,test!$A$3:$F$32,4,FALSE)=VLOOKUP(AA$1,test!$A$3:$F$32,3,FALSE)),1,0)</f>
        <v>0</v>
      </c>
      <c r="AB13" s="2">
        <f>IF(AND(VLOOKUP(AB$1,test!$A$3:$G$32,5,FALSE)-VLOOKUP($A13,test!$A$3:$G$32,6,FALSE)&gt;=VLOOKUP(VLOOKUP(AB$1, test!$A$3:$G$32,3,FALSE), test!$J$11:$K$14, 2, FALSE)/1440,VLOOKUP($A13,test!$A$3:$F$32,4,FALSE)=VLOOKUP(AB$1,test!$A$3:$F$32,3,FALSE)),1,0)</f>
        <v>0</v>
      </c>
      <c r="AC13" s="2">
        <f>IF(AND(VLOOKUP(AC$1,test!$A$3:$G$32,5,FALSE)-VLOOKUP($A13,test!$A$3:$G$32,6,FALSE)&gt;=VLOOKUP(VLOOKUP(AC$1, test!$A$3:$G$32,3,FALSE), test!$J$11:$K$14, 2, FALSE)/1440,VLOOKUP($A13,test!$A$3:$F$32,4,FALSE)=VLOOKUP(AC$1,test!$A$3:$F$32,3,FALSE)),1,0)</f>
        <v>1</v>
      </c>
      <c r="AD13" s="2">
        <f>IF(AND(VLOOKUP(AD$1,test!$A$3:$G$32,5,FALSE)-VLOOKUP($A13,test!$A$3:$G$32,6,FALSE)&gt;=VLOOKUP(VLOOKUP(AD$1, test!$A$3:$G$32,3,FALSE), test!$J$11:$K$14, 2, FALSE)/1440,VLOOKUP($A13,test!$A$3:$F$32,4,FALSE)=VLOOKUP(AD$1,test!$A$3:$F$32,3,FALSE)),1,0)</f>
        <v>0</v>
      </c>
      <c r="AE13" s="2">
        <f>IF(AND(VLOOKUP(AE$1,test!$A$3:$G$32,5,FALSE)-VLOOKUP($A13,test!$A$3:$G$32,6,FALSE)&gt;=VLOOKUP(VLOOKUP(AE$1, test!$A$3:$G$32,3,FALSE), test!$J$11:$K$14, 2, FALSE)/1440,VLOOKUP($A13,test!$A$3:$F$32,4,FALSE)=VLOOKUP(AE$1,test!$A$3:$F$32,3,FALSE)),1,0)</f>
        <v>0</v>
      </c>
      <c r="AF13" s="2">
        <f>IF(AND(VLOOKUP(AF$1,test!$A$3:$G$32,5,FALSE)-VLOOKUP($A13,test!$A$3:$G$32,6,FALSE)&gt;=VLOOKUP(VLOOKUP(AF$1, test!$A$3:$G$32,3,FALSE), test!$J$11:$K$14, 2, FALSE)/1440,VLOOKUP($A13,test!$A$3:$F$32,4,FALSE)=VLOOKUP(AF$1,test!$A$3:$F$32,3,FALSE)),1,0)</f>
        <v>0</v>
      </c>
    </row>
    <row r="14" spans="1:32" x14ac:dyDescent="0.25">
      <c r="A14" t="s">
        <v>22</v>
      </c>
      <c r="B14" s="3">
        <v>1</v>
      </c>
      <c r="C14" s="2">
        <f>IF(AND(VLOOKUP(C$1,test!$A$3:$G$32,5,FALSE)-VLOOKUP($A14,test!$A$3:$G$32,6,FALSE)&gt;=VLOOKUP(VLOOKUP(C$1, test!$A$3:$G$32,3,FALSE), test!$J$11:$K$14, 2, FALSE)/1440,VLOOKUP($A14,test!$A$3:$F$32,4,FALSE)=VLOOKUP(C$1,test!$A$3:$F$32,3,FALSE)),1,0)</f>
        <v>0</v>
      </c>
      <c r="D14" s="2">
        <f>IF(AND(VLOOKUP(D$1,test!$A$3:$G$32,5,FALSE)-VLOOKUP($A14,test!$A$3:$G$32,6,FALSE)&gt;=VLOOKUP(VLOOKUP(D$1, test!$A$3:$G$32,3,FALSE), test!$J$11:$K$14, 2, FALSE)/1440,VLOOKUP($A14,test!$A$3:$F$32,4,FALSE)=VLOOKUP(D$1,test!$A$3:$F$32,3,FALSE)),1,0)</f>
        <v>0</v>
      </c>
      <c r="E14" s="2">
        <f>IF(AND(VLOOKUP(E$1,test!$A$3:$G$32,5,FALSE)-VLOOKUP($A14,test!$A$3:$G$32,6,FALSE)&gt;=VLOOKUP(VLOOKUP(E$1, test!$A$3:$G$32,3,FALSE), test!$J$11:$K$14, 2, FALSE)/1440,VLOOKUP($A14,test!$A$3:$F$32,4,FALSE)=VLOOKUP(E$1,test!$A$3:$F$32,3,FALSE)),1,0)</f>
        <v>0</v>
      </c>
      <c r="F14" s="2">
        <f>IF(AND(VLOOKUP(F$1,test!$A$3:$G$32,5,FALSE)-VLOOKUP($A14,test!$A$3:$G$32,6,FALSE)&gt;=VLOOKUP(VLOOKUP(F$1, test!$A$3:$G$32,3,FALSE), test!$J$11:$K$14, 2, FALSE)/1440,VLOOKUP($A14,test!$A$3:$F$32,4,FALSE)=VLOOKUP(F$1,test!$A$3:$F$32,3,FALSE)),1,0)</f>
        <v>0</v>
      </c>
      <c r="G14" s="2">
        <f>IF(AND(VLOOKUP(G$1,test!$A$3:$G$32,5,FALSE)-VLOOKUP($A14,test!$A$3:$G$32,6,FALSE)&gt;=VLOOKUP(VLOOKUP(G$1, test!$A$3:$G$32,3,FALSE), test!$J$11:$K$14, 2, FALSE)/1440,VLOOKUP($A14,test!$A$3:$F$32,4,FALSE)=VLOOKUP(G$1,test!$A$3:$F$32,3,FALSE)),1,0)</f>
        <v>0</v>
      </c>
      <c r="H14" s="2">
        <f>IF(AND(VLOOKUP(H$1,test!$A$3:$G$32,5,FALSE)-VLOOKUP($A14,test!$A$3:$G$32,6,FALSE)&gt;=VLOOKUP(VLOOKUP(H$1, test!$A$3:$G$32,3,FALSE), test!$J$11:$K$14, 2, FALSE)/1440,VLOOKUP($A14,test!$A$3:$F$32,4,FALSE)=VLOOKUP(H$1,test!$A$3:$F$32,3,FALSE)),1,0)</f>
        <v>0</v>
      </c>
      <c r="I14" s="2">
        <f>IF(AND(VLOOKUP(I$1,test!$A$3:$G$32,5,FALSE)-VLOOKUP($A14,test!$A$3:$G$32,6,FALSE)&gt;=VLOOKUP(VLOOKUP(I$1, test!$A$3:$G$32,3,FALSE), test!$J$11:$K$14, 2, FALSE)/1440,VLOOKUP($A14,test!$A$3:$F$32,4,FALSE)=VLOOKUP(I$1,test!$A$3:$F$32,3,FALSE)),1,0)</f>
        <v>0</v>
      </c>
      <c r="J14" s="2">
        <f>IF(AND(VLOOKUP(J$1,test!$A$3:$G$32,5,FALSE)-VLOOKUP($A14,test!$A$3:$G$32,6,FALSE)&gt;=VLOOKUP(VLOOKUP(J$1, test!$A$3:$G$32,3,FALSE), test!$J$11:$K$14, 2, FALSE)/1440,VLOOKUP($A14,test!$A$3:$F$32,4,FALSE)=VLOOKUP(J$1,test!$A$3:$F$32,3,FALSE)),1,0)</f>
        <v>0</v>
      </c>
      <c r="K14" s="2">
        <f>IF(AND(VLOOKUP(K$1,test!$A$3:$G$32,5,FALSE)-VLOOKUP($A14,test!$A$3:$G$32,6,FALSE)&gt;=VLOOKUP(VLOOKUP(K$1, test!$A$3:$G$32,3,FALSE), test!$J$11:$K$14, 2, FALSE)/1440,VLOOKUP($A14,test!$A$3:$F$32,4,FALSE)=VLOOKUP(K$1,test!$A$3:$F$32,3,FALSE)),1,0)</f>
        <v>0</v>
      </c>
      <c r="L14" s="2">
        <f>IF(AND(VLOOKUP(L$1,test!$A$3:$G$32,5,FALSE)-VLOOKUP($A14,test!$A$3:$G$32,6,FALSE)&gt;=VLOOKUP(VLOOKUP(L$1, test!$A$3:$G$32,3,FALSE), test!$J$11:$K$14, 2, FALSE)/1440,VLOOKUP($A14,test!$A$3:$F$32,4,FALSE)=VLOOKUP(L$1,test!$A$3:$F$32,3,FALSE)),1,0)</f>
        <v>0</v>
      </c>
      <c r="M14" s="2">
        <f>IF(AND(VLOOKUP(M$1,test!$A$3:$G$32,5,FALSE)-VLOOKUP($A14,test!$A$3:$G$32,6,FALSE)&gt;=VLOOKUP(VLOOKUP(M$1, test!$A$3:$G$32,3,FALSE), test!$J$11:$K$14, 2, FALSE)/1440,VLOOKUP($A14,test!$A$3:$F$32,4,FALSE)=VLOOKUP(M$1,test!$A$3:$F$32,3,FALSE)),1,0)</f>
        <v>0</v>
      </c>
      <c r="N14" s="2">
        <f>IF(AND(VLOOKUP(N$1,test!$A$3:$G$32,5,FALSE)-VLOOKUP($A14,test!$A$3:$G$32,6,FALSE)&gt;=VLOOKUP(VLOOKUP(N$1, test!$A$3:$G$32,3,FALSE), test!$J$11:$K$14, 2, FALSE)/1440,VLOOKUP($A14,test!$A$3:$F$32,4,FALSE)=VLOOKUP(N$1,test!$A$3:$F$32,3,FALSE)),1,0)</f>
        <v>0</v>
      </c>
      <c r="O14" s="2">
        <f>IF(AND(VLOOKUP(O$1,test!$A$3:$G$32,5,FALSE)-VLOOKUP($A14,test!$A$3:$G$32,6,FALSE)&gt;=VLOOKUP(VLOOKUP(O$1, test!$A$3:$G$32,3,FALSE), test!$J$11:$K$14, 2, FALSE)/1440,VLOOKUP($A14,test!$A$3:$F$32,4,FALSE)=VLOOKUP(O$1,test!$A$3:$F$32,3,FALSE)),1,0)</f>
        <v>0</v>
      </c>
      <c r="P14" s="2">
        <f>IF(AND(VLOOKUP(P$1,test!$A$3:$G$32,5,FALSE)-VLOOKUP($A14,test!$A$3:$G$32,6,FALSE)&gt;=VLOOKUP(VLOOKUP(P$1, test!$A$3:$G$32,3,FALSE), test!$J$11:$K$14, 2, FALSE)/1440,VLOOKUP($A14,test!$A$3:$F$32,4,FALSE)=VLOOKUP(P$1,test!$A$3:$F$32,3,FALSE)),1,0)</f>
        <v>0</v>
      </c>
      <c r="Q14" s="2">
        <f>IF(AND(VLOOKUP(Q$1,test!$A$3:$G$32,5,FALSE)-VLOOKUP($A14,test!$A$3:$G$32,6,FALSE)&gt;=VLOOKUP(VLOOKUP(Q$1, test!$A$3:$G$32,3,FALSE), test!$J$11:$K$14, 2, FALSE)/1440,VLOOKUP($A14,test!$A$3:$F$32,4,FALSE)=VLOOKUP(Q$1,test!$A$3:$F$32,3,FALSE)),1,0)</f>
        <v>0</v>
      </c>
      <c r="R14" s="2">
        <f>IF(AND(VLOOKUP(R$1,test!$A$3:$G$32,5,FALSE)-VLOOKUP($A14,test!$A$3:$G$32,6,FALSE)&gt;=VLOOKUP(VLOOKUP(R$1, test!$A$3:$G$32,3,FALSE), test!$J$11:$K$14, 2, FALSE)/1440,VLOOKUP($A14,test!$A$3:$F$32,4,FALSE)=VLOOKUP(R$1,test!$A$3:$F$32,3,FALSE)),1,0)</f>
        <v>0</v>
      </c>
      <c r="S14" s="2">
        <f>IF(AND(VLOOKUP(S$1,test!$A$3:$G$32,5,FALSE)-VLOOKUP($A14,test!$A$3:$G$32,6,FALSE)&gt;=VLOOKUP(VLOOKUP(S$1, test!$A$3:$G$32,3,FALSE), test!$J$11:$K$14, 2, FALSE)/1440,VLOOKUP($A14,test!$A$3:$F$32,4,FALSE)=VLOOKUP(S$1,test!$A$3:$F$32,3,FALSE)),1,0)</f>
        <v>0</v>
      </c>
      <c r="T14" s="2">
        <f>IF(AND(VLOOKUP(T$1,test!$A$3:$G$32,5,FALSE)-VLOOKUP($A14,test!$A$3:$G$32,6,FALSE)&gt;=VLOOKUP(VLOOKUP(T$1, test!$A$3:$G$32,3,FALSE), test!$J$11:$K$14, 2, FALSE)/1440,VLOOKUP($A14,test!$A$3:$F$32,4,FALSE)=VLOOKUP(T$1,test!$A$3:$F$32,3,FALSE)),1,0)</f>
        <v>0</v>
      </c>
      <c r="U14" s="2">
        <f>IF(AND(VLOOKUP(U$1,test!$A$3:$G$32,5,FALSE)-VLOOKUP($A14,test!$A$3:$G$32,6,FALSE)&gt;=VLOOKUP(VLOOKUP(U$1, test!$A$3:$G$32,3,FALSE), test!$J$11:$K$14, 2, FALSE)/1440,VLOOKUP($A14,test!$A$3:$F$32,4,FALSE)=VLOOKUP(U$1,test!$A$3:$F$32,3,FALSE)),1,0)</f>
        <v>0</v>
      </c>
      <c r="V14" s="2">
        <f>IF(AND(VLOOKUP(V$1,test!$A$3:$G$32,5,FALSE)-VLOOKUP($A14,test!$A$3:$G$32,6,FALSE)&gt;=VLOOKUP(VLOOKUP(V$1, test!$A$3:$G$32,3,FALSE), test!$J$11:$K$14, 2, FALSE)/1440,VLOOKUP($A14,test!$A$3:$F$32,4,FALSE)=VLOOKUP(V$1,test!$A$3:$F$32,3,FALSE)),1,0)</f>
        <v>0</v>
      </c>
      <c r="W14" s="2">
        <f>IF(AND(VLOOKUP(W$1,test!$A$3:$G$32,5,FALSE)-VLOOKUP($A14,test!$A$3:$G$32,6,FALSE)&gt;=VLOOKUP(VLOOKUP(W$1, test!$A$3:$G$32,3,FALSE), test!$J$11:$K$14, 2, FALSE)/1440,VLOOKUP($A14,test!$A$3:$F$32,4,FALSE)=VLOOKUP(W$1,test!$A$3:$F$32,3,FALSE)),1,0)</f>
        <v>0</v>
      </c>
      <c r="X14" s="2">
        <f>IF(AND(VLOOKUP(X$1,test!$A$3:$G$32,5,FALSE)-VLOOKUP($A14,test!$A$3:$G$32,6,FALSE)&gt;=VLOOKUP(VLOOKUP(X$1, test!$A$3:$G$32,3,FALSE), test!$J$11:$K$14, 2, FALSE)/1440,VLOOKUP($A14,test!$A$3:$F$32,4,FALSE)=VLOOKUP(X$1,test!$A$3:$F$32,3,FALSE)),1,0)</f>
        <v>0</v>
      </c>
      <c r="Y14" s="2">
        <f>IF(AND(VLOOKUP(Y$1,test!$A$3:$G$32,5,FALSE)-VLOOKUP($A14,test!$A$3:$G$32,6,FALSE)&gt;=VLOOKUP(VLOOKUP(Y$1, test!$A$3:$G$32,3,FALSE), test!$J$11:$K$14, 2, FALSE)/1440,VLOOKUP($A14,test!$A$3:$F$32,4,FALSE)=VLOOKUP(Y$1,test!$A$3:$F$32,3,FALSE)),1,0)</f>
        <v>0</v>
      </c>
      <c r="Z14" s="2">
        <f>IF(AND(VLOOKUP(Z$1,test!$A$3:$G$32,5,FALSE)-VLOOKUP($A14,test!$A$3:$G$32,6,FALSE)&gt;=VLOOKUP(VLOOKUP(Z$1, test!$A$3:$G$32,3,FALSE), test!$J$11:$K$14, 2, FALSE)/1440,VLOOKUP($A14,test!$A$3:$F$32,4,FALSE)=VLOOKUP(Z$1,test!$A$3:$F$32,3,FALSE)),1,0)</f>
        <v>0</v>
      </c>
      <c r="AA14" s="2">
        <f>IF(AND(VLOOKUP(AA$1,test!$A$3:$G$32,5,FALSE)-VLOOKUP($A14,test!$A$3:$G$32,6,FALSE)&gt;=VLOOKUP(VLOOKUP(AA$1, test!$A$3:$G$32,3,FALSE), test!$J$11:$K$14, 2, FALSE)/1440,VLOOKUP($A14,test!$A$3:$F$32,4,FALSE)=VLOOKUP(AA$1,test!$A$3:$F$32,3,FALSE)),1,0)</f>
        <v>0</v>
      </c>
      <c r="AB14" s="2">
        <f>IF(AND(VLOOKUP(AB$1,test!$A$3:$G$32,5,FALSE)-VLOOKUP($A14,test!$A$3:$G$32,6,FALSE)&gt;=VLOOKUP(VLOOKUP(AB$1, test!$A$3:$G$32,3,FALSE), test!$J$11:$K$14, 2, FALSE)/1440,VLOOKUP($A14,test!$A$3:$F$32,4,FALSE)=VLOOKUP(AB$1,test!$A$3:$F$32,3,FALSE)),1,0)</f>
        <v>0</v>
      </c>
      <c r="AC14" s="2">
        <f>IF(AND(VLOOKUP(AC$1,test!$A$3:$G$32,5,FALSE)-VLOOKUP($A14,test!$A$3:$G$32,6,FALSE)&gt;=VLOOKUP(VLOOKUP(AC$1, test!$A$3:$G$32,3,FALSE), test!$J$11:$K$14, 2, FALSE)/1440,VLOOKUP($A14,test!$A$3:$F$32,4,FALSE)=VLOOKUP(AC$1,test!$A$3:$F$32,3,FALSE)),1,0)</f>
        <v>0</v>
      </c>
      <c r="AD14" s="2">
        <f>IF(AND(VLOOKUP(AD$1,test!$A$3:$G$32,5,FALSE)-VLOOKUP($A14,test!$A$3:$G$32,6,FALSE)&gt;=VLOOKUP(VLOOKUP(AD$1, test!$A$3:$G$32,3,FALSE), test!$J$11:$K$14, 2, FALSE)/1440,VLOOKUP($A14,test!$A$3:$F$32,4,FALSE)=VLOOKUP(AD$1,test!$A$3:$F$32,3,FALSE)),1,0)</f>
        <v>0</v>
      </c>
      <c r="AE14" s="2">
        <f>IF(AND(VLOOKUP(AE$1,test!$A$3:$G$32,5,FALSE)-VLOOKUP($A14,test!$A$3:$G$32,6,FALSE)&gt;=VLOOKUP(VLOOKUP(AE$1, test!$A$3:$G$32,3,FALSE), test!$J$11:$K$14, 2, FALSE)/1440,VLOOKUP($A14,test!$A$3:$F$32,4,FALSE)=VLOOKUP(AE$1,test!$A$3:$F$32,3,FALSE)),1,0)</f>
        <v>0</v>
      </c>
      <c r="AF14" s="2">
        <f>IF(AND(VLOOKUP(AF$1,test!$A$3:$G$32,5,FALSE)-VLOOKUP($A14,test!$A$3:$G$32,6,FALSE)&gt;=VLOOKUP(VLOOKUP(AF$1, test!$A$3:$G$32,3,FALSE), test!$J$11:$K$14, 2, FALSE)/1440,VLOOKUP($A14,test!$A$3:$F$32,4,FALSE)=VLOOKUP(AF$1,test!$A$3:$F$32,3,FALSE)),1,0)</f>
        <v>0</v>
      </c>
    </row>
    <row r="15" spans="1:32" x14ac:dyDescent="0.25">
      <c r="A15" t="s">
        <v>23</v>
      </c>
      <c r="B15" s="3">
        <v>1</v>
      </c>
      <c r="C15" s="2">
        <f>IF(AND(VLOOKUP(C$1,test!$A$3:$G$32,5,FALSE)-VLOOKUP($A15,test!$A$3:$G$32,6,FALSE)&gt;=VLOOKUP(VLOOKUP(C$1, test!$A$3:$G$32,3,FALSE), test!$J$11:$K$14, 2, FALSE)/1440,VLOOKUP($A15,test!$A$3:$F$32,4,FALSE)=VLOOKUP(C$1,test!$A$3:$F$32,3,FALSE)),1,0)</f>
        <v>0</v>
      </c>
      <c r="D15" s="2">
        <f>IF(AND(VLOOKUP(D$1,test!$A$3:$G$32,5,FALSE)-VLOOKUP($A15,test!$A$3:$G$32,6,FALSE)&gt;=VLOOKUP(VLOOKUP(D$1, test!$A$3:$G$32,3,FALSE), test!$J$11:$K$14, 2, FALSE)/1440,VLOOKUP($A15,test!$A$3:$F$32,4,FALSE)=VLOOKUP(D$1,test!$A$3:$F$32,3,FALSE)),1,0)</f>
        <v>0</v>
      </c>
      <c r="E15" s="2">
        <f>IF(AND(VLOOKUP(E$1,test!$A$3:$G$32,5,FALSE)-VLOOKUP($A15,test!$A$3:$G$32,6,FALSE)&gt;=VLOOKUP(VLOOKUP(E$1, test!$A$3:$G$32,3,FALSE), test!$J$11:$K$14, 2, FALSE)/1440,VLOOKUP($A15,test!$A$3:$F$32,4,FALSE)=VLOOKUP(E$1,test!$A$3:$F$32,3,FALSE)),1,0)</f>
        <v>0</v>
      </c>
      <c r="F15" s="2">
        <f>IF(AND(VLOOKUP(F$1,test!$A$3:$G$32,5,FALSE)-VLOOKUP($A15,test!$A$3:$G$32,6,FALSE)&gt;=VLOOKUP(VLOOKUP(F$1, test!$A$3:$G$32,3,FALSE), test!$J$11:$K$14, 2, FALSE)/1440,VLOOKUP($A15,test!$A$3:$F$32,4,FALSE)=VLOOKUP(F$1,test!$A$3:$F$32,3,FALSE)),1,0)</f>
        <v>0</v>
      </c>
      <c r="G15" s="2">
        <f>IF(AND(VLOOKUP(G$1,test!$A$3:$G$32,5,FALSE)-VLOOKUP($A15,test!$A$3:$G$32,6,FALSE)&gt;=VLOOKUP(VLOOKUP(G$1, test!$A$3:$G$32,3,FALSE), test!$J$11:$K$14, 2, FALSE)/1440,VLOOKUP($A15,test!$A$3:$F$32,4,FALSE)=VLOOKUP(G$1,test!$A$3:$F$32,3,FALSE)),1,0)</f>
        <v>0</v>
      </c>
      <c r="H15" s="2">
        <f>IF(AND(VLOOKUP(H$1,test!$A$3:$G$32,5,FALSE)-VLOOKUP($A15,test!$A$3:$G$32,6,FALSE)&gt;=VLOOKUP(VLOOKUP(H$1, test!$A$3:$G$32,3,FALSE), test!$J$11:$K$14, 2, FALSE)/1440,VLOOKUP($A15,test!$A$3:$F$32,4,FALSE)=VLOOKUP(H$1,test!$A$3:$F$32,3,FALSE)),1,0)</f>
        <v>0</v>
      </c>
      <c r="I15" s="2">
        <f>IF(AND(VLOOKUP(I$1,test!$A$3:$G$32,5,FALSE)-VLOOKUP($A15,test!$A$3:$G$32,6,FALSE)&gt;=VLOOKUP(VLOOKUP(I$1, test!$A$3:$G$32,3,FALSE), test!$J$11:$K$14, 2, FALSE)/1440,VLOOKUP($A15,test!$A$3:$F$32,4,FALSE)=VLOOKUP(I$1,test!$A$3:$F$32,3,FALSE)),1,0)</f>
        <v>0</v>
      </c>
      <c r="J15" s="2">
        <f>IF(AND(VLOOKUP(J$1,test!$A$3:$G$32,5,FALSE)-VLOOKUP($A15,test!$A$3:$G$32,6,FALSE)&gt;=VLOOKUP(VLOOKUP(J$1, test!$A$3:$G$32,3,FALSE), test!$J$11:$K$14, 2, FALSE)/1440,VLOOKUP($A15,test!$A$3:$F$32,4,FALSE)=VLOOKUP(J$1,test!$A$3:$F$32,3,FALSE)),1,0)</f>
        <v>0</v>
      </c>
      <c r="K15" s="2">
        <f>IF(AND(VLOOKUP(K$1,test!$A$3:$G$32,5,FALSE)-VLOOKUP($A15,test!$A$3:$G$32,6,FALSE)&gt;=VLOOKUP(VLOOKUP(K$1, test!$A$3:$G$32,3,FALSE), test!$J$11:$K$14, 2, FALSE)/1440,VLOOKUP($A15,test!$A$3:$F$32,4,FALSE)=VLOOKUP(K$1,test!$A$3:$F$32,3,FALSE)),1,0)</f>
        <v>0</v>
      </c>
      <c r="L15" s="2">
        <f>IF(AND(VLOOKUP(L$1,test!$A$3:$G$32,5,FALSE)-VLOOKUP($A15,test!$A$3:$G$32,6,FALSE)&gt;=VLOOKUP(VLOOKUP(L$1, test!$A$3:$G$32,3,FALSE), test!$J$11:$K$14, 2, FALSE)/1440,VLOOKUP($A15,test!$A$3:$F$32,4,FALSE)=VLOOKUP(L$1,test!$A$3:$F$32,3,FALSE)),1,0)</f>
        <v>0</v>
      </c>
      <c r="M15" s="2">
        <f>IF(AND(VLOOKUP(M$1,test!$A$3:$G$32,5,FALSE)-VLOOKUP($A15,test!$A$3:$G$32,6,FALSE)&gt;=VLOOKUP(VLOOKUP(M$1, test!$A$3:$G$32,3,FALSE), test!$J$11:$K$14, 2, FALSE)/1440,VLOOKUP($A15,test!$A$3:$F$32,4,FALSE)=VLOOKUP(M$1,test!$A$3:$F$32,3,FALSE)),1,0)</f>
        <v>0</v>
      </c>
      <c r="N15" s="2">
        <f>IF(AND(VLOOKUP(N$1,test!$A$3:$G$32,5,FALSE)-VLOOKUP($A15,test!$A$3:$G$32,6,FALSE)&gt;=VLOOKUP(VLOOKUP(N$1, test!$A$3:$G$32,3,FALSE), test!$J$11:$K$14, 2, FALSE)/1440,VLOOKUP($A15,test!$A$3:$F$32,4,FALSE)=VLOOKUP(N$1,test!$A$3:$F$32,3,FALSE)),1,0)</f>
        <v>0</v>
      </c>
      <c r="O15" s="2">
        <f>IF(AND(VLOOKUP(O$1,test!$A$3:$G$32,5,FALSE)-VLOOKUP($A15,test!$A$3:$G$32,6,FALSE)&gt;=VLOOKUP(VLOOKUP(O$1, test!$A$3:$G$32,3,FALSE), test!$J$11:$K$14, 2, FALSE)/1440,VLOOKUP($A15,test!$A$3:$F$32,4,FALSE)=VLOOKUP(O$1,test!$A$3:$F$32,3,FALSE)),1,0)</f>
        <v>0</v>
      </c>
      <c r="P15" s="2">
        <f>IF(AND(VLOOKUP(P$1,test!$A$3:$G$32,5,FALSE)-VLOOKUP($A15,test!$A$3:$G$32,6,FALSE)&gt;=VLOOKUP(VLOOKUP(P$1, test!$A$3:$G$32,3,FALSE), test!$J$11:$K$14, 2, FALSE)/1440,VLOOKUP($A15,test!$A$3:$F$32,4,FALSE)=VLOOKUP(P$1,test!$A$3:$F$32,3,FALSE)),1,0)</f>
        <v>0</v>
      </c>
      <c r="Q15" s="2">
        <f>IF(AND(VLOOKUP(Q$1,test!$A$3:$G$32,5,FALSE)-VLOOKUP($A15,test!$A$3:$G$32,6,FALSE)&gt;=VLOOKUP(VLOOKUP(Q$1, test!$A$3:$G$32,3,FALSE), test!$J$11:$K$14, 2, FALSE)/1440,VLOOKUP($A15,test!$A$3:$F$32,4,FALSE)=VLOOKUP(Q$1,test!$A$3:$F$32,3,FALSE)),1,0)</f>
        <v>0</v>
      </c>
      <c r="R15" s="2">
        <f>IF(AND(VLOOKUP(R$1,test!$A$3:$G$32,5,FALSE)-VLOOKUP($A15,test!$A$3:$G$32,6,FALSE)&gt;=VLOOKUP(VLOOKUP(R$1, test!$A$3:$G$32,3,FALSE), test!$J$11:$K$14, 2, FALSE)/1440,VLOOKUP($A15,test!$A$3:$F$32,4,FALSE)=VLOOKUP(R$1,test!$A$3:$F$32,3,FALSE)),1,0)</f>
        <v>0</v>
      </c>
      <c r="S15" s="2">
        <f>IF(AND(VLOOKUP(S$1,test!$A$3:$G$32,5,FALSE)-VLOOKUP($A15,test!$A$3:$G$32,6,FALSE)&gt;=VLOOKUP(VLOOKUP(S$1, test!$A$3:$G$32,3,FALSE), test!$J$11:$K$14, 2, FALSE)/1440,VLOOKUP($A15,test!$A$3:$F$32,4,FALSE)=VLOOKUP(S$1,test!$A$3:$F$32,3,FALSE)),1,0)</f>
        <v>0</v>
      </c>
      <c r="T15" s="2">
        <f>IF(AND(VLOOKUP(T$1,test!$A$3:$G$32,5,FALSE)-VLOOKUP($A15,test!$A$3:$G$32,6,FALSE)&gt;=VLOOKUP(VLOOKUP(T$1, test!$A$3:$G$32,3,FALSE), test!$J$11:$K$14, 2, FALSE)/1440,VLOOKUP($A15,test!$A$3:$F$32,4,FALSE)=VLOOKUP(T$1,test!$A$3:$F$32,3,FALSE)),1,0)</f>
        <v>0</v>
      </c>
      <c r="U15" s="2">
        <f>IF(AND(VLOOKUP(U$1,test!$A$3:$G$32,5,FALSE)-VLOOKUP($A15,test!$A$3:$G$32,6,FALSE)&gt;=VLOOKUP(VLOOKUP(U$1, test!$A$3:$G$32,3,FALSE), test!$J$11:$K$14, 2, FALSE)/1440,VLOOKUP($A15,test!$A$3:$F$32,4,FALSE)=VLOOKUP(U$1,test!$A$3:$F$32,3,FALSE)),1,0)</f>
        <v>0</v>
      </c>
      <c r="V15" s="2">
        <f>IF(AND(VLOOKUP(V$1,test!$A$3:$G$32,5,FALSE)-VLOOKUP($A15,test!$A$3:$G$32,6,FALSE)&gt;=VLOOKUP(VLOOKUP(V$1, test!$A$3:$G$32,3,FALSE), test!$J$11:$K$14, 2, FALSE)/1440,VLOOKUP($A15,test!$A$3:$F$32,4,FALSE)=VLOOKUP(V$1,test!$A$3:$F$32,3,FALSE)),1,0)</f>
        <v>0</v>
      </c>
      <c r="W15" s="2">
        <f>IF(AND(VLOOKUP(W$1,test!$A$3:$G$32,5,FALSE)-VLOOKUP($A15,test!$A$3:$G$32,6,FALSE)&gt;=VLOOKUP(VLOOKUP(W$1, test!$A$3:$G$32,3,FALSE), test!$J$11:$K$14, 2, FALSE)/1440,VLOOKUP($A15,test!$A$3:$F$32,4,FALSE)=VLOOKUP(W$1,test!$A$3:$F$32,3,FALSE)),1,0)</f>
        <v>0</v>
      </c>
      <c r="X15" s="2">
        <f>IF(AND(VLOOKUP(X$1,test!$A$3:$G$32,5,FALSE)-VLOOKUP($A15,test!$A$3:$G$32,6,FALSE)&gt;=VLOOKUP(VLOOKUP(X$1, test!$A$3:$G$32,3,FALSE), test!$J$11:$K$14, 2, FALSE)/1440,VLOOKUP($A15,test!$A$3:$F$32,4,FALSE)=VLOOKUP(X$1,test!$A$3:$F$32,3,FALSE)),1,0)</f>
        <v>0</v>
      </c>
      <c r="Y15" s="2">
        <f>IF(AND(VLOOKUP(Y$1,test!$A$3:$G$32,5,FALSE)-VLOOKUP($A15,test!$A$3:$G$32,6,FALSE)&gt;=VLOOKUP(VLOOKUP(Y$1, test!$A$3:$G$32,3,FALSE), test!$J$11:$K$14, 2, FALSE)/1440,VLOOKUP($A15,test!$A$3:$F$32,4,FALSE)=VLOOKUP(Y$1,test!$A$3:$F$32,3,FALSE)),1,0)</f>
        <v>0</v>
      </c>
      <c r="Z15" s="2">
        <f>IF(AND(VLOOKUP(Z$1,test!$A$3:$G$32,5,FALSE)-VLOOKUP($A15,test!$A$3:$G$32,6,FALSE)&gt;=VLOOKUP(VLOOKUP(Z$1, test!$A$3:$G$32,3,FALSE), test!$J$11:$K$14, 2, FALSE)/1440,VLOOKUP($A15,test!$A$3:$F$32,4,FALSE)=VLOOKUP(Z$1,test!$A$3:$F$32,3,FALSE)),1,0)</f>
        <v>0</v>
      </c>
      <c r="AA15" s="2">
        <f>IF(AND(VLOOKUP(AA$1,test!$A$3:$G$32,5,FALSE)-VLOOKUP($A15,test!$A$3:$G$32,6,FALSE)&gt;=VLOOKUP(VLOOKUP(AA$1, test!$A$3:$G$32,3,FALSE), test!$J$11:$K$14, 2, FALSE)/1440,VLOOKUP($A15,test!$A$3:$F$32,4,FALSE)=VLOOKUP(AA$1,test!$A$3:$F$32,3,FALSE)),1,0)</f>
        <v>0</v>
      </c>
      <c r="AB15" s="2">
        <f>IF(AND(VLOOKUP(AB$1,test!$A$3:$G$32,5,FALSE)-VLOOKUP($A15,test!$A$3:$G$32,6,FALSE)&gt;=VLOOKUP(VLOOKUP(AB$1, test!$A$3:$G$32,3,FALSE), test!$J$11:$K$14, 2, FALSE)/1440,VLOOKUP($A15,test!$A$3:$F$32,4,FALSE)=VLOOKUP(AB$1,test!$A$3:$F$32,3,FALSE)),1,0)</f>
        <v>0</v>
      </c>
      <c r="AC15" s="2">
        <f>IF(AND(VLOOKUP(AC$1,test!$A$3:$G$32,5,FALSE)-VLOOKUP($A15,test!$A$3:$G$32,6,FALSE)&gt;=VLOOKUP(VLOOKUP(AC$1, test!$A$3:$G$32,3,FALSE), test!$J$11:$K$14, 2, FALSE)/1440,VLOOKUP($A15,test!$A$3:$F$32,4,FALSE)=VLOOKUP(AC$1,test!$A$3:$F$32,3,FALSE)),1,0)</f>
        <v>0</v>
      </c>
      <c r="AD15" s="2">
        <f>IF(AND(VLOOKUP(AD$1,test!$A$3:$G$32,5,FALSE)-VLOOKUP($A15,test!$A$3:$G$32,6,FALSE)&gt;=VLOOKUP(VLOOKUP(AD$1, test!$A$3:$G$32,3,FALSE), test!$J$11:$K$14, 2, FALSE)/1440,VLOOKUP($A15,test!$A$3:$F$32,4,FALSE)=VLOOKUP(AD$1,test!$A$3:$F$32,3,FALSE)),1,0)</f>
        <v>0</v>
      </c>
      <c r="AE15" s="2">
        <f>IF(AND(VLOOKUP(AE$1,test!$A$3:$G$32,5,FALSE)-VLOOKUP($A15,test!$A$3:$G$32,6,FALSE)&gt;=VLOOKUP(VLOOKUP(AE$1, test!$A$3:$G$32,3,FALSE), test!$J$11:$K$14, 2, FALSE)/1440,VLOOKUP($A15,test!$A$3:$F$32,4,FALSE)=VLOOKUP(AE$1,test!$A$3:$F$32,3,FALSE)),1,0)</f>
        <v>0</v>
      </c>
      <c r="AF15" s="2">
        <f>IF(AND(VLOOKUP(AF$1,test!$A$3:$G$32,5,FALSE)-VLOOKUP($A15,test!$A$3:$G$32,6,FALSE)&gt;=VLOOKUP(VLOOKUP(AF$1, test!$A$3:$G$32,3,FALSE), test!$J$11:$K$14, 2, FALSE)/1440,VLOOKUP($A15,test!$A$3:$F$32,4,FALSE)=VLOOKUP(AF$1,test!$A$3:$F$32,3,FALSE)),1,0)</f>
        <v>0</v>
      </c>
    </row>
    <row r="16" spans="1:32" x14ac:dyDescent="0.25">
      <c r="A16" t="s">
        <v>24</v>
      </c>
      <c r="B16" s="3">
        <v>1</v>
      </c>
      <c r="C16" s="2">
        <f>IF(AND(VLOOKUP(C$1,test!$A$3:$G$32,5,FALSE)-VLOOKUP($A16,test!$A$3:$G$32,6,FALSE)&gt;=VLOOKUP(VLOOKUP(C$1, test!$A$3:$G$32,3,FALSE), test!$J$11:$K$14, 2, FALSE)/1440,VLOOKUP($A16,test!$A$3:$F$32,4,FALSE)=VLOOKUP(C$1,test!$A$3:$F$32,3,FALSE)),1,0)</f>
        <v>0</v>
      </c>
      <c r="D16" s="2">
        <f>IF(AND(VLOOKUP(D$1,test!$A$3:$G$32,5,FALSE)-VLOOKUP($A16,test!$A$3:$G$32,6,FALSE)&gt;=VLOOKUP(VLOOKUP(D$1, test!$A$3:$G$32,3,FALSE), test!$J$11:$K$14, 2, FALSE)/1440,VLOOKUP($A16,test!$A$3:$F$32,4,FALSE)=VLOOKUP(D$1,test!$A$3:$F$32,3,FALSE)),1,0)</f>
        <v>0</v>
      </c>
      <c r="E16" s="2">
        <f>IF(AND(VLOOKUP(E$1,test!$A$3:$G$32,5,FALSE)-VLOOKUP($A16,test!$A$3:$G$32,6,FALSE)&gt;=VLOOKUP(VLOOKUP(E$1, test!$A$3:$G$32,3,FALSE), test!$J$11:$K$14, 2, FALSE)/1440,VLOOKUP($A16,test!$A$3:$F$32,4,FALSE)=VLOOKUP(E$1,test!$A$3:$F$32,3,FALSE)),1,0)</f>
        <v>0</v>
      </c>
      <c r="F16" s="2">
        <f>IF(AND(VLOOKUP(F$1,test!$A$3:$G$32,5,FALSE)-VLOOKUP($A16,test!$A$3:$G$32,6,FALSE)&gt;=VLOOKUP(VLOOKUP(F$1, test!$A$3:$G$32,3,FALSE), test!$J$11:$K$14, 2, FALSE)/1440,VLOOKUP($A16,test!$A$3:$F$32,4,FALSE)=VLOOKUP(F$1,test!$A$3:$F$32,3,FALSE)),1,0)</f>
        <v>0</v>
      </c>
      <c r="G16" s="2">
        <f>IF(AND(VLOOKUP(G$1,test!$A$3:$G$32,5,FALSE)-VLOOKUP($A16,test!$A$3:$G$32,6,FALSE)&gt;=VLOOKUP(VLOOKUP(G$1, test!$A$3:$G$32,3,FALSE), test!$J$11:$K$14, 2, FALSE)/1440,VLOOKUP($A16,test!$A$3:$F$32,4,FALSE)=VLOOKUP(G$1,test!$A$3:$F$32,3,FALSE)),1,0)</f>
        <v>0</v>
      </c>
      <c r="H16" s="2">
        <f>IF(AND(VLOOKUP(H$1,test!$A$3:$G$32,5,FALSE)-VLOOKUP($A16,test!$A$3:$G$32,6,FALSE)&gt;=VLOOKUP(VLOOKUP(H$1, test!$A$3:$G$32,3,FALSE), test!$J$11:$K$14, 2, FALSE)/1440,VLOOKUP($A16,test!$A$3:$F$32,4,FALSE)=VLOOKUP(H$1,test!$A$3:$F$32,3,FALSE)),1,0)</f>
        <v>0</v>
      </c>
      <c r="I16" s="2">
        <f>IF(AND(VLOOKUP(I$1,test!$A$3:$G$32,5,FALSE)-VLOOKUP($A16,test!$A$3:$G$32,6,FALSE)&gt;=VLOOKUP(VLOOKUP(I$1, test!$A$3:$G$32,3,FALSE), test!$J$11:$K$14, 2, FALSE)/1440,VLOOKUP($A16,test!$A$3:$F$32,4,FALSE)=VLOOKUP(I$1,test!$A$3:$F$32,3,FALSE)),1,0)</f>
        <v>0</v>
      </c>
      <c r="J16" s="2">
        <f>IF(AND(VLOOKUP(J$1,test!$A$3:$G$32,5,FALSE)-VLOOKUP($A16,test!$A$3:$G$32,6,FALSE)&gt;=VLOOKUP(VLOOKUP(J$1, test!$A$3:$G$32,3,FALSE), test!$J$11:$K$14, 2, FALSE)/1440,VLOOKUP($A16,test!$A$3:$F$32,4,FALSE)=VLOOKUP(J$1,test!$A$3:$F$32,3,FALSE)),1,0)</f>
        <v>0</v>
      </c>
      <c r="K16" s="2">
        <f>IF(AND(VLOOKUP(K$1,test!$A$3:$G$32,5,FALSE)-VLOOKUP($A16,test!$A$3:$G$32,6,FALSE)&gt;=VLOOKUP(VLOOKUP(K$1, test!$A$3:$G$32,3,FALSE), test!$J$11:$K$14, 2, FALSE)/1440,VLOOKUP($A16,test!$A$3:$F$32,4,FALSE)=VLOOKUP(K$1,test!$A$3:$F$32,3,FALSE)),1,0)</f>
        <v>0</v>
      </c>
      <c r="L16" s="2">
        <f>IF(AND(VLOOKUP(L$1,test!$A$3:$G$32,5,FALSE)-VLOOKUP($A16,test!$A$3:$G$32,6,FALSE)&gt;=VLOOKUP(VLOOKUP(L$1, test!$A$3:$G$32,3,FALSE), test!$J$11:$K$14, 2, FALSE)/1440,VLOOKUP($A16,test!$A$3:$F$32,4,FALSE)=VLOOKUP(L$1,test!$A$3:$F$32,3,FALSE)),1,0)</f>
        <v>0</v>
      </c>
      <c r="M16" s="2">
        <f>IF(AND(VLOOKUP(M$1,test!$A$3:$G$32,5,FALSE)-VLOOKUP($A16,test!$A$3:$G$32,6,FALSE)&gt;=VLOOKUP(VLOOKUP(M$1, test!$A$3:$G$32,3,FALSE), test!$J$11:$K$14, 2, FALSE)/1440,VLOOKUP($A16,test!$A$3:$F$32,4,FALSE)=VLOOKUP(M$1,test!$A$3:$F$32,3,FALSE)),1,0)</f>
        <v>0</v>
      </c>
      <c r="N16" s="2">
        <f>IF(AND(VLOOKUP(N$1,test!$A$3:$G$32,5,FALSE)-VLOOKUP($A16,test!$A$3:$G$32,6,FALSE)&gt;=VLOOKUP(VLOOKUP(N$1, test!$A$3:$G$32,3,FALSE), test!$J$11:$K$14, 2, FALSE)/1440,VLOOKUP($A16,test!$A$3:$F$32,4,FALSE)=VLOOKUP(N$1,test!$A$3:$F$32,3,FALSE)),1,0)</f>
        <v>0</v>
      </c>
      <c r="O16" s="2">
        <f>IF(AND(VLOOKUP(O$1,test!$A$3:$G$32,5,FALSE)-VLOOKUP($A16,test!$A$3:$G$32,6,FALSE)&gt;=VLOOKUP(VLOOKUP(O$1, test!$A$3:$G$32,3,FALSE), test!$J$11:$K$14, 2, FALSE)/1440,VLOOKUP($A16,test!$A$3:$F$32,4,FALSE)=VLOOKUP(O$1,test!$A$3:$F$32,3,FALSE)),1,0)</f>
        <v>0</v>
      </c>
      <c r="P16" s="2">
        <f>IF(AND(VLOOKUP(P$1,test!$A$3:$G$32,5,FALSE)-VLOOKUP($A16,test!$A$3:$G$32,6,FALSE)&gt;=VLOOKUP(VLOOKUP(P$1, test!$A$3:$G$32,3,FALSE), test!$J$11:$K$14, 2, FALSE)/1440,VLOOKUP($A16,test!$A$3:$F$32,4,FALSE)=VLOOKUP(P$1,test!$A$3:$F$32,3,FALSE)),1,0)</f>
        <v>0</v>
      </c>
      <c r="Q16" s="2">
        <f>IF(AND(VLOOKUP(Q$1,test!$A$3:$G$32,5,FALSE)-VLOOKUP($A16,test!$A$3:$G$32,6,FALSE)&gt;=VLOOKUP(VLOOKUP(Q$1, test!$A$3:$G$32,3,FALSE), test!$J$11:$K$14, 2, FALSE)/1440,VLOOKUP($A16,test!$A$3:$F$32,4,FALSE)=VLOOKUP(Q$1,test!$A$3:$F$32,3,FALSE)),1,0)</f>
        <v>0</v>
      </c>
      <c r="R16" s="2">
        <f>IF(AND(VLOOKUP(R$1,test!$A$3:$G$32,5,FALSE)-VLOOKUP($A16,test!$A$3:$G$32,6,FALSE)&gt;=VLOOKUP(VLOOKUP(R$1, test!$A$3:$G$32,3,FALSE), test!$J$11:$K$14, 2, FALSE)/1440,VLOOKUP($A16,test!$A$3:$F$32,4,FALSE)=VLOOKUP(R$1,test!$A$3:$F$32,3,FALSE)),1,0)</f>
        <v>0</v>
      </c>
      <c r="S16" s="2">
        <f>IF(AND(VLOOKUP(S$1,test!$A$3:$G$32,5,FALSE)-VLOOKUP($A16,test!$A$3:$G$32,6,FALSE)&gt;=VLOOKUP(VLOOKUP(S$1, test!$A$3:$G$32,3,FALSE), test!$J$11:$K$14, 2, FALSE)/1440,VLOOKUP($A16,test!$A$3:$F$32,4,FALSE)=VLOOKUP(S$1,test!$A$3:$F$32,3,FALSE)),1,0)</f>
        <v>0</v>
      </c>
      <c r="T16" s="2">
        <f>IF(AND(VLOOKUP(T$1,test!$A$3:$G$32,5,FALSE)-VLOOKUP($A16,test!$A$3:$G$32,6,FALSE)&gt;=VLOOKUP(VLOOKUP(T$1, test!$A$3:$G$32,3,FALSE), test!$J$11:$K$14, 2, FALSE)/1440,VLOOKUP($A16,test!$A$3:$F$32,4,FALSE)=VLOOKUP(T$1,test!$A$3:$F$32,3,FALSE)),1,0)</f>
        <v>0</v>
      </c>
      <c r="U16" s="2">
        <f>IF(AND(VLOOKUP(U$1,test!$A$3:$G$32,5,FALSE)-VLOOKUP($A16,test!$A$3:$G$32,6,FALSE)&gt;=VLOOKUP(VLOOKUP(U$1, test!$A$3:$G$32,3,FALSE), test!$J$11:$K$14, 2, FALSE)/1440,VLOOKUP($A16,test!$A$3:$F$32,4,FALSE)=VLOOKUP(U$1,test!$A$3:$F$32,3,FALSE)),1,0)</f>
        <v>0</v>
      </c>
      <c r="V16" s="2">
        <f>IF(AND(VLOOKUP(V$1,test!$A$3:$G$32,5,FALSE)-VLOOKUP($A16,test!$A$3:$G$32,6,FALSE)&gt;=VLOOKUP(VLOOKUP(V$1, test!$A$3:$G$32,3,FALSE), test!$J$11:$K$14, 2, FALSE)/1440,VLOOKUP($A16,test!$A$3:$F$32,4,FALSE)=VLOOKUP(V$1,test!$A$3:$F$32,3,FALSE)),1,0)</f>
        <v>0</v>
      </c>
      <c r="W16" s="2">
        <f>IF(AND(VLOOKUP(W$1,test!$A$3:$G$32,5,FALSE)-VLOOKUP($A16,test!$A$3:$G$32,6,FALSE)&gt;=VLOOKUP(VLOOKUP(W$1, test!$A$3:$G$32,3,FALSE), test!$J$11:$K$14, 2, FALSE)/1440,VLOOKUP($A16,test!$A$3:$F$32,4,FALSE)=VLOOKUP(W$1,test!$A$3:$F$32,3,FALSE)),1,0)</f>
        <v>0</v>
      </c>
      <c r="X16" s="2">
        <f>IF(AND(VLOOKUP(X$1,test!$A$3:$G$32,5,FALSE)-VLOOKUP($A16,test!$A$3:$G$32,6,FALSE)&gt;=VLOOKUP(VLOOKUP(X$1, test!$A$3:$G$32,3,FALSE), test!$J$11:$K$14, 2, FALSE)/1440,VLOOKUP($A16,test!$A$3:$F$32,4,FALSE)=VLOOKUP(X$1,test!$A$3:$F$32,3,FALSE)),1,0)</f>
        <v>0</v>
      </c>
      <c r="Y16" s="2">
        <f>IF(AND(VLOOKUP(Y$1,test!$A$3:$G$32,5,FALSE)-VLOOKUP($A16,test!$A$3:$G$32,6,FALSE)&gt;=VLOOKUP(VLOOKUP(Y$1, test!$A$3:$G$32,3,FALSE), test!$J$11:$K$14, 2, FALSE)/1440,VLOOKUP($A16,test!$A$3:$F$32,4,FALSE)=VLOOKUP(Y$1,test!$A$3:$F$32,3,FALSE)),1,0)</f>
        <v>0</v>
      </c>
      <c r="Z16" s="2">
        <f>IF(AND(VLOOKUP(Z$1,test!$A$3:$G$32,5,FALSE)-VLOOKUP($A16,test!$A$3:$G$32,6,FALSE)&gt;=VLOOKUP(VLOOKUP(Z$1, test!$A$3:$G$32,3,FALSE), test!$J$11:$K$14, 2, FALSE)/1440,VLOOKUP($A16,test!$A$3:$F$32,4,FALSE)=VLOOKUP(Z$1,test!$A$3:$F$32,3,FALSE)),1,0)</f>
        <v>0</v>
      </c>
      <c r="AA16" s="2">
        <f>IF(AND(VLOOKUP(AA$1,test!$A$3:$G$32,5,FALSE)-VLOOKUP($A16,test!$A$3:$G$32,6,FALSE)&gt;=VLOOKUP(VLOOKUP(AA$1, test!$A$3:$G$32,3,FALSE), test!$J$11:$K$14, 2, FALSE)/1440,VLOOKUP($A16,test!$A$3:$F$32,4,FALSE)=VLOOKUP(AA$1,test!$A$3:$F$32,3,FALSE)),1,0)</f>
        <v>0</v>
      </c>
      <c r="AB16" s="2">
        <f>IF(AND(VLOOKUP(AB$1,test!$A$3:$G$32,5,FALSE)-VLOOKUP($A16,test!$A$3:$G$32,6,FALSE)&gt;=VLOOKUP(VLOOKUP(AB$1, test!$A$3:$G$32,3,FALSE), test!$J$11:$K$14, 2, FALSE)/1440,VLOOKUP($A16,test!$A$3:$F$32,4,FALSE)=VLOOKUP(AB$1,test!$A$3:$F$32,3,FALSE)),1,0)</f>
        <v>0</v>
      </c>
      <c r="AC16" s="2">
        <f>IF(AND(VLOOKUP(AC$1,test!$A$3:$G$32,5,FALSE)-VLOOKUP($A16,test!$A$3:$G$32,6,FALSE)&gt;=VLOOKUP(VLOOKUP(AC$1, test!$A$3:$G$32,3,FALSE), test!$J$11:$K$14, 2, FALSE)/1440,VLOOKUP($A16,test!$A$3:$F$32,4,FALSE)=VLOOKUP(AC$1,test!$A$3:$F$32,3,FALSE)),1,0)</f>
        <v>0</v>
      </c>
      <c r="AD16" s="2">
        <f>IF(AND(VLOOKUP(AD$1,test!$A$3:$G$32,5,FALSE)-VLOOKUP($A16,test!$A$3:$G$32,6,FALSE)&gt;=VLOOKUP(VLOOKUP(AD$1, test!$A$3:$G$32,3,FALSE), test!$J$11:$K$14, 2, FALSE)/1440,VLOOKUP($A16,test!$A$3:$F$32,4,FALSE)=VLOOKUP(AD$1,test!$A$3:$F$32,3,FALSE)),1,0)</f>
        <v>0</v>
      </c>
      <c r="AE16" s="2">
        <f>IF(AND(VLOOKUP(AE$1,test!$A$3:$G$32,5,FALSE)-VLOOKUP($A16,test!$A$3:$G$32,6,FALSE)&gt;=VLOOKUP(VLOOKUP(AE$1, test!$A$3:$G$32,3,FALSE), test!$J$11:$K$14, 2, FALSE)/1440,VLOOKUP($A16,test!$A$3:$F$32,4,FALSE)=VLOOKUP(AE$1,test!$A$3:$F$32,3,FALSE)),1,0)</f>
        <v>1</v>
      </c>
      <c r="AF16" s="2">
        <f>IF(AND(VLOOKUP(AF$1,test!$A$3:$G$32,5,FALSE)-VLOOKUP($A16,test!$A$3:$G$32,6,FALSE)&gt;=VLOOKUP(VLOOKUP(AF$1, test!$A$3:$G$32,3,FALSE), test!$J$11:$K$14, 2, FALSE)/1440,VLOOKUP($A16,test!$A$3:$F$32,4,FALSE)=VLOOKUP(AF$1,test!$A$3:$F$32,3,FALSE)),1,0)</f>
        <v>1</v>
      </c>
    </row>
    <row r="17" spans="1:32" x14ac:dyDescent="0.25">
      <c r="A17" t="s">
        <v>26</v>
      </c>
      <c r="B17" s="3">
        <v>1</v>
      </c>
      <c r="C17" s="2">
        <f>IF(AND(VLOOKUP(C$1,test!$A$3:$G$32,5,FALSE)-VLOOKUP($A17,test!$A$3:$G$32,6,FALSE)&gt;=VLOOKUP(VLOOKUP(C$1, test!$A$3:$G$32,3,FALSE), test!$J$11:$K$14, 2, FALSE)/1440,VLOOKUP($A17,test!$A$3:$F$32,4,FALSE)=VLOOKUP(C$1,test!$A$3:$F$32,3,FALSE)),1,0)</f>
        <v>0</v>
      </c>
      <c r="D17" s="2">
        <f>IF(AND(VLOOKUP(D$1,test!$A$3:$G$32,5,FALSE)-VLOOKUP($A17,test!$A$3:$G$32,6,FALSE)&gt;=VLOOKUP(VLOOKUP(D$1, test!$A$3:$G$32,3,FALSE), test!$J$11:$K$14, 2, FALSE)/1440,VLOOKUP($A17,test!$A$3:$F$32,4,FALSE)=VLOOKUP(D$1,test!$A$3:$F$32,3,FALSE)),1,0)</f>
        <v>1</v>
      </c>
      <c r="E17" s="2">
        <f>IF(AND(VLOOKUP(E$1,test!$A$3:$G$32,5,FALSE)-VLOOKUP($A17,test!$A$3:$G$32,6,FALSE)&gt;=VLOOKUP(VLOOKUP(E$1, test!$A$3:$G$32,3,FALSE), test!$J$11:$K$14, 2, FALSE)/1440,VLOOKUP($A17,test!$A$3:$F$32,4,FALSE)=VLOOKUP(E$1,test!$A$3:$F$32,3,FALSE)),1,0)</f>
        <v>1</v>
      </c>
      <c r="F17" s="2">
        <f>IF(AND(VLOOKUP(F$1,test!$A$3:$G$32,5,FALSE)-VLOOKUP($A17,test!$A$3:$G$32,6,FALSE)&gt;=VLOOKUP(VLOOKUP(F$1, test!$A$3:$G$32,3,FALSE), test!$J$11:$K$14, 2, FALSE)/1440,VLOOKUP($A17,test!$A$3:$F$32,4,FALSE)=VLOOKUP(F$1,test!$A$3:$F$32,3,FALSE)),1,0)</f>
        <v>1</v>
      </c>
      <c r="G17" s="2">
        <f>IF(AND(VLOOKUP(G$1,test!$A$3:$G$32,5,FALSE)-VLOOKUP($A17,test!$A$3:$G$32,6,FALSE)&gt;=VLOOKUP(VLOOKUP(G$1, test!$A$3:$G$32,3,FALSE), test!$J$11:$K$14, 2, FALSE)/1440,VLOOKUP($A17,test!$A$3:$F$32,4,FALSE)=VLOOKUP(G$1,test!$A$3:$F$32,3,FALSE)),1,0)</f>
        <v>1</v>
      </c>
      <c r="H17" s="2">
        <f>IF(AND(VLOOKUP(H$1,test!$A$3:$G$32,5,FALSE)-VLOOKUP($A17,test!$A$3:$G$32,6,FALSE)&gt;=VLOOKUP(VLOOKUP(H$1, test!$A$3:$G$32,3,FALSE), test!$J$11:$K$14, 2, FALSE)/1440,VLOOKUP($A17,test!$A$3:$F$32,4,FALSE)=VLOOKUP(H$1,test!$A$3:$F$32,3,FALSE)),1,0)</f>
        <v>1</v>
      </c>
      <c r="I17" s="2">
        <f>IF(AND(VLOOKUP(I$1,test!$A$3:$G$32,5,FALSE)-VLOOKUP($A17,test!$A$3:$G$32,6,FALSE)&gt;=VLOOKUP(VLOOKUP(I$1, test!$A$3:$G$32,3,FALSE), test!$J$11:$K$14, 2, FALSE)/1440,VLOOKUP($A17,test!$A$3:$F$32,4,FALSE)=VLOOKUP(I$1,test!$A$3:$F$32,3,FALSE)),1,0)</f>
        <v>1</v>
      </c>
      <c r="J17" s="2">
        <f>IF(AND(VLOOKUP(J$1,test!$A$3:$G$32,5,FALSE)-VLOOKUP($A17,test!$A$3:$G$32,6,FALSE)&gt;=VLOOKUP(VLOOKUP(J$1, test!$A$3:$G$32,3,FALSE), test!$J$11:$K$14, 2, FALSE)/1440,VLOOKUP($A17,test!$A$3:$F$32,4,FALSE)=VLOOKUP(J$1,test!$A$3:$F$32,3,FALSE)),1,0)</f>
        <v>1</v>
      </c>
      <c r="K17" s="2">
        <f>IF(AND(VLOOKUP(K$1,test!$A$3:$G$32,5,FALSE)-VLOOKUP($A17,test!$A$3:$G$32,6,FALSE)&gt;=VLOOKUP(VLOOKUP(K$1, test!$A$3:$G$32,3,FALSE), test!$J$11:$K$14, 2, FALSE)/1440,VLOOKUP($A17,test!$A$3:$F$32,4,FALSE)=VLOOKUP(K$1,test!$A$3:$F$32,3,FALSE)),1,0)</f>
        <v>0</v>
      </c>
      <c r="L17" s="2">
        <f>IF(AND(VLOOKUP(L$1,test!$A$3:$G$32,5,FALSE)-VLOOKUP($A17,test!$A$3:$G$32,6,FALSE)&gt;=VLOOKUP(VLOOKUP(L$1, test!$A$3:$G$32,3,FALSE), test!$J$11:$K$14, 2, FALSE)/1440,VLOOKUP($A17,test!$A$3:$F$32,4,FALSE)=VLOOKUP(L$1,test!$A$3:$F$32,3,FALSE)),1,0)</f>
        <v>0</v>
      </c>
      <c r="M17" s="2">
        <f>IF(AND(VLOOKUP(M$1,test!$A$3:$G$32,5,FALSE)-VLOOKUP($A17,test!$A$3:$G$32,6,FALSE)&gt;=VLOOKUP(VLOOKUP(M$1, test!$A$3:$G$32,3,FALSE), test!$J$11:$K$14, 2, FALSE)/1440,VLOOKUP($A17,test!$A$3:$F$32,4,FALSE)=VLOOKUP(M$1,test!$A$3:$F$32,3,FALSE)),1,0)</f>
        <v>1</v>
      </c>
      <c r="N17" s="2">
        <f>IF(AND(VLOOKUP(N$1,test!$A$3:$G$32,5,FALSE)-VLOOKUP($A17,test!$A$3:$G$32,6,FALSE)&gt;=VLOOKUP(VLOOKUP(N$1, test!$A$3:$G$32,3,FALSE), test!$J$11:$K$14, 2, FALSE)/1440,VLOOKUP($A17,test!$A$3:$F$32,4,FALSE)=VLOOKUP(N$1,test!$A$3:$F$32,3,FALSE)),1,0)</f>
        <v>1</v>
      </c>
      <c r="O17" s="2">
        <f>IF(AND(VLOOKUP(O$1,test!$A$3:$G$32,5,FALSE)-VLOOKUP($A17,test!$A$3:$G$32,6,FALSE)&gt;=VLOOKUP(VLOOKUP(O$1, test!$A$3:$G$32,3,FALSE), test!$J$11:$K$14, 2, FALSE)/1440,VLOOKUP($A17,test!$A$3:$F$32,4,FALSE)=VLOOKUP(O$1,test!$A$3:$F$32,3,FALSE)),1,0)</f>
        <v>1</v>
      </c>
      <c r="P17" s="2">
        <f>IF(AND(VLOOKUP(P$1,test!$A$3:$G$32,5,FALSE)-VLOOKUP($A17,test!$A$3:$G$32,6,FALSE)&gt;=VLOOKUP(VLOOKUP(P$1, test!$A$3:$G$32,3,FALSE), test!$J$11:$K$14, 2, FALSE)/1440,VLOOKUP($A17,test!$A$3:$F$32,4,FALSE)=VLOOKUP(P$1,test!$A$3:$F$32,3,FALSE)),1,0)</f>
        <v>0</v>
      </c>
      <c r="Q17" s="2">
        <f>IF(AND(VLOOKUP(Q$1,test!$A$3:$G$32,5,FALSE)-VLOOKUP($A17,test!$A$3:$G$32,6,FALSE)&gt;=VLOOKUP(VLOOKUP(Q$1, test!$A$3:$G$32,3,FALSE), test!$J$11:$K$14, 2, FALSE)/1440,VLOOKUP($A17,test!$A$3:$F$32,4,FALSE)=VLOOKUP(Q$1,test!$A$3:$F$32,3,FALSE)),1,0)</f>
        <v>0</v>
      </c>
      <c r="R17" s="2">
        <f>IF(AND(VLOOKUP(R$1,test!$A$3:$G$32,5,FALSE)-VLOOKUP($A17,test!$A$3:$G$32,6,FALSE)&gt;=VLOOKUP(VLOOKUP(R$1, test!$A$3:$G$32,3,FALSE), test!$J$11:$K$14, 2, FALSE)/1440,VLOOKUP($A17,test!$A$3:$F$32,4,FALSE)=VLOOKUP(R$1,test!$A$3:$F$32,3,FALSE)),1,0)</f>
        <v>0</v>
      </c>
      <c r="S17" s="2">
        <f>IF(AND(VLOOKUP(S$1,test!$A$3:$G$32,5,FALSE)-VLOOKUP($A17,test!$A$3:$G$32,6,FALSE)&gt;=VLOOKUP(VLOOKUP(S$1, test!$A$3:$G$32,3,FALSE), test!$J$11:$K$14, 2, FALSE)/1440,VLOOKUP($A17,test!$A$3:$F$32,4,FALSE)=VLOOKUP(S$1,test!$A$3:$F$32,3,FALSE)),1,0)</f>
        <v>0</v>
      </c>
      <c r="T17" s="2">
        <f>IF(AND(VLOOKUP(T$1,test!$A$3:$G$32,5,FALSE)-VLOOKUP($A17,test!$A$3:$G$32,6,FALSE)&gt;=VLOOKUP(VLOOKUP(T$1, test!$A$3:$G$32,3,FALSE), test!$J$11:$K$14, 2, FALSE)/1440,VLOOKUP($A17,test!$A$3:$F$32,4,FALSE)=VLOOKUP(T$1,test!$A$3:$F$32,3,FALSE)),1,0)</f>
        <v>0</v>
      </c>
      <c r="U17" s="2">
        <f>IF(AND(VLOOKUP(U$1,test!$A$3:$G$32,5,FALSE)-VLOOKUP($A17,test!$A$3:$G$32,6,FALSE)&gt;=VLOOKUP(VLOOKUP(U$1, test!$A$3:$G$32,3,FALSE), test!$J$11:$K$14, 2, FALSE)/1440,VLOOKUP($A17,test!$A$3:$F$32,4,FALSE)=VLOOKUP(U$1,test!$A$3:$F$32,3,FALSE)),1,0)</f>
        <v>0</v>
      </c>
      <c r="V17" s="2">
        <f>IF(AND(VLOOKUP(V$1,test!$A$3:$G$32,5,FALSE)-VLOOKUP($A17,test!$A$3:$G$32,6,FALSE)&gt;=VLOOKUP(VLOOKUP(V$1, test!$A$3:$G$32,3,FALSE), test!$J$11:$K$14, 2, FALSE)/1440,VLOOKUP($A17,test!$A$3:$F$32,4,FALSE)=VLOOKUP(V$1,test!$A$3:$F$32,3,FALSE)),1,0)</f>
        <v>0</v>
      </c>
      <c r="W17" s="2">
        <f>IF(AND(VLOOKUP(W$1,test!$A$3:$G$32,5,FALSE)-VLOOKUP($A17,test!$A$3:$G$32,6,FALSE)&gt;=VLOOKUP(VLOOKUP(W$1, test!$A$3:$G$32,3,FALSE), test!$J$11:$K$14, 2, FALSE)/1440,VLOOKUP($A17,test!$A$3:$F$32,4,FALSE)=VLOOKUP(W$1,test!$A$3:$F$32,3,FALSE)),1,0)</f>
        <v>0</v>
      </c>
      <c r="X17" s="2">
        <f>IF(AND(VLOOKUP(X$1,test!$A$3:$G$32,5,FALSE)-VLOOKUP($A17,test!$A$3:$G$32,6,FALSE)&gt;=VLOOKUP(VLOOKUP(X$1, test!$A$3:$G$32,3,FALSE), test!$J$11:$K$14, 2, FALSE)/1440,VLOOKUP($A17,test!$A$3:$F$32,4,FALSE)=VLOOKUP(X$1,test!$A$3:$F$32,3,FALSE)),1,0)</f>
        <v>0</v>
      </c>
      <c r="Y17" s="2">
        <f>IF(AND(VLOOKUP(Y$1,test!$A$3:$G$32,5,FALSE)-VLOOKUP($A17,test!$A$3:$G$32,6,FALSE)&gt;=VLOOKUP(VLOOKUP(Y$1, test!$A$3:$G$32,3,FALSE), test!$J$11:$K$14, 2, FALSE)/1440,VLOOKUP($A17,test!$A$3:$F$32,4,FALSE)=VLOOKUP(Y$1,test!$A$3:$F$32,3,FALSE)),1,0)</f>
        <v>0</v>
      </c>
      <c r="Z17" s="2">
        <f>IF(AND(VLOOKUP(Z$1,test!$A$3:$G$32,5,FALSE)-VLOOKUP($A17,test!$A$3:$G$32,6,FALSE)&gt;=VLOOKUP(VLOOKUP(Z$1, test!$A$3:$G$32,3,FALSE), test!$J$11:$K$14, 2, FALSE)/1440,VLOOKUP($A17,test!$A$3:$F$32,4,FALSE)=VLOOKUP(Z$1,test!$A$3:$F$32,3,FALSE)),1,0)</f>
        <v>0</v>
      </c>
      <c r="AA17" s="2">
        <f>IF(AND(VLOOKUP(AA$1,test!$A$3:$G$32,5,FALSE)-VLOOKUP($A17,test!$A$3:$G$32,6,FALSE)&gt;=VLOOKUP(VLOOKUP(AA$1, test!$A$3:$G$32,3,FALSE), test!$J$11:$K$14, 2, FALSE)/1440,VLOOKUP($A17,test!$A$3:$F$32,4,FALSE)=VLOOKUP(AA$1,test!$A$3:$F$32,3,FALSE)),1,0)</f>
        <v>0</v>
      </c>
      <c r="AB17" s="2">
        <f>IF(AND(VLOOKUP(AB$1,test!$A$3:$G$32,5,FALSE)-VLOOKUP($A17,test!$A$3:$G$32,6,FALSE)&gt;=VLOOKUP(VLOOKUP(AB$1, test!$A$3:$G$32,3,FALSE), test!$J$11:$K$14, 2, FALSE)/1440,VLOOKUP($A17,test!$A$3:$F$32,4,FALSE)=VLOOKUP(AB$1,test!$A$3:$F$32,3,FALSE)),1,0)</f>
        <v>0</v>
      </c>
      <c r="AC17" s="2">
        <f>IF(AND(VLOOKUP(AC$1,test!$A$3:$G$32,5,FALSE)-VLOOKUP($A17,test!$A$3:$G$32,6,FALSE)&gt;=VLOOKUP(VLOOKUP(AC$1, test!$A$3:$G$32,3,FALSE), test!$J$11:$K$14, 2, FALSE)/1440,VLOOKUP($A17,test!$A$3:$F$32,4,FALSE)=VLOOKUP(AC$1,test!$A$3:$F$32,3,FALSE)),1,0)</f>
        <v>0</v>
      </c>
      <c r="AD17" s="2">
        <f>IF(AND(VLOOKUP(AD$1,test!$A$3:$G$32,5,FALSE)-VLOOKUP($A17,test!$A$3:$G$32,6,FALSE)&gt;=VLOOKUP(VLOOKUP(AD$1, test!$A$3:$G$32,3,FALSE), test!$J$11:$K$14, 2, FALSE)/1440,VLOOKUP($A17,test!$A$3:$F$32,4,FALSE)=VLOOKUP(AD$1,test!$A$3:$F$32,3,FALSE)),1,0)</f>
        <v>0</v>
      </c>
      <c r="AE17" s="2">
        <f>IF(AND(VLOOKUP(AE$1,test!$A$3:$G$32,5,FALSE)-VLOOKUP($A17,test!$A$3:$G$32,6,FALSE)&gt;=VLOOKUP(VLOOKUP(AE$1, test!$A$3:$G$32,3,FALSE), test!$J$11:$K$14, 2, FALSE)/1440,VLOOKUP($A17,test!$A$3:$F$32,4,FALSE)=VLOOKUP(AE$1,test!$A$3:$F$32,3,FALSE)),1,0)</f>
        <v>0</v>
      </c>
      <c r="AF17" s="2">
        <f>IF(AND(VLOOKUP(AF$1,test!$A$3:$G$32,5,FALSE)-VLOOKUP($A17,test!$A$3:$G$32,6,FALSE)&gt;=VLOOKUP(VLOOKUP(AF$1, test!$A$3:$G$32,3,FALSE), test!$J$11:$K$14, 2, FALSE)/1440,VLOOKUP($A17,test!$A$3:$F$32,4,FALSE)=VLOOKUP(AF$1,test!$A$3:$F$32,3,FALSE)),1,0)</f>
        <v>0</v>
      </c>
    </row>
    <row r="18" spans="1:32" x14ac:dyDescent="0.25">
      <c r="A18" t="s">
        <v>27</v>
      </c>
      <c r="B18" s="3">
        <v>1</v>
      </c>
      <c r="C18" s="2">
        <f>IF(AND(VLOOKUP(C$1,test!$A$3:$G$32,5,FALSE)-VLOOKUP($A18,test!$A$3:$G$32,6,FALSE)&gt;=VLOOKUP(VLOOKUP(C$1, test!$A$3:$G$32,3,FALSE), test!$J$11:$K$14, 2, FALSE)/1440,VLOOKUP($A18,test!$A$3:$F$32,4,FALSE)=VLOOKUP(C$1,test!$A$3:$F$32,3,FALSE)),1,0)</f>
        <v>0</v>
      </c>
      <c r="D18" s="2">
        <f>IF(AND(VLOOKUP(D$1,test!$A$3:$G$32,5,FALSE)-VLOOKUP($A18,test!$A$3:$G$32,6,FALSE)&gt;=VLOOKUP(VLOOKUP(D$1, test!$A$3:$G$32,3,FALSE), test!$J$11:$K$14, 2, FALSE)/1440,VLOOKUP($A18,test!$A$3:$F$32,4,FALSE)=VLOOKUP(D$1,test!$A$3:$F$32,3,FALSE)),1,0)</f>
        <v>0</v>
      </c>
      <c r="E18" s="2">
        <f>IF(AND(VLOOKUP(E$1,test!$A$3:$G$32,5,FALSE)-VLOOKUP($A18,test!$A$3:$G$32,6,FALSE)&gt;=VLOOKUP(VLOOKUP(E$1, test!$A$3:$G$32,3,FALSE), test!$J$11:$K$14, 2, FALSE)/1440,VLOOKUP($A18,test!$A$3:$F$32,4,FALSE)=VLOOKUP(E$1,test!$A$3:$F$32,3,FALSE)),1,0)</f>
        <v>1</v>
      </c>
      <c r="F18" s="2">
        <f>IF(AND(VLOOKUP(F$1,test!$A$3:$G$32,5,FALSE)-VLOOKUP($A18,test!$A$3:$G$32,6,FALSE)&gt;=VLOOKUP(VLOOKUP(F$1, test!$A$3:$G$32,3,FALSE), test!$J$11:$K$14, 2, FALSE)/1440,VLOOKUP($A18,test!$A$3:$F$32,4,FALSE)=VLOOKUP(F$1,test!$A$3:$F$32,3,FALSE)),1,0)</f>
        <v>1</v>
      </c>
      <c r="G18" s="2">
        <f>IF(AND(VLOOKUP(G$1,test!$A$3:$G$32,5,FALSE)-VLOOKUP($A18,test!$A$3:$G$32,6,FALSE)&gt;=VLOOKUP(VLOOKUP(G$1, test!$A$3:$G$32,3,FALSE), test!$J$11:$K$14, 2, FALSE)/1440,VLOOKUP($A18,test!$A$3:$F$32,4,FALSE)=VLOOKUP(G$1,test!$A$3:$F$32,3,FALSE)),1,0)</f>
        <v>1</v>
      </c>
      <c r="H18" s="2">
        <f>IF(AND(VLOOKUP(H$1,test!$A$3:$G$32,5,FALSE)-VLOOKUP($A18,test!$A$3:$G$32,6,FALSE)&gt;=VLOOKUP(VLOOKUP(H$1, test!$A$3:$G$32,3,FALSE), test!$J$11:$K$14, 2, FALSE)/1440,VLOOKUP($A18,test!$A$3:$F$32,4,FALSE)=VLOOKUP(H$1,test!$A$3:$F$32,3,FALSE)),1,0)</f>
        <v>1</v>
      </c>
      <c r="I18" s="2">
        <f>IF(AND(VLOOKUP(I$1,test!$A$3:$G$32,5,FALSE)-VLOOKUP($A18,test!$A$3:$G$32,6,FALSE)&gt;=VLOOKUP(VLOOKUP(I$1, test!$A$3:$G$32,3,FALSE), test!$J$11:$K$14, 2, FALSE)/1440,VLOOKUP($A18,test!$A$3:$F$32,4,FALSE)=VLOOKUP(I$1,test!$A$3:$F$32,3,FALSE)),1,0)</f>
        <v>1</v>
      </c>
      <c r="J18" s="2">
        <f>IF(AND(VLOOKUP(J$1,test!$A$3:$G$32,5,FALSE)-VLOOKUP($A18,test!$A$3:$G$32,6,FALSE)&gt;=VLOOKUP(VLOOKUP(J$1, test!$A$3:$G$32,3,FALSE), test!$J$11:$K$14, 2, FALSE)/1440,VLOOKUP($A18,test!$A$3:$F$32,4,FALSE)=VLOOKUP(J$1,test!$A$3:$F$32,3,FALSE)),1,0)</f>
        <v>1</v>
      </c>
      <c r="K18" s="2">
        <f>IF(AND(VLOOKUP(K$1,test!$A$3:$G$32,5,FALSE)-VLOOKUP($A18,test!$A$3:$G$32,6,FALSE)&gt;=VLOOKUP(VLOOKUP(K$1, test!$A$3:$G$32,3,FALSE), test!$J$11:$K$14, 2, FALSE)/1440,VLOOKUP($A18,test!$A$3:$F$32,4,FALSE)=VLOOKUP(K$1,test!$A$3:$F$32,3,FALSE)),1,0)</f>
        <v>0</v>
      </c>
      <c r="L18" s="2">
        <f>IF(AND(VLOOKUP(L$1,test!$A$3:$G$32,5,FALSE)-VLOOKUP($A18,test!$A$3:$G$32,6,FALSE)&gt;=VLOOKUP(VLOOKUP(L$1, test!$A$3:$G$32,3,FALSE), test!$J$11:$K$14, 2, FALSE)/1440,VLOOKUP($A18,test!$A$3:$F$32,4,FALSE)=VLOOKUP(L$1,test!$A$3:$F$32,3,FALSE)),1,0)</f>
        <v>0</v>
      </c>
      <c r="M18" s="2">
        <f>IF(AND(VLOOKUP(M$1,test!$A$3:$G$32,5,FALSE)-VLOOKUP($A18,test!$A$3:$G$32,6,FALSE)&gt;=VLOOKUP(VLOOKUP(M$1, test!$A$3:$G$32,3,FALSE), test!$J$11:$K$14, 2, FALSE)/1440,VLOOKUP($A18,test!$A$3:$F$32,4,FALSE)=VLOOKUP(M$1,test!$A$3:$F$32,3,FALSE)),1,0)</f>
        <v>1</v>
      </c>
      <c r="N18" s="2">
        <f>IF(AND(VLOOKUP(N$1,test!$A$3:$G$32,5,FALSE)-VLOOKUP($A18,test!$A$3:$G$32,6,FALSE)&gt;=VLOOKUP(VLOOKUP(N$1, test!$A$3:$G$32,3,FALSE), test!$J$11:$K$14, 2, FALSE)/1440,VLOOKUP($A18,test!$A$3:$F$32,4,FALSE)=VLOOKUP(N$1,test!$A$3:$F$32,3,FALSE)),1,0)</f>
        <v>1</v>
      </c>
      <c r="O18" s="2">
        <f>IF(AND(VLOOKUP(O$1,test!$A$3:$G$32,5,FALSE)-VLOOKUP($A18,test!$A$3:$G$32,6,FALSE)&gt;=VLOOKUP(VLOOKUP(O$1, test!$A$3:$G$32,3,FALSE), test!$J$11:$K$14, 2, FALSE)/1440,VLOOKUP($A18,test!$A$3:$F$32,4,FALSE)=VLOOKUP(O$1,test!$A$3:$F$32,3,FALSE)),1,0)</f>
        <v>1</v>
      </c>
      <c r="P18" s="2">
        <f>IF(AND(VLOOKUP(P$1,test!$A$3:$G$32,5,FALSE)-VLOOKUP($A18,test!$A$3:$G$32,6,FALSE)&gt;=VLOOKUP(VLOOKUP(P$1, test!$A$3:$G$32,3,FALSE), test!$J$11:$K$14, 2, FALSE)/1440,VLOOKUP($A18,test!$A$3:$F$32,4,FALSE)=VLOOKUP(P$1,test!$A$3:$F$32,3,FALSE)),1,0)</f>
        <v>0</v>
      </c>
      <c r="Q18" s="2">
        <f>IF(AND(VLOOKUP(Q$1,test!$A$3:$G$32,5,FALSE)-VLOOKUP($A18,test!$A$3:$G$32,6,FALSE)&gt;=VLOOKUP(VLOOKUP(Q$1, test!$A$3:$G$32,3,FALSE), test!$J$11:$K$14, 2, FALSE)/1440,VLOOKUP($A18,test!$A$3:$F$32,4,FALSE)=VLOOKUP(Q$1,test!$A$3:$F$32,3,FALSE)),1,0)</f>
        <v>0</v>
      </c>
      <c r="R18" s="2">
        <f>IF(AND(VLOOKUP(R$1,test!$A$3:$G$32,5,FALSE)-VLOOKUP($A18,test!$A$3:$G$32,6,FALSE)&gt;=VLOOKUP(VLOOKUP(R$1, test!$A$3:$G$32,3,FALSE), test!$J$11:$K$14, 2, FALSE)/1440,VLOOKUP($A18,test!$A$3:$F$32,4,FALSE)=VLOOKUP(R$1,test!$A$3:$F$32,3,FALSE)),1,0)</f>
        <v>0</v>
      </c>
      <c r="S18" s="2">
        <f>IF(AND(VLOOKUP(S$1,test!$A$3:$G$32,5,FALSE)-VLOOKUP($A18,test!$A$3:$G$32,6,FALSE)&gt;=VLOOKUP(VLOOKUP(S$1, test!$A$3:$G$32,3,FALSE), test!$J$11:$K$14, 2, FALSE)/1440,VLOOKUP($A18,test!$A$3:$F$32,4,FALSE)=VLOOKUP(S$1,test!$A$3:$F$32,3,FALSE)),1,0)</f>
        <v>0</v>
      </c>
      <c r="T18" s="2">
        <f>IF(AND(VLOOKUP(T$1,test!$A$3:$G$32,5,FALSE)-VLOOKUP($A18,test!$A$3:$G$32,6,FALSE)&gt;=VLOOKUP(VLOOKUP(T$1, test!$A$3:$G$32,3,FALSE), test!$J$11:$K$14, 2, FALSE)/1440,VLOOKUP($A18,test!$A$3:$F$32,4,FALSE)=VLOOKUP(T$1,test!$A$3:$F$32,3,FALSE)),1,0)</f>
        <v>0</v>
      </c>
      <c r="U18" s="2">
        <f>IF(AND(VLOOKUP(U$1,test!$A$3:$G$32,5,FALSE)-VLOOKUP($A18,test!$A$3:$G$32,6,FALSE)&gt;=VLOOKUP(VLOOKUP(U$1, test!$A$3:$G$32,3,FALSE), test!$J$11:$K$14, 2, FALSE)/1440,VLOOKUP($A18,test!$A$3:$F$32,4,FALSE)=VLOOKUP(U$1,test!$A$3:$F$32,3,FALSE)),1,0)</f>
        <v>0</v>
      </c>
      <c r="V18" s="2">
        <f>IF(AND(VLOOKUP(V$1,test!$A$3:$G$32,5,FALSE)-VLOOKUP($A18,test!$A$3:$G$32,6,FALSE)&gt;=VLOOKUP(VLOOKUP(V$1, test!$A$3:$G$32,3,FALSE), test!$J$11:$K$14, 2, FALSE)/1440,VLOOKUP($A18,test!$A$3:$F$32,4,FALSE)=VLOOKUP(V$1,test!$A$3:$F$32,3,FALSE)),1,0)</f>
        <v>0</v>
      </c>
      <c r="W18" s="2">
        <f>IF(AND(VLOOKUP(W$1,test!$A$3:$G$32,5,FALSE)-VLOOKUP($A18,test!$A$3:$G$32,6,FALSE)&gt;=VLOOKUP(VLOOKUP(W$1, test!$A$3:$G$32,3,FALSE), test!$J$11:$K$14, 2, FALSE)/1440,VLOOKUP($A18,test!$A$3:$F$32,4,FALSE)=VLOOKUP(W$1,test!$A$3:$F$32,3,FALSE)),1,0)</f>
        <v>0</v>
      </c>
      <c r="X18" s="2">
        <f>IF(AND(VLOOKUP(X$1,test!$A$3:$G$32,5,FALSE)-VLOOKUP($A18,test!$A$3:$G$32,6,FALSE)&gt;=VLOOKUP(VLOOKUP(X$1, test!$A$3:$G$32,3,FALSE), test!$J$11:$K$14, 2, FALSE)/1440,VLOOKUP($A18,test!$A$3:$F$32,4,FALSE)=VLOOKUP(X$1,test!$A$3:$F$32,3,FALSE)),1,0)</f>
        <v>0</v>
      </c>
      <c r="Y18" s="2">
        <f>IF(AND(VLOOKUP(Y$1,test!$A$3:$G$32,5,FALSE)-VLOOKUP($A18,test!$A$3:$G$32,6,FALSE)&gt;=VLOOKUP(VLOOKUP(Y$1, test!$A$3:$G$32,3,FALSE), test!$J$11:$K$14, 2, FALSE)/1440,VLOOKUP($A18,test!$A$3:$F$32,4,FALSE)=VLOOKUP(Y$1,test!$A$3:$F$32,3,FALSE)),1,0)</f>
        <v>0</v>
      </c>
      <c r="Z18" s="2">
        <f>IF(AND(VLOOKUP(Z$1,test!$A$3:$G$32,5,FALSE)-VLOOKUP($A18,test!$A$3:$G$32,6,FALSE)&gt;=VLOOKUP(VLOOKUP(Z$1, test!$A$3:$G$32,3,FALSE), test!$J$11:$K$14, 2, FALSE)/1440,VLOOKUP($A18,test!$A$3:$F$32,4,FALSE)=VLOOKUP(Z$1,test!$A$3:$F$32,3,FALSE)),1,0)</f>
        <v>0</v>
      </c>
      <c r="AA18" s="2">
        <f>IF(AND(VLOOKUP(AA$1,test!$A$3:$G$32,5,FALSE)-VLOOKUP($A18,test!$A$3:$G$32,6,FALSE)&gt;=VLOOKUP(VLOOKUP(AA$1, test!$A$3:$G$32,3,FALSE), test!$J$11:$K$14, 2, FALSE)/1440,VLOOKUP($A18,test!$A$3:$F$32,4,FALSE)=VLOOKUP(AA$1,test!$A$3:$F$32,3,FALSE)),1,0)</f>
        <v>0</v>
      </c>
      <c r="AB18" s="2">
        <f>IF(AND(VLOOKUP(AB$1,test!$A$3:$G$32,5,FALSE)-VLOOKUP($A18,test!$A$3:$G$32,6,FALSE)&gt;=VLOOKUP(VLOOKUP(AB$1, test!$A$3:$G$32,3,FALSE), test!$J$11:$K$14, 2, FALSE)/1440,VLOOKUP($A18,test!$A$3:$F$32,4,FALSE)=VLOOKUP(AB$1,test!$A$3:$F$32,3,FALSE)),1,0)</f>
        <v>0</v>
      </c>
      <c r="AC18" s="2">
        <f>IF(AND(VLOOKUP(AC$1,test!$A$3:$G$32,5,FALSE)-VLOOKUP($A18,test!$A$3:$G$32,6,FALSE)&gt;=VLOOKUP(VLOOKUP(AC$1, test!$A$3:$G$32,3,FALSE), test!$J$11:$K$14, 2, FALSE)/1440,VLOOKUP($A18,test!$A$3:$F$32,4,FALSE)=VLOOKUP(AC$1,test!$A$3:$F$32,3,FALSE)),1,0)</f>
        <v>0</v>
      </c>
      <c r="AD18" s="2">
        <f>IF(AND(VLOOKUP(AD$1,test!$A$3:$G$32,5,FALSE)-VLOOKUP($A18,test!$A$3:$G$32,6,FALSE)&gt;=VLOOKUP(VLOOKUP(AD$1, test!$A$3:$G$32,3,FALSE), test!$J$11:$K$14, 2, FALSE)/1440,VLOOKUP($A18,test!$A$3:$F$32,4,FALSE)=VLOOKUP(AD$1,test!$A$3:$F$32,3,FALSE)),1,0)</f>
        <v>0</v>
      </c>
      <c r="AE18" s="2">
        <f>IF(AND(VLOOKUP(AE$1,test!$A$3:$G$32,5,FALSE)-VLOOKUP($A18,test!$A$3:$G$32,6,FALSE)&gt;=VLOOKUP(VLOOKUP(AE$1, test!$A$3:$G$32,3,FALSE), test!$J$11:$K$14, 2, FALSE)/1440,VLOOKUP($A18,test!$A$3:$F$32,4,FALSE)=VLOOKUP(AE$1,test!$A$3:$F$32,3,FALSE)),1,0)</f>
        <v>0</v>
      </c>
      <c r="AF18" s="2">
        <f>IF(AND(VLOOKUP(AF$1,test!$A$3:$G$32,5,FALSE)-VLOOKUP($A18,test!$A$3:$G$32,6,FALSE)&gt;=VLOOKUP(VLOOKUP(AF$1, test!$A$3:$G$32,3,FALSE), test!$J$11:$K$14, 2, FALSE)/1440,VLOOKUP($A18,test!$A$3:$F$32,4,FALSE)=VLOOKUP(AF$1,test!$A$3:$F$32,3,FALSE)),1,0)</f>
        <v>0</v>
      </c>
    </row>
    <row r="19" spans="1:32" x14ac:dyDescent="0.25">
      <c r="A19" t="s">
        <v>28</v>
      </c>
      <c r="B19" s="3">
        <v>1</v>
      </c>
      <c r="C19" s="2">
        <f>IF(AND(VLOOKUP(C$1,test!$A$3:$G$32,5,FALSE)-VLOOKUP($A19,test!$A$3:$G$32,6,FALSE)&gt;=VLOOKUP(VLOOKUP(C$1, test!$A$3:$G$32,3,FALSE), test!$J$11:$K$14, 2, FALSE)/1440,VLOOKUP($A19,test!$A$3:$F$32,4,FALSE)=VLOOKUP(C$1,test!$A$3:$F$32,3,FALSE)),1,0)</f>
        <v>0</v>
      </c>
      <c r="D19" s="2">
        <f>IF(AND(VLOOKUP(D$1,test!$A$3:$G$32,5,FALSE)-VLOOKUP($A19,test!$A$3:$G$32,6,FALSE)&gt;=VLOOKUP(VLOOKUP(D$1, test!$A$3:$G$32,3,FALSE), test!$J$11:$K$14, 2, FALSE)/1440,VLOOKUP($A19,test!$A$3:$F$32,4,FALSE)=VLOOKUP(D$1,test!$A$3:$F$32,3,FALSE)),1,0)</f>
        <v>0</v>
      </c>
      <c r="E19" s="2">
        <f>IF(AND(VLOOKUP(E$1,test!$A$3:$G$32,5,FALSE)-VLOOKUP($A19,test!$A$3:$G$32,6,FALSE)&gt;=VLOOKUP(VLOOKUP(E$1, test!$A$3:$G$32,3,FALSE), test!$J$11:$K$14, 2, FALSE)/1440,VLOOKUP($A19,test!$A$3:$F$32,4,FALSE)=VLOOKUP(E$1,test!$A$3:$F$32,3,FALSE)),1,0)</f>
        <v>0</v>
      </c>
      <c r="F19" s="2">
        <f>IF(AND(VLOOKUP(F$1,test!$A$3:$G$32,5,FALSE)-VLOOKUP($A19,test!$A$3:$G$32,6,FALSE)&gt;=VLOOKUP(VLOOKUP(F$1, test!$A$3:$G$32,3,FALSE), test!$J$11:$K$14, 2, FALSE)/1440,VLOOKUP($A19,test!$A$3:$F$32,4,FALSE)=VLOOKUP(F$1,test!$A$3:$F$32,3,FALSE)),1,0)</f>
        <v>1</v>
      </c>
      <c r="G19" s="2">
        <f>IF(AND(VLOOKUP(G$1,test!$A$3:$G$32,5,FALSE)-VLOOKUP($A19,test!$A$3:$G$32,6,FALSE)&gt;=VLOOKUP(VLOOKUP(G$1, test!$A$3:$G$32,3,FALSE), test!$J$11:$K$14, 2, FALSE)/1440,VLOOKUP($A19,test!$A$3:$F$32,4,FALSE)=VLOOKUP(G$1,test!$A$3:$F$32,3,FALSE)),1,0)</f>
        <v>1</v>
      </c>
      <c r="H19" s="2">
        <f>IF(AND(VLOOKUP(H$1,test!$A$3:$G$32,5,FALSE)-VLOOKUP($A19,test!$A$3:$G$32,6,FALSE)&gt;=VLOOKUP(VLOOKUP(H$1, test!$A$3:$G$32,3,FALSE), test!$J$11:$K$14, 2, FALSE)/1440,VLOOKUP($A19,test!$A$3:$F$32,4,FALSE)=VLOOKUP(H$1,test!$A$3:$F$32,3,FALSE)),1,0)</f>
        <v>1</v>
      </c>
      <c r="I19" s="2">
        <f>IF(AND(VLOOKUP(I$1,test!$A$3:$G$32,5,FALSE)-VLOOKUP($A19,test!$A$3:$G$32,6,FALSE)&gt;=VLOOKUP(VLOOKUP(I$1, test!$A$3:$G$32,3,FALSE), test!$J$11:$K$14, 2, FALSE)/1440,VLOOKUP($A19,test!$A$3:$F$32,4,FALSE)=VLOOKUP(I$1,test!$A$3:$F$32,3,FALSE)),1,0)</f>
        <v>1</v>
      </c>
      <c r="J19" s="2">
        <f>IF(AND(VLOOKUP(J$1,test!$A$3:$G$32,5,FALSE)-VLOOKUP($A19,test!$A$3:$G$32,6,FALSE)&gt;=VLOOKUP(VLOOKUP(J$1, test!$A$3:$G$32,3,FALSE), test!$J$11:$K$14, 2, FALSE)/1440,VLOOKUP($A19,test!$A$3:$F$32,4,FALSE)=VLOOKUP(J$1,test!$A$3:$F$32,3,FALSE)),1,0)</f>
        <v>1</v>
      </c>
      <c r="K19" s="2">
        <f>IF(AND(VLOOKUP(K$1,test!$A$3:$G$32,5,FALSE)-VLOOKUP($A19,test!$A$3:$G$32,6,FALSE)&gt;=VLOOKUP(VLOOKUP(K$1, test!$A$3:$G$32,3,FALSE), test!$J$11:$K$14, 2, FALSE)/1440,VLOOKUP($A19,test!$A$3:$F$32,4,FALSE)=VLOOKUP(K$1,test!$A$3:$F$32,3,FALSE)),1,0)</f>
        <v>0</v>
      </c>
      <c r="L19" s="2">
        <f>IF(AND(VLOOKUP(L$1,test!$A$3:$G$32,5,FALSE)-VLOOKUP($A19,test!$A$3:$G$32,6,FALSE)&gt;=VLOOKUP(VLOOKUP(L$1, test!$A$3:$G$32,3,FALSE), test!$J$11:$K$14, 2, FALSE)/1440,VLOOKUP($A19,test!$A$3:$F$32,4,FALSE)=VLOOKUP(L$1,test!$A$3:$F$32,3,FALSE)),1,0)</f>
        <v>0</v>
      </c>
      <c r="M19" s="2">
        <f>IF(AND(VLOOKUP(M$1,test!$A$3:$G$32,5,FALSE)-VLOOKUP($A19,test!$A$3:$G$32,6,FALSE)&gt;=VLOOKUP(VLOOKUP(M$1, test!$A$3:$G$32,3,FALSE), test!$J$11:$K$14, 2, FALSE)/1440,VLOOKUP($A19,test!$A$3:$F$32,4,FALSE)=VLOOKUP(M$1,test!$A$3:$F$32,3,FALSE)),1,0)</f>
        <v>0</v>
      </c>
      <c r="N19" s="2">
        <f>IF(AND(VLOOKUP(N$1,test!$A$3:$G$32,5,FALSE)-VLOOKUP($A19,test!$A$3:$G$32,6,FALSE)&gt;=VLOOKUP(VLOOKUP(N$1, test!$A$3:$G$32,3,FALSE), test!$J$11:$K$14, 2, FALSE)/1440,VLOOKUP($A19,test!$A$3:$F$32,4,FALSE)=VLOOKUP(N$1,test!$A$3:$F$32,3,FALSE)),1,0)</f>
        <v>1</v>
      </c>
      <c r="O19" s="2">
        <f>IF(AND(VLOOKUP(O$1,test!$A$3:$G$32,5,FALSE)-VLOOKUP($A19,test!$A$3:$G$32,6,FALSE)&gt;=VLOOKUP(VLOOKUP(O$1, test!$A$3:$G$32,3,FALSE), test!$J$11:$K$14, 2, FALSE)/1440,VLOOKUP($A19,test!$A$3:$F$32,4,FALSE)=VLOOKUP(O$1,test!$A$3:$F$32,3,FALSE)),1,0)</f>
        <v>1</v>
      </c>
      <c r="P19" s="2">
        <f>IF(AND(VLOOKUP(P$1,test!$A$3:$G$32,5,FALSE)-VLOOKUP($A19,test!$A$3:$G$32,6,FALSE)&gt;=VLOOKUP(VLOOKUP(P$1, test!$A$3:$G$32,3,FALSE), test!$J$11:$K$14, 2, FALSE)/1440,VLOOKUP($A19,test!$A$3:$F$32,4,FALSE)=VLOOKUP(P$1,test!$A$3:$F$32,3,FALSE)),1,0)</f>
        <v>0</v>
      </c>
      <c r="Q19" s="2">
        <f>IF(AND(VLOOKUP(Q$1,test!$A$3:$G$32,5,FALSE)-VLOOKUP($A19,test!$A$3:$G$32,6,FALSE)&gt;=VLOOKUP(VLOOKUP(Q$1, test!$A$3:$G$32,3,FALSE), test!$J$11:$K$14, 2, FALSE)/1440,VLOOKUP($A19,test!$A$3:$F$32,4,FALSE)=VLOOKUP(Q$1,test!$A$3:$F$32,3,FALSE)),1,0)</f>
        <v>0</v>
      </c>
      <c r="R19" s="2">
        <f>IF(AND(VLOOKUP(R$1,test!$A$3:$G$32,5,FALSE)-VLOOKUP($A19,test!$A$3:$G$32,6,FALSE)&gt;=VLOOKUP(VLOOKUP(R$1, test!$A$3:$G$32,3,FALSE), test!$J$11:$K$14, 2, FALSE)/1440,VLOOKUP($A19,test!$A$3:$F$32,4,FALSE)=VLOOKUP(R$1,test!$A$3:$F$32,3,FALSE)),1,0)</f>
        <v>0</v>
      </c>
      <c r="S19" s="2">
        <f>IF(AND(VLOOKUP(S$1,test!$A$3:$G$32,5,FALSE)-VLOOKUP($A19,test!$A$3:$G$32,6,FALSE)&gt;=VLOOKUP(VLOOKUP(S$1, test!$A$3:$G$32,3,FALSE), test!$J$11:$K$14, 2, FALSE)/1440,VLOOKUP($A19,test!$A$3:$F$32,4,FALSE)=VLOOKUP(S$1,test!$A$3:$F$32,3,FALSE)),1,0)</f>
        <v>0</v>
      </c>
      <c r="T19" s="2">
        <f>IF(AND(VLOOKUP(T$1,test!$A$3:$G$32,5,FALSE)-VLOOKUP($A19,test!$A$3:$G$32,6,FALSE)&gt;=VLOOKUP(VLOOKUP(T$1, test!$A$3:$G$32,3,FALSE), test!$J$11:$K$14, 2, FALSE)/1440,VLOOKUP($A19,test!$A$3:$F$32,4,FALSE)=VLOOKUP(T$1,test!$A$3:$F$32,3,FALSE)),1,0)</f>
        <v>0</v>
      </c>
      <c r="U19" s="2">
        <f>IF(AND(VLOOKUP(U$1,test!$A$3:$G$32,5,FALSE)-VLOOKUP($A19,test!$A$3:$G$32,6,FALSE)&gt;=VLOOKUP(VLOOKUP(U$1, test!$A$3:$G$32,3,FALSE), test!$J$11:$K$14, 2, FALSE)/1440,VLOOKUP($A19,test!$A$3:$F$32,4,FALSE)=VLOOKUP(U$1,test!$A$3:$F$32,3,FALSE)),1,0)</f>
        <v>0</v>
      </c>
      <c r="V19" s="2">
        <f>IF(AND(VLOOKUP(V$1,test!$A$3:$G$32,5,FALSE)-VLOOKUP($A19,test!$A$3:$G$32,6,FALSE)&gt;=VLOOKUP(VLOOKUP(V$1, test!$A$3:$G$32,3,FALSE), test!$J$11:$K$14, 2, FALSE)/1440,VLOOKUP($A19,test!$A$3:$F$32,4,FALSE)=VLOOKUP(V$1,test!$A$3:$F$32,3,FALSE)),1,0)</f>
        <v>0</v>
      </c>
      <c r="W19" s="2">
        <f>IF(AND(VLOOKUP(W$1,test!$A$3:$G$32,5,FALSE)-VLOOKUP($A19,test!$A$3:$G$32,6,FALSE)&gt;=VLOOKUP(VLOOKUP(W$1, test!$A$3:$G$32,3,FALSE), test!$J$11:$K$14, 2, FALSE)/1440,VLOOKUP($A19,test!$A$3:$F$32,4,FALSE)=VLOOKUP(W$1,test!$A$3:$F$32,3,FALSE)),1,0)</f>
        <v>0</v>
      </c>
      <c r="X19" s="2">
        <f>IF(AND(VLOOKUP(X$1,test!$A$3:$G$32,5,FALSE)-VLOOKUP($A19,test!$A$3:$G$32,6,FALSE)&gt;=VLOOKUP(VLOOKUP(X$1, test!$A$3:$G$32,3,FALSE), test!$J$11:$K$14, 2, FALSE)/1440,VLOOKUP($A19,test!$A$3:$F$32,4,FALSE)=VLOOKUP(X$1,test!$A$3:$F$32,3,FALSE)),1,0)</f>
        <v>0</v>
      </c>
      <c r="Y19" s="2">
        <f>IF(AND(VLOOKUP(Y$1,test!$A$3:$G$32,5,FALSE)-VLOOKUP($A19,test!$A$3:$G$32,6,FALSE)&gt;=VLOOKUP(VLOOKUP(Y$1, test!$A$3:$G$32,3,FALSE), test!$J$11:$K$14, 2, FALSE)/1440,VLOOKUP($A19,test!$A$3:$F$32,4,FALSE)=VLOOKUP(Y$1,test!$A$3:$F$32,3,FALSE)),1,0)</f>
        <v>0</v>
      </c>
      <c r="Z19" s="2">
        <f>IF(AND(VLOOKUP(Z$1,test!$A$3:$G$32,5,FALSE)-VLOOKUP($A19,test!$A$3:$G$32,6,FALSE)&gt;=VLOOKUP(VLOOKUP(Z$1, test!$A$3:$G$32,3,FALSE), test!$J$11:$K$14, 2, FALSE)/1440,VLOOKUP($A19,test!$A$3:$F$32,4,FALSE)=VLOOKUP(Z$1,test!$A$3:$F$32,3,FALSE)),1,0)</f>
        <v>0</v>
      </c>
      <c r="AA19" s="2">
        <f>IF(AND(VLOOKUP(AA$1,test!$A$3:$G$32,5,FALSE)-VLOOKUP($A19,test!$A$3:$G$32,6,FALSE)&gt;=VLOOKUP(VLOOKUP(AA$1, test!$A$3:$G$32,3,FALSE), test!$J$11:$K$14, 2, FALSE)/1440,VLOOKUP($A19,test!$A$3:$F$32,4,FALSE)=VLOOKUP(AA$1,test!$A$3:$F$32,3,FALSE)),1,0)</f>
        <v>0</v>
      </c>
      <c r="AB19" s="2">
        <f>IF(AND(VLOOKUP(AB$1,test!$A$3:$G$32,5,FALSE)-VLOOKUP($A19,test!$A$3:$G$32,6,FALSE)&gt;=VLOOKUP(VLOOKUP(AB$1, test!$A$3:$G$32,3,FALSE), test!$J$11:$K$14, 2, FALSE)/1440,VLOOKUP($A19,test!$A$3:$F$32,4,FALSE)=VLOOKUP(AB$1,test!$A$3:$F$32,3,FALSE)),1,0)</f>
        <v>0</v>
      </c>
      <c r="AC19" s="2">
        <f>IF(AND(VLOOKUP(AC$1,test!$A$3:$G$32,5,FALSE)-VLOOKUP($A19,test!$A$3:$G$32,6,FALSE)&gt;=VLOOKUP(VLOOKUP(AC$1, test!$A$3:$G$32,3,FALSE), test!$J$11:$K$14, 2, FALSE)/1440,VLOOKUP($A19,test!$A$3:$F$32,4,FALSE)=VLOOKUP(AC$1,test!$A$3:$F$32,3,FALSE)),1,0)</f>
        <v>0</v>
      </c>
      <c r="AD19" s="2">
        <f>IF(AND(VLOOKUP(AD$1,test!$A$3:$G$32,5,FALSE)-VLOOKUP($A19,test!$A$3:$G$32,6,FALSE)&gt;=VLOOKUP(VLOOKUP(AD$1, test!$A$3:$G$32,3,FALSE), test!$J$11:$K$14, 2, FALSE)/1440,VLOOKUP($A19,test!$A$3:$F$32,4,FALSE)=VLOOKUP(AD$1,test!$A$3:$F$32,3,FALSE)),1,0)</f>
        <v>0</v>
      </c>
      <c r="AE19" s="2">
        <f>IF(AND(VLOOKUP(AE$1,test!$A$3:$G$32,5,FALSE)-VLOOKUP($A19,test!$A$3:$G$32,6,FALSE)&gt;=VLOOKUP(VLOOKUP(AE$1, test!$A$3:$G$32,3,FALSE), test!$J$11:$K$14, 2, FALSE)/1440,VLOOKUP($A19,test!$A$3:$F$32,4,FALSE)=VLOOKUP(AE$1,test!$A$3:$F$32,3,FALSE)),1,0)</f>
        <v>0</v>
      </c>
      <c r="AF19" s="2">
        <f>IF(AND(VLOOKUP(AF$1,test!$A$3:$G$32,5,FALSE)-VLOOKUP($A19,test!$A$3:$G$32,6,FALSE)&gt;=VLOOKUP(VLOOKUP(AF$1, test!$A$3:$G$32,3,FALSE), test!$J$11:$K$14, 2, FALSE)/1440,VLOOKUP($A19,test!$A$3:$F$32,4,FALSE)=VLOOKUP(AF$1,test!$A$3:$F$32,3,FALSE)),1,0)</f>
        <v>0</v>
      </c>
    </row>
    <row r="20" spans="1:32" x14ac:dyDescent="0.25">
      <c r="A20" t="s">
        <v>29</v>
      </c>
      <c r="B20" s="3">
        <v>1</v>
      </c>
      <c r="C20" s="2">
        <f>IF(AND(VLOOKUP(C$1,test!$A$3:$G$32,5,FALSE)-VLOOKUP($A20,test!$A$3:$G$32,6,FALSE)&gt;=VLOOKUP(VLOOKUP(C$1, test!$A$3:$G$32,3,FALSE), test!$J$11:$K$14, 2, FALSE)/1440,VLOOKUP($A20,test!$A$3:$F$32,4,FALSE)=VLOOKUP(C$1,test!$A$3:$F$32,3,FALSE)),1,0)</f>
        <v>0</v>
      </c>
      <c r="D20" s="2">
        <f>IF(AND(VLOOKUP(D$1,test!$A$3:$G$32,5,FALSE)-VLOOKUP($A20,test!$A$3:$G$32,6,FALSE)&gt;=VLOOKUP(VLOOKUP(D$1, test!$A$3:$G$32,3,FALSE), test!$J$11:$K$14, 2, FALSE)/1440,VLOOKUP($A20,test!$A$3:$F$32,4,FALSE)=VLOOKUP(D$1,test!$A$3:$F$32,3,FALSE)),1,0)</f>
        <v>0</v>
      </c>
      <c r="E20" s="2">
        <f>IF(AND(VLOOKUP(E$1,test!$A$3:$G$32,5,FALSE)-VLOOKUP($A20,test!$A$3:$G$32,6,FALSE)&gt;=VLOOKUP(VLOOKUP(E$1, test!$A$3:$G$32,3,FALSE), test!$J$11:$K$14, 2, FALSE)/1440,VLOOKUP($A20,test!$A$3:$F$32,4,FALSE)=VLOOKUP(E$1,test!$A$3:$F$32,3,FALSE)),1,0)</f>
        <v>0</v>
      </c>
      <c r="F20" s="2">
        <f>IF(AND(VLOOKUP(F$1,test!$A$3:$G$32,5,FALSE)-VLOOKUP($A20,test!$A$3:$G$32,6,FALSE)&gt;=VLOOKUP(VLOOKUP(F$1, test!$A$3:$G$32,3,FALSE), test!$J$11:$K$14, 2, FALSE)/1440,VLOOKUP($A20,test!$A$3:$F$32,4,FALSE)=VLOOKUP(F$1,test!$A$3:$F$32,3,FALSE)),1,0)</f>
        <v>0</v>
      </c>
      <c r="G20" s="2">
        <f>IF(AND(VLOOKUP(G$1,test!$A$3:$G$32,5,FALSE)-VLOOKUP($A20,test!$A$3:$G$32,6,FALSE)&gt;=VLOOKUP(VLOOKUP(G$1, test!$A$3:$G$32,3,FALSE), test!$J$11:$K$14, 2, FALSE)/1440,VLOOKUP($A20,test!$A$3:$F$32,4,FALSE)=VLOOKUP(G$1,test!$A$3:$F$32,3,FALSE)),1,0)</f>
        <v>1</v>
      </c>
      <c r="H20" s="2">
        <f>IF(AND(VLOOKUP(H$1,test!$A$3:$G$32,5,FALSE)-VLOOKUP($A20,test!$A$3:$G$32,6,FALSE)&gt;=VLOOKUP(VLOOKUP(H$1, test!$A$3:$G$32,3,FALSE), test!$J$11:$K$14, 2, FALSE)/1440,VLOOKUP($A20,test!$A$3:$F$32,4,FALSE)=VLOOKUP(H$1,test!$A$3:$F$32,3,FALSE)),1,0)</f>
        <v>1</v>
      </c>
      <c r="I20" s="2">
        <f>IF(AND(VLOOKUP(I$1,test!$A$3:$G$32,5,FALSE)-VLOOKUP($A20,test!$A$3:$G$32,6,FALSE)&gt;=VLOOKUP(VLOOKUP(I$1, test!$A$3:$G$32,3,FALSE), test!$J$11:$K$14, 2, FALSE)/1440,VLOOKUP($A20,test!$A$3:$F$32,4,FALSE)=VLOOKUP(I$1,test!$A$3:$F$32,3,FALSE)),1,0)</f>
        <v>1</v>
      </c>
      <c r="J20" s="2">
        <f>IF(AND(VLOOKUP(J$1,test!$A$3:$G$32,5,FALSE)-VLOOKUP($A20,test!$A$3:$G$32,6,FALSE)&gt;=VLOOKUP(VLOOKUP(J$1, test!$A$3:$G$32,3,FALSE), test!$J$11:$K$14, 2, FALSE)/1440,VLOOKUP($A20,test!$A$3:$F$32,4,FALSE)=VLOOKUP(J$1,test!$A$3:$F$32,3,FALSE)),1,0)</f>
        <v>1</v>
      </c>
      <c r="K20" s="2">
        <f>IF(AND(VLOOKUP(K$1,test!$A$3:$G$32,5,FALSE)-VLOOKUP($A20,test!$A$3:$G$32,6,FALSE)&gt;=VLOOKUP(VLOOKUP(K$1, test!$A$3:$G$32,3,FALSE), test!$J$11:$K$14, 2, FALSE)/1440,VLOOKUP($A20,test!$A$3:$F$32,4,FALSE)=VLOOKUP(K$1,test!$A$3:$F$32,3,FALSE)),1,0)</f>
        <v>0</v>
      </c>
      <c r="L20" s="2">
        <f>IF(AND(VLOOKUP(L$1,test!$A$3:$G$32,5,FALSE)-VLOOKUP($A20,test!$A$3:$G$32,6,FALSE)&gt;=VLOOKUP(VLOOKUP(L$1, test!$A$3:$G$32,3,FALSE), test!$J$11:$K$14, 2, FALSE)/1440,VLOOKUP($A20,test!$A$3:$F$32,4,FALSE)=VLOOKUP(L$1,test!$A$3:$F$32,3,FALSE)),1,0)</f>
        <v>0</v>
      </c>
      <c r="M20" s="2">
        <f>IF(AND(VLOOKUP(M$1,test!$A$3:$G$32,5,FALSE)-VLOOKUP($A20,test!$A$3:$G$32,6,FALSE)&gt;=VLOOKUP(VLOOKUP(M$1, test!$A$3:$G$32,3,FALSE), test!$J$11:$K$14, 2, FALSE)/1440,VLOOKUP($A20,test!$A$3:$F$32,4,FALSE)=VLOOKUP(M$1,test!$A$3:$F$32,3,FALSE)),1,0)</f>
        <v>0</v>
      </c>
      <c r="N20" s="2">
        <f>IF(AND(VLOOKUP(N$1,test!$A$3:$G$32,5,FALSE)-VLOOKUP($A20,test!$A$3:$G$32,6,FALSE)&gt;=VLOOKUP(VLOOKUP(N$1, test!$A$3:$G$32,3,FALSE), test!$J$11:$K$14, 2, FALSE)/1440,VLOOKUP($A20,test!$A$3:$F$32,4,FALSE)=VLOOKUP(N$1,test!$A$3:$F$32,3,FALSE)),1,0)</f>
        <v>1</v>
      </c>
      <c r="O20" s="2">
        <f>IF(AND(VLOOKUP(O$1,test!$A$3:$G$32,5,FALSE)-VLOOKUP($A20,test!$A$3:$G$32,6,FALSE)&gt;=VLOOKUP(VLOOKUP(O$1, test!$A$3:$G$32,3,FALSE), test!$J$11:$K$14, 2, FALSE)/1440,VLOOKUP($A20,test!$A$3:$F$32,4,FALSE)=VLOOKUP(O$1,test!$A$3:$F$32,3,FALSE)),1,0)</f>
        <v>1</v>
      </c>
      <c r="P20" s="2">
        <f>IF(AND(VLOOKUP(P$1,test!$A$3:$G$32,5,FALSE)-VLOOKUP($A20,test!$A$3:$G$32,6,FALSE)&gt;=VLOOKUP(VLOOKUP(P$1, test!$A$3:$G$32,3,FALSE), test!$J$11:$K$14, 2, FALSE)/1440,VLOOKUP($A20,test!$A$3:$F$32,4,FALSE)=VLOOKUP(P$1,test!$A$3:$F$32,3,FALSE)),1,0)</f>
        <v>0</v>
      </c>
      <c r="Q20" s="2">
        <f>IF(AND(VLOOKUP(Q$1,test!$A$3:$G$32,5,FALSE)-VLOOKUP($A20,test!$A$3:$G$32,6,FALSE)&gt;=VLOOKUP(VLOOKUP(Q$1, test!$A$3:$G$32,3,FALSE), test!$J$11:$K$14, 2, FALSE)/1440,VLOOKUP($A20,test!$A$3:$F$32,4,FALSE)=VLOOKUP(Q$1,test!$A$3:$F$32,3,FALSE)),1,0)</f>
        <v>0</v>
      </c>
      <c r="R20" s="2">
        <f>IF(AND(VLOOKUP(R$1,test!$A$3:$G$32,5,FALSE)-VLOOKUP($A20,test!$A$3:$G$32,6,FALSE)&gt;=VLOOKUP(VLOOKUP(R$1, test!$A$3:$G$32,3,FALSE), test!$J$11:$K$14, 2, FALSE)/1440,VLOOKUP($A20,test!$A$3:$F$32,4,FALSE)=VLOOKUP(R$1,test!$A$3:$F$32,3,FALSE)),1,0)</f>
        <v>0</v>
      </c>
      <c r="S20" s="2">
        <f>IF(AND(VLOOKUP(S$1,test!$A$3:$G$32,5,FALSE)-VLOOKUP($A20,test!$A$3:$G$32,6,FALSE)&gt;=VLOOKUP(VLOOKUP(S$1, test!$A$3:$G$32,3,FALSE), test!$J$11:$K$14, 2, FALSE)/1440,VLOOKUP($A20,test!$A$3:$F$32,4,FALSE)=VLOOKUP(S$1,test!$A$3:$F$32,3,FALSE)),1,0)</f>
        <v>0</v>
      </c>
      <c r="T20" s="2">
        <f>IF(AND(VLOOKUP(T$1,test!$A$3:$G$32,5,FALSE)-VLOOKUP($A20,test!$A$3:$G$32,6,FALSE)&gt;=VLOOKUP(VLOOKUP(T$1, test!$A$3:$G$32,3,FALSE), test!$J$11:$K$14, 2, FALSE)/1440,VLOOKUP($A20,test!$A$3:$F$32,4,FALSE)=VLOOKUP(T$1,test!$A$3:$F$32,3,FALSE)),1,0)</f>
        <v>0</v>
      </c>
      <c r="U20" s="2">
        <f>IF(AND(VLOOKUP(U$1,test!$A$3:$G$32,5,FALSE)-VLOOKUP($A20,test!$A$3:$G$32,6,FALSE)&gt;=VLOOKUP(VLOOKUP(U$1, test!$A$3:$G$32,3,FALSE), test!$J$11:$K$14, 2, FALSE)/1440,VLOOKUP($A20,test!$A$3:$F$32,4,FALSE)=VLOOKUP(U$1,test!$A$3:$F$32,3,FALSE)),1,0)</f>
        <v>0</v>
      </c>
      <c r="V20" s="2">
        <f>IF(AND(VLOOKUP(V$1,test!$A$3:$G$32,5,FALSE)-VLOOKUP($A20,test!$A$3:$G$32,6,FALSE)&gt;=VLOOKUP(VLOOKUP(V$1, test!$A$3:$G$32,3,FALSE), test!$J$11:$K$14, 2, FALSE)/1440,VLOOKUP($A20,test!$A$3:$F$32,4,FALSE)=VLOOKUP(V$1,test!$A$3:$F$32,3,FALSE)),1,0)</f>
        <v>0</v>
      </c>
      <c r="W20" s="2">
        <f>IF(AND(VLOOKUP(W$1,test!$A$3:$G$32,5,FALSE)-VLOOKUP($A20,test!$A$3:$G$32,6,FALSE)&gt;=VLOOKUP(VLOOKUP(W$1, test!$A$3:$G$32,3,FALSE), test!$J$11:$K$14, 2, FALSE)/1440,VLOOKUP($A20,test!$A$3:$F$32,4,FALSE)=VLOOKUP(W$1,test!$A$3:$F$32,3,FALSE)),1,0)</f>
        <v>0</v>
      </c>
      <c r="X20" s="2">
        <f>IF(AND(VLOOKUP(X$1,test!$A$3:$G$32,5,FALSE)-VLOOKUP($A20,test!$A$3:$G$32,6,FALSE)&gt;=VLOOKUP(VLOOKUP(X$1, test!$A$3:$G$32,3,FALSE), test!$J$11:$K$14, 2, FALSE)/1440,VLOOKUP($A20,test!$A$3:$F$32,4,FALSE)=VLOOKUP(X$1,test!$A$3:$F$32,3,FALSE)),1,0)</f>
        <v>0</v>
      </c>
      <c r="Y20" s="2">
        <f>IF(AND(VLOOKUP(Y$1,test!$A$3:$G$32,5,FALSE)-VLOOKUP($A20,test!$A$3:$G$32,6,FALSE)&gt;=VLOOKUP(VLOOKUP(Y$1, test!$A$3:$G$32,3,FALSE), test!$J$11:$K$14, 2, FALSE)/1440,VLOOKUP($A20,test!$A$3:$F$32,4,FALSE)=VLOOKUP(Y$1,test!$A$3:$F$32,3,FALSE)),1,0)</f>
        <v>0</v>
      </c>
      <c r="Z20" s="2">
        <f>IF(AND(VLOOKUP(Z$1,test!$A$3:$G$32,5,FALSE)-VLOOKUP($A20,test!$A$3:$G$32,6,FALSE)&gt;=VLOOKUP(VLOOKUP(Z$1, test!$A$3:$G$32,3,FALSE), test!$J$11:$K$14, 2, FALSE)/1440,VLOOKUP($A20,test!$A$3:$F$32,4,FALSE)=VLOOKUP(Z$1,test!$A$3:$F$32,3,FALSE)),1,0)</f>
        <v>0</v>
      </c>
      <c r="AA20" s="2">
        <f>IF(AND(VLOOKUP(AA$1,test!$A$3:$G$32,5,FALSE)-VLOOKUP($A20,test!$A$3:$G$32,6,FALSE)&gt;=VLOOKUP(VLOOKUP(AA$1, test!$A$3:$G$32,3,FALSE), test!$J$11:$K$14, 2, FALSE)/1440,VLOOKUP($A20,test!$A$3:$F$32,4,FALSE)=VLOOKUP(AA$1,test!$A$3:$F$32,3,FALSE)),1,0)</f>
        <v>0</v>
      </c>
      <c r="AB20" s="2">
        <f>IF(AND(VLOOKUP(AB$1,test!$A$3:$G$32,5,FALSE)-VLOOKUP($A20,test!$A$3:$G$32,6,FALSE)&gt;=VLOOKUP(VLOOKUP(AB$1, test!$A$3:$G$32,3,FALSE), test!$J$11:$K$14, 2, FALSE)/1440,VLOOKUP($A20,test!$A$3:$F$32,4,FALSE)=VLOOKUP(AB$1,test!$A$3:$F$32,3,FALSE)),1,0)</f>
        <v>0</v>
      </c>
      <c r="AC20" s="2">
        <f>IF(AND(VLOOKUP(AC$1,test!$A$3:$G$32,5,FALSE)-VLOOKUP($A20,test!$A$3:$G$32,6,FALSE)&gt;=VLOOKUP(VLOOKUP(AC$1, test!$A$3:$G$32,3,FALSE), test!$J$11:$K$14, 2, FALSE)/1440,VLOOKUP($A20,test!$A$3:$F$32,4,FALSE)=VLOOKUP(AC$1,test!$A$3:$F$32,3,FALSE)),1,0)</f>
        <v>0</v>
      </c>
      <c r="AD20" s="2">
        <f>IF(AND(VLOOKUP(AD$1,test!$A$3:$G$32,5,FALSE)-VLOOKUP($A20,test!$A$3:$G$32,6,FALSE)&gt;=VLOOKUP(VLOOKUP(AD$1, test!$A$3:$G$32,3,FALSE), test!$J$11:$K$14, 2, FALSE)/1440,VLOOKUP($A20,test!$A$3:$F$32,4,FALSE)=VLOOKUP(AD$1,test!$A$3:$F$32,3,FALSE)),1,0)</f>
        <v>0</v>
      </c>
      <c r="AE20" s="2">
        <f>IF(AND(VLOOKUP(AE$1,test!$A$3:$G$32,5,FALSE)-VLOOKUP($A20,test!$A$3:$G$32,6,FALSE)&gt;=VLOOKUP(VLOOKUP(AE$1, test!$A$3:$G$32,3,FALSE), test!$J$11:$K$14, 2, FALSE)/1440,VLOOKUP($A20,test!$A$3:$F$32,4,FALSE)=VLOOKUP(AE$1,test!$A$3:$F$32,3,FALSE)),1,0)</f>
        <v>0</v>
      </c>
      <c r="AF20" s="2">
        <f>IF(AND(VLOOKUP(AF$1,test!$A$3:$G$32,5,FALSE)-VLOOKUP($A20,test!$A$3:$G$32,6,FALSE)&gt;=VLOOKUP(VLOOKUP(AF$1, test!$A$3:$G$32,3,FALSE), test!$J$11:$K$14, 2, FALSE)/1440,VLOOKUP($A20,test!$A$3:$F$32,4,FALSE)=VLOOKUP(AF$1,test!$A$3:$F$32,3,FALSE)),1,0)</f>
        <v>0</v>
      </c>
    </row>
    <row r="21" spans="1:32" x14ac:dyDescent="0.25">
      <c r="A21" t="s">
        <v>30</v>
      </c>
      <c r="B21" s="3">
        <v>1</v>
      </c>
      <c r="C21" s="2">
        <f>IF(AND(VLOOKUP(C$1,test!$A$3:$G$32,5,FALSE)-VLOOKUP($A21,test!$A$3:$G$32,6,FALSE)&gt;=VLOOKUP(VLOOKUP(C$1, test!$A$3:$G$32,3,FALSE), test!$J$11:$K$14, 2, FALSE)/1440,VLOOKUP($A21,test!$A$3:$F$32,4,FALSE)=VLOOKUP(C$1,test!$A$3:$F$32,3,FALSE)),1,0)</f>
        <v>0</v>
      </c>
      <c r="D21" s="2">
        <f>IF(AND(VLOOKUP(D$1,test!$A$3:$G$32,5,FALSE)-VLOOKUP($A21,test!$A$3:$G$32,6,FALSE)&gt;=VLOOKUP(VLOOKUP(D$1, test!$A$3:$G$32,3,FALSE), test!$J$11:$K$14, 2, FALSE)/1440,VLOOKUP($A21,test!$A$3:$F$32,4,FALSE)=VLOOKUP(D$1,test!$A$3:$F$32,3,FALSE)),1,0)</f>
        <v>0</v>
      </c>
      <c r="E21" s="2">
        <f>IF(AND(VLOOKUP(E$1,test!$A$3:$G$32,5,FALSE)-VLOOKUP($A21,test!$A$3:$G$32,6,FALSE)&gt;=VLOOKUP(VLOOKUP(E$1, test!$A$3:$G$32,3,FALSE), test!$J$11:$K$14, 2, FALSE)/1440,VLOOKUP($A21,test!$A$3:$F$32,4,FALSE)=VLOOKUP(E$1,test!$A$3:$F$32,3,FALSE)),1,0)</f>
        <v>0</v>
      </c>
      <c r="F21" s="2">
        <f>IF(AND(VLOOKUP(F$1,test!$A$3:$G$32,5,FALSE)-VLOOKUP($A21,test!$A$3:$G$32,6,FALSE)&gt;=VLOOKUP(VLOOKUP(F$1, test!$A$3:$G$32,3,FALSE), test!$J$11:$K$14, 2, FALSE)/1440,VLOOKUP($A21,test!$A$3:$F$32,4,FALSE)=VLOOKUP(F$1,test!$A$3:$F$32,3,FALSE)),1,0)</f>
        <v>0</v>
      </c>
      <c r="G21" s="2">
        <f>IF(AND(VLOOKUP(G$1,test!$A$3:$G$32,5,FALSE)-VLOOKUP($A21,test!$A$3:$G$32,6,FALSE)&gt;=VLOOKUP(VLOOKUP(G$1, test!$A$3:$G$32,3,FALSE), test!$J$11:$K$14, 2, FALSE)/1440,VLOOKUP($A21,test!$A$3:$F$32,4,FALSE)=VLOOKUP(G$1,test!$A$3:$F$32,3,FALSE)),1,0)</f>
        <v>0</v>
      </c>
      <c r="H21" s="2">
        <f>IF(AND(VLOOKUP(H$1,test!$A$3:$G$32,5,FALSE)-VLOOKUP($A21,test!$A$3:$G$32,6,FALSE)&gt;=VLOOKUP(VLOOKUP(H$1, test!$A$3:$G$32,3,FALSE), test!$J$11:$K$14, 2, FALSE)/1440,VLOOKUP($A21,test!$A$3:$F$32,4,FALSE)=VLOOKUP(H$1,test!$A$3:$F$32,3,FALSE)),1,0)</f>
        <v>0</v>
      </c>
      <c r="I21" s="2">
        <f>IF(AND(VLOOKUP(I$1,test!$A$3:$G$32,5,FALSE)-VLOOKUP($A21,test!$A$3:$G$32,6,FALSE)&gt;=VLOOKUP(VLOOKUP(I$1, test!$A$3:$G$32,3,FALSE), test!$J$11:$K$14, 2, FALSE)/1440,VLOOKUP($A21,test!$A$3:$F$32,4,FALSE)=VLOOKUP(I$1,test!$A$3:$F$32,3,FALSE)),1,0)</f>
        <v>1</v>
      </c>
      <c r="J21" s="2">
        <f>IF(AND(VLOOKUP(J$1,test!$A$3:$G$32,5,FALSE)-VLOOKUP($A21,test!$A$3:$G$32,6,FALSE)&gt;=VLOOKUP(VLOOKUP(J$1, test!$A$3:$G$32,3,FALSE), test!$J$11:$K$14, 2, FALSE)/1440,VLOOKUP($A21,test!$A$3:$F$32,4,FALSE)=VLOOKUP(J$1,test!$A$3:$F$32,3,FALSE)),1,0)</f>
        <v>1</v>
      </c>
      <c r="K21" s="2">
        <f>IF(AND(VLOOKUP(K$1,test!$A$3:$G$32,5,FALSE)-VLOOKUP($A21,test!$A$3:$G$32,6,FALSE)&gt;=VLOOKUP(VLOOKUP(K$1, test!$A$3:$G$32,3,FALSE), test!$J$11:$K$14, 2, FALSE)/1440,VLOOKUP($A21,test!$A$3:$F$32,4,FALSE)=VLOOKUP(K$1,test!$A$3:$F$32,3,FALSE)),1,0)</f>
        <v>0</v>
      </c>
      <c r="L21" s="2">
        <f>IF(AND(VLOOKUP(L$1,test!$A$3:$G$32,5,FALSE)-VLOOKUP($A21,test!$A$3:$G$32,6,FALSE)&gt;=VLOOKUP(VLOOKUP(L$1, test!$A$3:$G$32,3,FALSE), test!$J$11:$K$14, 2, FALSE)/1440,VLOOKUP($A21,test!$A$3:$F$32,4,FALSE)=VLOOKUP(L$1,test!$A$3:$F$32,3,FALSE)),1,0)</f>
        <v>0</v>
      </c>
      <c r="M21" s="2">
        <f>IF(AND(VLOOKUP(M$1,test!$A$3:$G$32,5,FALSE)-VLOOKUP($A21,test!$A$3:$G$32,6,FALSE)&gt;=VLOOKUP(VLOOKUP(M$1, test!$A$3:$G$32,3,FALSE), test!$J$11:$K$14, 2, FALSE)/1440,VLOOKUP($A21,test!$A$3:$F$32,4,FALSE)=VLOOKUP(M$1,test!$A$3:$F$32,3,FALSE)),1,0)</f>
        <v>0</v>
      </c>
      <c r="N21" s="2">
        <f>IF(AND(VLOOKUP(N$1,test!$A$3:$G$32,5,FALSE)-VLOOKUP($A21,test!$A$3:$G$32,6,FALSE)&gt;=VLOOKUP(VLOOKUP(N$1, test!$A$3:$G$32,3,FALSE), test!$J$11:$K$14, 2, FALSE)/1440,VLOOKUP($A21,test!$A$3:$F$32,4,FALSE)=VLOOKUP(N$1,test!$A$3:$F$32,3,FALSE)),1,0)</f>
        <v>1</v>
      </c>
      <c r="O21" s="2">
        <f>IF(AND(VLOOKUP(O$1,test!$A$3:$G$32,5,FALSE)-VLOOKUP($A21,test!$A$3:$G$32,6,FALSE)&gt;=VLOOKUP(VLOOKUP(O$1, test!$A$3:$G$32,3,FALSE), test!$J$11:$K$14, 2, FALSE)/1440,VLOOKUP($A21,test!$A$3:$F$32,4,FALSE)=VLOOKUP(O$1,test!$A$3:$F$32,3,FALSE)),1,0)</f>
        <v>1</v>
      </c>
      <c r="P21" s="2">
        <f>IF(AND(VLOOKUP(P$1,test!$A$3:$G$32,5,FALSE)-VLOOKUP($A21,test!$A$3:$G$32,6,FALSE)&gt;=VLOOKUP(VLOOKUP(P$1, test!$A$3:$G$32,3,FALSE), test!$J$11:$K$14, 2, FALSE)/1440,VLOOKUP($A21,test!$A$3:$F$32,4,FALSE)=VLOOKUP(P$1,test!$A$3:$F$32,3,FALSE)),1,0)</f>
        <v>0</v>
      </c>
      <c r="Q21" s="2">
        <f>IF(AND(VLOOKUP(Q$1,test!$A$3:$G$32,5,FALSE)-VLOOKUP($A21,test!$A$3:$G$32,6,FALSE)&gt;=VLOOKUP(VLOOKUP(Q$1, test!$A$3:$G$32,3,FALSE), test!$J$11:$K$14, 2, FALSE)/1440,VLOOKUP($A21,test!$A$3:$F$32,4,FALSE)=VLOOKUP(Q$1,test!$A$3:$F$32,3,FALSE)),1,0)</f>
        <v>0</v>
      </c>
      <c r="R21" s="2">
        <f>IF(AND(VLOOKUP(R$1,test!$A$3:$G$32,5,FALSE)-VLOOKUP($A21,test!$A$3:$G$32,6,FALSE)&gt;=VLOOKUP(VLOOKUP(R$1, test!$A$3:$G$32,3,FALSE), test!$J$11:$K$14, 2, FALSE)/1440,VLOOKUP($A21,test!$A$3:$F$32,4,FALSE)=VLOOKUP(R$1,test!$A$3:$F$32,3,FALSE)),1,0)</f>
        <v>0</v>
      </c>
      <c r="S21" s="2">
        <f>IF(AND(VLOOKUP(S$1,test!$A$3:$G$32,5,FALSE)-VLOOKUP($A21,test!$A$3:$G$32,6,FALSE)&gt;=VLOOKUP(VLOOKUP(S$1, test!$A$3:$G$32,3,FALSE), test!$J$11:$K$14, 2, FALSE)/1440,VLOOKUP($A21,test!$A$3:$F$32,4,FALSE)=VLOOKUP(S$1,test!$A$3:$F$32,3,FALSE)),1,0)</f>
        <v>0</v>
      </c>
      <c r="T21" s="2">
        <f>IF(AND(VLOOKUP(T$1,test!$A$3:$G$32,5,FALSE)-VLOOKUP($A21,test!$A$3:$G$32,6,FALSE)&gt;=VLOOKUP(VLOOKUP(T$1, test!$A$3:$G$32,3,FALSE), test!$J$11:$K$14, 2, FALSE)/1440,VLOOKUP($A21,test!$A$3:$F$32,4,FALSE)=VLOOKUP(T$1,test!$A$3:$F$32,3,FALSE)),1,0)</f>
        <v>0</v>
      </c>
      <c r="U21" s="2">
        <f>IF(AND(VLOOKUP(U$1,test!$A$3:$G$32,5,FALSE)-VLOOKUP($A21,test!$A$3:$G$32,6,FALSE)&gt;=VLOOKUP(VLOOKUP(U$1, test!$A$3:$G$32,3,FALSE), test!$J$11:$K$14, 2, FALSE)/1440,VLOOKUP($A21,test!$A$3:$F$32,4,FALSE)=VLOOKUP(U$1,test!$A$3:$F$32,3,FALSE)),1,0)</f>
        <v>0</v>
      </c>
      <c r="V21" s="2">
        <f>IF(AND(VLOOKUP(V$1,test!$A$3:$G$32,5,FALSE)-VLOOKUP($A21,test!$A$3:$G$32,6,FALSE)&gt;=VLOOKUP(VLOOKUP(V$1, test!$A$3:$G$32,3,FALSE), test!$J$11:$K$14, 2, FALSE)/1440,VLOOKUP($A21,test!$A$3:$F$32,4,FALSE)=VLOOKUP(V$1,test!$A$3:$F$32,3,FALSE)),1,0)</f>
        <v>0</v>
      </c>
      <c r="W21" s="2">
        <f>IF(AND(VLOOKUP(W$1,test!$A$3:$G$32,5,FALSE)-VLOOKUP($A21,test!$A$3:$G$32,6,FALSE)&gt;=VLOOKUP(VLOOKUP(W$1, test!$A$3:$G$32,3,FALSE), test!$J$11:$K$14, 2, FALSE)/1440,VLOOKUP($A21,test!$A$3:$F$32,4,FALSE)=VLOOKUP(W$1,test!$A$3:$F$32,3,FALSE)),1,0)</f>
        <v>0</v>
      </c>
      <c r="X21" s="2">
        <f>IF(AND(VLOOKUP(X$1,test!$A$3:$G$32,5,FALSE)-VLOOKUP($A21,test!$A$3:$G$32,6,FALSE)&gt;=VLOOKUP(VLOOKUP(X$1, test!$A$3:$G$32,3,FALSE), test!$J$11:$K$14, 2, FALSE)/1440,VLOOKUP($A21,test!$A$3:$F$32,4,FALSE)=VLOOKUP(X$1,test!$A$3:$F$32,3,FALSE)),1,0)</f>
        <v>0</v>
      </c>
      <c r="Y21" s="2">
        <f>IF(AND(VLOOKUP(Y$1,test!$A$3:$G$32,5,FALSE)-VLOOKUP($A21,test!$A$3:$G$32,6,FALSE)&gt;=VLOOKUP(VLOOKUP(Y$1, test!$A$3:$G$32,3,FALSE), test!$J$11:$K$14, 2, FALSE)/1440,VLOOKUP($A21,test!$A$3:$F$32,4,FALSE)=VLOOKUP(Y$1,test!$A$3:$F$32,3,FALSE)),1,0)</f>
        <v>0</v>
      </c>
      <c r="Z21" s="2">
        <f>IF(AND(VLOOKUP(Z$1,test!$A$3:$G$32,5,FALSE)-VLOOKUP($A21,test!$A$3:$G$32,6,FALSE)&gt;=VLOOKUP(VLOOKUP(Z$1, test!$A$3:$G$32,3,FALSE), test!$J$11:$K$14, 2, FALSE)/1440,VLOOKUP($A21,test!$A$3:$F$32,4,FALSE)=VLOOKUP(Z$1,test!$A$3:$F$32,3,FALSE)),1,0)</f>
        <v>0</v>
      </c>
      <c r="AA21" s="2">
        <f>IF(AND(VLOOKUP(AA$1,test!$A$3:$G$32,5,FALSE)-VLOOKUP($A21,test!$A$3:$G$32,6,FALSE)&gt;=VLOOKUP(VLOOKUP(AA$1, test!$A$3:$G$32,3,FALSE), test!$J$11:$K$14, 2, FALSE)/1440,VLOOKUP($A21,test!$A$3:$F$32,4,FALSE)=VLOOKUP(AA$1,test!$A$3:$F$32,3,FALSE)),1,0)</f>
        <v>0</v>
      </c>
      <c r="AB21" s="2">
        <f>IF(AND(VLOOKUP(AB$1,test!$A$3:$G$32,5,FALSE)-VLOOKUP($A21,test!$A$3:$G$32,6,FALSE)&gt;=VLOOKUP(VLOOKUP(AB$1, test!$A$3:$G$32,3,FALSE), test!$J$11:$K$14, 2, FALSE)/1440,VLOOKUP($A21,test!$A$3:$F$32,4,FALSE)=VLOOKUP(AB$1,test!$A$3:$F$32,3,FALSE)),1,0)</f>
        <v>0</v>
      </c>
      <c r="AC21" s="2">
        <f>IF(AND(VLOOKUP(AC$1,test!$A$3:$G$32,5,FALSE)-VLOOKUP($A21,test!$A$3:$G$32,6,FALSE)&gt;=VLOOKUP(VLOOKUP(AC$1, test!$A$3:$G$32,3,FALSE), test!$J$11:$K$14, 2, FALSE)/1440,VLOOKUP($A21,test!$A$3:$F$32,4,FALSE)=VLOOKUP(AC$1,test!$A$3:$F$32,3,FALSE)),1,0)</f>
        <v>0</v>
      </c>
      <c r="AD21" s="2">
        <f>IF(AND(VLOOKUP(AD$1,test!$A$3:$G$32,5,FALSE)-VLOOKUP($A21,test!$A$3:$G$32,6,FALSE)&gt;=VLOOKUP(VLOOKUP(AD$1, test!$A$3:$G$32,3,FALSE), test!$J$11:$K$14, 2, FALSE)/1440,VLOOKUP($A21,test!$A$3:$F$32,4,FALSE)=VLOOKUP(AD$1,test!$A$3:$F$32,3,FALSE)),1,0)</f>
        <v>0</v>
      </c>
      <c r="AE21" s="2">
        <f>IF(AND(VLOOKUP(AE$1,test!$A$3:$G$32,5,FALSE)-VLOOKUP($A21,test!$A$3:$G$32,6,FALSE)&gt;=VLOOKUP(VLOOKUP(AE$1, test!$A$3:$G$32,3,FALSE), test!$J$11:$K$14, 2, FALSE)/1440,VLOOKUP($A21,test!$A$3:$F$32,4,FALSE)=VLOOKUP(AE$1,test!$A$3:$F$32,3,FALSE)),1,0)</f>
        <v>0</v>
      </c>
      <c r="AF21" s="2">
        <f>IF(AND(VLOOKUP(AF$1,test!$A$3:$G$32,5,FALSE)-VLOOKUP($A21,test!$A$3:$G$32,6,FALSE)&gt;=VLOOKUP(VLOOKUP(AF$1, test!$A$3:$G$32,3,FALSE), test!$J$11:$K$14, 2, FALSE)/1440,VLOOKUP($A21,test!$A$3:$F$32,4,FALSE)=VLOOKUP(AF$1,test!$A$3:$F$32,3,FALSE)),1,0)</f>
        <v>0</v>
      </c>
    </row>
    <row r="22" spans="1:32" x14ac:dyDescent="0.25">
      <c r="A22" t="s">
        <v>31</v>
      </c>
      <c r="B22" s="3">
        <v>1</v>
      </c>
      <c r="C22" s="2">
        <f>IF(AND(VLOOKUP(C$1,test!$A$3:$G$32,5,FALSE)-VLOOKUP($A22,test!$A$3:$G$32,6,FALSE)&gt;=VLOOKUP(VLOOKUP(C$1, test!$A$3:$G$32,3,FALSE), test!$J$11:$K$14, 2, FALSE)/1440,VLOOKUP($A22,test!$A$3:$F$32,4,FALSE)=VLOOKUP(C$1,test!$A$3:$F$32,3,FALSE)),1,0)</f>
        <v>0</v>
      </c>
      <c r="D22" s="2">
        <f>IF(AND(VLOOKUP(D$1,test!$A$3:$G$32,5,FALSE)-VLOOKUP($A22,test!$A$3:$G$32,6,FALSE)&gt;=VLOOKUP(VLOOKUP(D$1, test!$A$3:$G$32,3,FALSE), test!$J$11:$K$14, 2, FALSE)/1440,VLOOKUP($A22,test!$A$3:$F$32,4,FALSE)=VLOOKUP(D$1,test!$A$3:$F$32,3,FALSE)),1,0)</f>
        <v>0</v>
      </c>
      <c r="E22" s="2">
        <f>IF(AND(VLOOKUP(E$1,test!$A$3:$G$32,5,FALSE)-VLOOKUP($A22,test!$A$3:$G$32,6,FALSE)&gt;=VLOOKUP(VLOOKUP(E$1, test!$A$3:$G$32,3,FALSE), test!$J$11:$K$14, 2, FALSE)/1440,VLOOKUP($A22,test!$A$3:$F$32,4,FALSE)=VLOOKUP(E$1,test!$A$3:$F$32,3,FALSE)),1,0)</f>
        <v>0</v>
      </c>
      <c r="F22" s="2">
        <f>IF(AND(VLOOKUP(F$1,test!$A$3:$G$32,5,FALSE)-VLOOKUP($A22,test!$A$3:$G$32,6,FALSE)&gt;=VLOOKUP(VLOOKUP(F$1, test!$A$3:$G$32,3,FALSE), test!$J$11:$K$14, 2, FALSE)/1440,VLOOKUP($A22,test!$A$3:$F$32,4,FALSE)=VLOOKUP(F$1,test!$A$3:$F$32,3,FALSE)),1,0)</f>
        <v>0</v>
      </c>
      <c r="G22" s="2">
        <f>IF(AND(VLOOKUP(G$1,test!$A$3:$G$32,5,FALSE)-VLOOKUP($A22,test!$A$3:$G$32,6,FALSE)&gt;=VLOOKUP(VLOOKUP(G$1, test!$A$3:$G$32,3,FALSE), test!$J$11:$K$14, 2, FALSE)/1440,VLOOKUP($A22,test!$A$3:$F$32,4,FALSE)=VLOOKUP(G$1,test!$A$3:$F$32,3,FALSE)),1,0)</f>
        <v>0</v>
      </c>
      <c r="H22" s="2">
        <f>IF(AND(VLOOKUP(H$1,test!$A$3:$G$32,5,FALSE)-VLOOKUP($A22,test!$A$3:$G$32,6,FALSE)&gt;=VLOOKUP(VLOOKUP(H$1, test!$A$3:$G$32,3,FALSE), test!$J$11:$K$14, 2, FALSE)/1440,VLOOKUP($A22,test!$A$3:$F$32,4,FALSE)=VLOOKUP(H$1,test!$A$3:$F$32,3,FALSE)),1,0)</f>
        <v>0</v>
      </c>
      <c r="I22" s="2">
        <f>IF(AND(VLOOKUP(I$1,test!$A$3:$G$32,5,FALSE)-VLOOKUP($A22,test!$A$3:$G$32,6,FALSE)&gt;=VLOOKUP(VLOOKUP(I$1, test!$A$3:$G$32,3,FALSE), test!$J$11:$K$14, 2, FALSE)/1440,VLOOKUP($A22,test!$A$3:$F$32,4,FALSE)=VLOOKUP(I$1,test!$A$3:$F$32,3,FALSE)),1,0)</f>
        <v>0</v>
      </c>
      <c r="J22" s="2">
        <f>IF(AND(VLOOKUP(J$1,test!$A$3:$G$32,5,FALSE)-VLOOKUP($A22,test!$A$3:$G$32,6,FALSE)&gt;=VLOOKUP(VLOOKUP(J$1, test!$A$3:$G$32,3,FALSE), test!$J$11:$K$14, 2, FALSE)/1440,VLOOKUP($A22,test!$A$3:$F$32,4,FALSE)=VLOOKUP(J$1,test!$A$3:$F$32,3,FALSE)),1,0)</f>
        <v>1</v>
      </c>
      <c r="K22" s="2">
        <f>IF(AND(VLOOKUP(K$1,test!$A$3:$G$32,5,FALSE)-VLOOKUP($A22,test!$A$3:$G$32,6,FALSE)&gt;=VLOOKUP(VLOOKUP(K$1, test!$A$3:$G$32,3,FALSE), test!$J$11:$K$14, 2, FALSE)/1440,VLOOKUP($A22,test!$A$3:$F$32,4,FALSE)=VLOOKUP(K$1,test!$A$3:$F$32,3,FALSE)),1,0)</f>
        <v>0</v>
      </c>
      <c r="L22" s="2">
        <f>IF(AND(VLOOKUP(L$1,test!$A$3:$G$32,5,FALSE)-VLOOKUP($A22,test!$A$3:$G$32,6,FALSE)&gt;=VLOOKUP(VLOOKUP(L$1, test!$A$3:$G$32,3,FALSE), test!$J$11:$K$14, 2, FALSE)/1440,VLOOKUP($A22,test!$A$3:$F$32,4,FALSE)=VLOOKUP(L$1,test!$A$3:$F$32,3,FALSE)),1,0)</f>
        <v>0</v>
      </c>
      <c r="M22" s="2">
        <f>IF(AND(VLOOKUP(M$1,test!$A$3:$G$32,5,FALSE)-VLOOKUP($A22,test!$A$3:$G$32,6,FALSE)&gt;=VLOOKUP(VLOOKUP(M$1, test!$A$3:$G$32,3,FALSE), test!$J$11:$K$14, 2, FALSE)/1440,VLOOKUP($A22,test!$A$3:$F$32,4,FALSE)=VLOOKUP(M$1,test!$A$3:$F$32,3,FALSE)),1,0)</f>
        <v>0</v>
      </c>
      <c r="N22" s="2">
        <f>IF(AND(VLOOKUP(N$1,test!$A$3:$G$32,5,FALSE)-VLOOKUP($A22,test!$A$3:$G$32,6,FALSE)&gt;=VLOOKUP(VLOOKUP(N$1, test!$A$3:$G$32,3,FALSE), test!$J$11:$K$14, 2, FALSE)/1440,VLOOKUP($A22,test!$A$3:$F$32,4,FALSE)=VLOOKUP(N$1,test!$A$3:$F$32,3,FALSE)),1,0)</f>
        <v>1</v>
      </c>
      <c r="O22" s="2">
        <f>IF(AND(VLOOKUP(O$1,test!$A$3:$G$32,5,FALSE)-VLOOKUP($A22,test!$A$3:$G$32,6,FALSE)&gt;=VLOOKUP(VLOOKUP(O$1, test!$A$3:$G$32,3,FALSE), test!$J$11:$K$14, 2, FALSE)/1440,VLOOKUP($A22,test!$A$3:$F$32,4,FALSE)=VLOOKUP(O$1,test!$A$3:$F$32,3,FALSE)),1,0)</f>
        <v>1</v>
      </c>
      <c r="P22" s="2">
        <f>IF(AND(VLOOKUP(P$1,test!$A$3:$G$32,5,FALSE)-VLOOKUP($A22,test!$A$3:$G$32,6,FALSE)&gt;=VLOOKUP(VLOOKUP(P$1, test!$A$3:$G$32,3,FALSE), test!$J$11:$K$14, 2, FALSE)/1440,VLOOKUP($A22,test!$A$3:$F$32,4,FALSE)=VLOOKUP(P$1,test!$A$3:$F$32,3,FALSE)),1,0)</f>
        <v>0</v>
      </c>
      <c r="Q22" s="2">
        <f>IF(AND(VLOOKUP(Q$1,test!$A$3:$G$32,5,FALSE)-VLOOKUP($A22,test!$A$3:$G$32,6,FALSE)&gt;=VLOOKUP(VLOOKUP(Q$1, test!$A$3:$G$32,3,FALSE), test!$J$11:$K$14, 2, FALSE)/1440,VLOOKUP($A22,test!$A$3:$F$32,4,FALSE)=VLOOKUP(Q$1,test!$A$3:$F$32,3,FALSE)),1,0)</f>
        <v>0</v>
      </c>
      <c r="R22" s="2">
        <f>IF(AND(VLOOKUP(R$1,test!$A$3:$G$32,5,FALSE)-VLOOKUP($A22,test!$A$3:$G$32,6,FALSE)&gt;=VLOOKUP(VLOOKUP(R$1, test!$A$3:$G$32,3,FALSE), test!$J$11:$K$14, 2, FALSE)/1440,VLOOKUP($A22,test!$A$3:$F$32,4,FALSE)=VLOOKUP(R$1,test!$A$3:$F$32,3,FALSE)),1,0)</f>
        <v>0</v>
      </c>
      <c r="S22" s="2">
        <f>IF(AND(VLOOKUP(S$1,test!$A$3:$G$32,5,FALSE)-VLOOKUP($A22,test!$A$3:$G$32,6,FALSE)&gt;=VLOOKUP(VLOOKUP(S$1, test!$A$3:$G$32,3,FALSE), test!$J$11:$K$14, 2, FALSE)/1440,VLOOKUP($A22,test!$A$3:$F$32,4,FALSE)=VLOOKUP(S$1,test!$A$3:$F$32,3,FALSE)),1,0)</f>
        <v>0</v>
      </c>
      <c r="T22" s="2">
        <f>IF(AND(VLOOKUP(T$1,test!$A$3:$G$32,5,FALSE)-VLOOKUP($A22,test!$A$3:$G$32,6,FALSE)&gt;=VLOOKUP(VLOOKUP(T$1, test!$A$3:$G$32,3,FALSE), test!$J$11:$K$14, 2, FALSE)/1440,VLOOKUP($A22,test!$A$3:$F$32,4,FALSE)=VLOOKUP(T$1,test!$A$3:$F$32,3,FALSE)),1,0)</f>
        <v>0</v>
      </c>
      <c r="U22" s="2">
        <f>IF(AND(VLOOKUP(U$1,test!$A$3:$G$32,5,FALSE)-VLOOKUP($A22,test!$A$3:$G$32,6,FALSE)&gt;=VLOOKUP(VLOOKUP(U$1, test!$A$3:$G$32,3,FALSE), test!$J$11:$K$14, 2, FALSE)/1440,VLOOKUP($A22,test!$A$3:$F$32,4,FALSE)=VLOOKUP(U$1,test!$A$3:$F$32,3,FALSE)),1,0)</f>
        <v>0</v>
      </c>
      <c r="V22" s="2">
        <f>IF(AND(VLOOKUP(V$1,test!$A$3:$G$32,5,FALSE)-VLOOKUP($A22,test!$A$3:$G$32,6,FALSE)&gt;=VLOOKUP(VLOOKUP(V$1, test!$A$3:$G$32,3,FALSE), test!$J$11:$K$14, 2, FALSE)/1440,VLOOKUP($A22,test!$A$3:$F$32,4,FALSE)=VLOOKUP(V$1,test!$A$3:$F$32,3,FALSE)),1,0)</f>
        <v>0</v>
      </c>
      <c r="W22" s="2">
        <f>IF(AND(VLOOKUP(W$1,test!$A$3:$G$32,5,FALSE)-VLOOKUP($A22,test!$A$3:$G$32,6,FALSE)&gt;=VLOOKUP(VLOOKUP(W$1, test!$A$3:$G$32,3,FALSE), test!$J$11:$K$14, 2, FALSE)/1440,VLOOKUP($A22,test!$A$3:$F$32,4,FALSE)=VLOOKUP(W$1,test!$A$3:$F$32,3,FALSE)),1,0)</f>
        <v>0</v>
      </c>
      <c r="X22" s="2">
        <f>IF(AND(VLOOKUP(X$1,test!$A$3:$G$32,5,FALSE)-VLOOKUP($A22,test!$A$3:$G$32,6,FALSE)&gt;=VLOOKUP(VLOOKUP(X$1, test!$A$3:$G$32,3,FALSE), test!$J$11:$K$14, 2, FALSE)/1440,VLOOKUP($A22,test!$A$3:$F$32,4,FALSE)=VLOOKUP(X$1,test!$A$3:$F$32,3,FALSE)),1,0)</f>
        <v>0</v>
      </c>
      <c r="Y22" s="2">
        <f>IF(AND(VLOOKUP(Y$1,test!$A$3:$G$32,5,FALSE)-VLOOKUP($A22,test!$A$3:$G$32,6,FALSE)&gt;=VLOOKUP(VLOOKUP(Y$1, test!$A$3:$G$32,3,FALSE), test!$J$11:$K$14, 2, FALSE)/1440,VLOOKUP($A22,test!$A$3:$F$32,4,FALSE)=VLOOKUP(Y$1,test!$A$3:$F$32,3,FALSE)),1,0)</f>
        <v>0</v>
      </c>
      <c r="Z22" s="2">
        <f>IF(AND(VLOOKUP(Z$1,test!$A$3:$G$32,5,FALSE)-VLOOKUP($A22,test!$A$3:$G$32,6,FALSE)&gt;=VLOOKUP(VLOOKUP(Z$1, test!$A$3:$G$32,3,FALSE), test!$J$11:$K$14, 2, FALSE)/1440,VLOOKUP($A22,test!$A$3:$F$32,4,FALSE)=VLOOKUP(Z$1,test!$A$3:$F$32,3,FALSE)),1,0)</f>
        <v>0</v>
      </c>
      <c r="AA22" s="2">
        <f>IF(AND(VLOOKUP(AA$1,test!$A$3:$G$32,5,FALSE)-VLOOKUP($A22,test!$A$3:$G$32,6,FALSE)&gt;=VLOOKUP(VLOOKUP(AA$1, test!$A$3:$G$32,3,FALSE), test!$J$11:$K$14, 2, FALSE)/1440,VLOOKUP($A22,test!$A$3:$F$32,4,FALSE)=VLOOKUP(AA$1,test!$A$3:$F$32,3,FALSE)),1,0)</f>
        <v>0</v>
      </c>
      <c r="AB22" s="2">
        <f>IF(AND(VLOOKUP(AB$1,test!$A$3:$G$32,5,FALSE)-VLOOKUP($A22,test!$A$3:$G$32,6,FALSE)&gt;=VLOOKUP(VLOOKUP(AB$1, test!$A$3:$G$32,3,FALSE), test!$J$11:$K$14, 2, FALSE)/1440,VLOOKUP($A22,test!$A$3:$F$32,4,FALSE)=VLOOKUP(AB$1,test!$A$3:$F$32,3,FALSE)),1,0)</f>
        <v>0</v>
      </c>
      <c r="AC22" s="2">
        <f>IF(AND(VLOOKUP(AC$1,test!$A$3:$G$32,5,FALSE)-VLOOKUP($A22,test!$A$3:$G$32,6,FALSE)&gt;=VLOOKUP(VLOOKUP(AC$1, test!$A$3:$G$32,3,FALSE), test!$J$11:$K$14, 2, FALSE)/1440,VLOOKUP($A22,test!$A$3:$F$32,4,FALSE)=VLOOKUP(AC$1,test!$A$3:$F$32,3,FALSE)),1,0)</f>
        <v>0</v>
      </c>
      <c r="AD22" s="2">
        <f>IF(AND(VLOOKUP(AD$1,test!$A$3:$G$32,5,FALSE)-VLOOKUP($A22,test!$A$3:$G$32,6,FALSE)&gt;=VLOOKUP(VLOOKUP(AD$1, test!$A$3:$G$32,3,FALSE), test!$J$11:$K$14, 2, FALSE)/1440,VLOOKUP($A22,test!$A$3:$F$32,4,FALSE)=VLOOKUP(AD$1,test!$A$3:$F$32,3,FALSE)),1,0)</f>
        <v>0</v>
      </c>
      <c r="AE22" s="2">
        <f>IF(AND(VLOOKUP(AE$1,test!$A$3:$G$32,5,FALSE)-VLOOKUP($A22,test!$A$3:$G$32,6,FALSE)&gt;=VLOOKUP(VLOOKUP(AE$1, test!$A$3:$G$32,3,FALSE), test!$J$11:$K$14, 2, FALSE)/1440,VLOOKUP($A22,test!$A$3:$F$32,4,FALSE)=VLOOKUP(AE$1,test!$A$3:$F$32,3,FALSE)),1,0)</f>
        <v>0</v>
      </c>
      <c r="AF22" s="2">
        <f>IF(AND(VLOOKUP(AF$1,test!$A$3:$G$32,5,FALSE)-VLOOKUP($A22,test!$A$3:$G$32,6,FALSE)&gt;=VLOOKUP(VLOOKUP(AF$1, test!$A$3:$G$32,3,FALSE), test!$J$11:$K$14, 2, FALSE)/1440,VLOOKUP($A22,test!$A$3:$F$32,4,FALSE)=VLOOKUP(AF$1,test!$A$3:$F$32,3,FALSE)),1,0)</f>
        <v>0</v>
      </c>
    </row>
    <row r="23" spans="1:32" x14ac:dyDescent="0.25">
      <c r="A23" t="s">
        <v>32</v>
      </c>
      <c r="B23" s="3">
        <v>1</v>
      </c>
      <c r="C23" s="2">
        <f>IF(AND(VLOOKUP(C$1,test!$A$3:$G$32,5,FALSE)-VLOOKUP($A23,test!$A$3:$G$32,6,FALSE)&gt;=VLOOKUP(VLOOKUP(C$1, test!$A$3:$G$32,3,FALSE), test!$J$11:$K$14, 2, FALSE)/1440,VLOOKUP($A23,test!$A$3:$F$32,4,FALSE)=VLOOKUP(C$1,test!$A$3:$F$32,3,FALSE)),1,0)</f>
        <v>0</v>
      </c>
      <c r="D23" s="2">
        <f>IF(AND(VLOOKUP(D$1,test!$A$3:$G$32,5,FALSE)-VLOOKUP($A23,test!$A$3:$G$32,6,FALSE)&gt;=VLOOKUP(VLOOKUP(D$1, test!$A$3:$G$32,3,FALSE), test!$J$11:$K$14, 2, FALSE)/1440,VLOOKUP($A23,test!$A$3:$F$32,4,FALSE)=VLOOKUP(D$1,test!$A$3:$F$32,3,FALSE)),1,0)</f>
        <v>0</v>
      </c>
      <c r="E23" s="2">
        <f>IF(AND(VLOOKUP(E$1,test!$A$3:$G$32,5,FALSE)-VLOOKUP($A23,test!$A$3:$G$32,6,FALSE)&gt;=VLOOKUP(VLOOKUP(E$1, test!$A$3:$G$32,3,FALSE), test!$J$11:$K$14, 2, FALSE)/1440,VLOOKUP($A23,test!$A$3:$F$32,4,FALSE)=VLOOKUP(E$1,test!$A$3:$F$32,3,FALSE)),1,0)</f>
        <v>0</v>
      </c>
      <c r="F23" s="2">
        <f>IF(AND(VLOOKUP(F$1,test!$A$3:$G$32,5,FALSE)-VLOOKUP($A23,test!$A$3:$G$32,6,FALSE)&gt;=VLOOKUP(VLOOKUP(F$1, test!$A$3:$G$32,3,FALSE), test!$J$11:$K$14, 2, FALSE)/1440,VLOOKUP($A23,test!$A$3:$F$32,4,FALSE)=VLOOKUP(F$1,test!$A$3:$F$32,3,FALSE)),1,0)</f>
        <v>0</v>
      </c>
      <c r="G23" s="2">
        <f>IF(AND(VLOOKUP(G$1,test!$A$3:$G$32,5,FALSE)-VLOOKUP($A23,test!$A$3:$G$32,6,FALSE)&gt;=VLOOKUP(VLOOKUP(G$1, test!$A$3:$G$32,3,FALSE), test!$J$11:$K$14, 2, FALSE)/1440,VLOOKUP($A23,test!$A$3:$F$32,4,FALSE)=VLOOKUP(G$1,test!$A$3:$F$32,3,FALSE)),1,0)</f>
        <v>0</v>
      </c>
      <c r="H23" s="2">
        <f>IF(AND(VLOOKUP(H$1,test!$A$3:$G$32,5,FALSE)-VLOOKUP($A23,test!$A$3:$G$32,6,FALSE)&gt;=VLOOKUP(VLOOKUP(H$1, test!$A$3:$G$32,3,FALSE), test!$J$11:$K$14, 2, FALSE)/1440,VLOOKUP($A23,test!$A$3:$F$32,4,FALSE)=VLOOKUP(H$1,test!$A$3:$F$32,3,FALSE)),1,0)</f>
        <v>0</v>
      </c>
      <c r="I23" s="2">
        <f>IF(AND(VLOOKUP(I$1,test!$A$3:$G$32,5,FALSE)-VLOOKUP($A23,test!$A$3:$G$32,6,FALSE)&gt;=VLOOKUP(VLOOKUP(I$1, test!$A$3:$G$32,3,FALSE), test!$J$11:$K$14, 2, FALSE)/1440,VLOOKUP($A23,test!$A$3:$F$32,4,FALSE)=VLOOKUP(I$1,test!$A$3:$F$32,3,FALSE)),1,0)</f>
        <v>0</v>
      </c>
      <c r="J23" s="2">
        <f>IF(AND(VLOOKUP(J$1,test!$A$3:$G$32,5,FALSE)-VLOOKUP($A23,test!$A$3:$G$32,6,FALSE)&gt;=VLOOKUP(VLOOKUP(J$1, test!$A$3:$G$32,3,FALSE), test!$J$11:$K$14, 2, FALSE)/1440,VLOOKUP($A23,test!$A$3:$F$32,4,FALSE)=VLOOKUP(J$1,test!$A$3:$F$32,3,FALSE)),1,0)</f>
        <v>0</v>
      </c>
      <c r="K23" s="2">
        <f>IF(AND(VLOOKUP(K$1,test!$A$3:$G$32,5,FALSE)-VLOOKUP($A23,test!$A$3:$G$32,6,FALSE)&gt;=VLOOKUP(VLOOKUP(K$1, test!$A$3:$G$32,3,FALSE), test!$J$11:$K$14, 2, FALSE)/1440,VLOOKUP($A23,test!$A$3:$F$32,4,FALSE)=VLOOKUP(K$1,test!$A$3:$F$32,3,FALSE)),1,0)</f>
        <v>0</v>
      </c>
      <c r="L23" s="2">
        <f>IF(AND(VLOOKUP(L$1,test!$A$3:$G$32,5,FALSE)-VLOOKUP($A23,test!$A$3:$G$32,6,FALSE)&gt;=VLOOKUP(VLOOKUP(L$1, test!$A$3:$G$32,3,FALSE), test!$J$11:$K$14, 2, FALSE)/1440,VLOOKUP($A23,test!$A$3:$F$32,4,FALSE)=VLOOKUP(L$1,test!$A$3:$F$32,3,FALSE)),1,0)</f>
        <v>0</v>
      </c>
      <c r="M23" s="2">
        <f>IF(AND(VLOOKUP(M$1,test!$A$3:$G$32,5,FALSE)-VLOOKUP($A23,test!$A$3:$G$32,6,FALSE)&gt;=VLOOKUP(VLOOKUP(M$1, test!$A$3:$G$32,3,FALSE), test!$J$11:$K$14, 2, FALSE)/1440,VLOOKUP($A23,test!$A$3:$F$32,4,FALSE)=VLOOKUP(M$1,test!$A$3:$F$32,3,FALSE)),1,0)</f>
        <v>0</v>
      </c>
      <c r="N23" s="2">
        <f>IF(AND(VLOOKUP(N$1,test!$A$3:$G$32,5,FALSE)-VLOOKUP($A23,test!$A$3:$G$32,6,FALSE)&gt;=VLOOKUP(VLOOKUP(N$1, test!$A$3:$G$32,3,FALSE), test!$J$11:$K$14, 2, FALSE)/1440,VLOOKUP($A23,test!$A$3:$F$32,4,FALSE)=VLOOKUP(N$1,test!$A$3:$F$32,3,FALSE)),1,0)</f>
        <v>0</v>
      </c>
      <c r="O23" s="2">
        <f>IF(AND(VLOOKUP(O$1,test!$A$3:$G$32,5,FALSE)-VLOOKUP($A23,test!$A$3:$G$32,6,FALSE)&gt;=VLOOKUP(VLOOKUP(O$1, test!$A$3:$G$32,3,FALSE), test!$J$11:$K$14, 2, FALSE)/1440,VLOOKUP($A23,test!$A$3:$F$32,4,FALSE)=VLOOKUP(O$1,test!$A$3:$F$32,3,FALSE)),1,0)</f>
        <v>0</v>
      </c>
      <c r="P23" s="2">
        <f>IF(AND(VLOOKUP(P$1,test!$A$3:$G$32,5,FALSE)-VLOOKUP($A23,test!$A$3:$G$32,6,FALSE)&gt;=VLOOKUP(VLOOKUP(P$1, test!$A$3:$G$32,3,FALSE), test!$J$11:$K$14, 2, FALSE)/1440,VLOOKUP($A23,test!$A$3:$F$32,4,FALSE)=VLOOKUP(P$1,test!$A$3:$F$32,3,FALSE)),1,0)</f>
        <v>0</v>
      </c>
      <c r="Q23" s="2">
        <f>IF(AND(VLOOKUP(Q$1,test!$A$3:$G$32,5,FALSE)-VLOOKUP($A23,test!$A$3:$G$32,6,FALSE)&gt;=VLOOKUP(VLOOKUP(Q$1, test!$A$3:$G$32,3,FALSE), test!$J$11:$K$14, 2, FALSE)/1440,VLOOKUP($A23,test!$A$3:$F$32,4,FALSE)=VLOOKUP(Q$1,test!$A$3:$F$32,3,FALSE)),1,0)</f>
        <v>0</v>
      </c>
      <c r="R23" s="2">
        <f>IF(AND(VLOOKUP(R$1,test!$A$3:$G$32,5,FALSE)-VLOOKUP($A23,test!$A$3:$G$32,6,FALSE)&gt;=VLOOKUP(VLOOKUP(R$1, test!$A$3:$G$32,3,FALSE), test!$J$11:$K$14, 2, FALSE)/1440,VLOOKUP($A23,test!$A$3:$F$32,4,FALSE)=VLOOKUP(R$1,test!$A$3:$F$32,3,FALSE)),1,0)</f>
        <v>0</v>
      </c>
      <c r="S23" s="2">
        <f>IF(AND(VLOOKUP(S$1,test!$A$3:$G$32,5,FALSE)-VLOOKUP($A23,test!$A$3:$G$32,6,FALSE)&gt;=VLOOKUP(VLOOKUP(S$1, test!$A$3:$G$32,3,FALSE), test!$J$11:$K$14, 2, FALSE)/1440,VLOOKUP($A23,test!$A$3:$F$32,4,FALSE)=VLOOKUP(S$1,test!$A$3:$F$32,3,FALSE)),1,0)</f>
        <v>0</v>
      </c>
      <c r="T23" s="2">
        <f>IF(AND(VLOOKUP(T$1,test!$A$3:$G$32,5,FALSE)-VLOOKUP($A23,test!$A$3:$G$32,6,FALSE)&gt;=VLOOKUP(VLOOKUP(T$1, test!$A$3:$G$32,3,FALSE), test!$J$11:$K$14, 2, FALSE)/1440,VLOOKUP($A23,test!$A$3:$F$32,4,FALSE)=VLOOKUP(T$1,test!$A$3:$F$32,3,FALSE)),1,0)</f>
        <v>0</v>
      </c>
      <c r="U23" s="2">
        <f>IF(AND(VLOOKUP(U$1,test!$A$3:$G$32,5,FALSE)-VLOOKUP($A23,test!$A$3:$G$32,6,FALSE)&gt;=VLOOKUP(VLOOKUP(U$1, test!$A$3:$G$32,3,FALSE), test!$J$11:$K$14, 2, FALSE)/1440,VLOOKUP($A23,test!$A$3:$F$32,4,FALSE)=VLOOKUP(U$1,test!$A$3:$F$32,3,FALSE)),1,0)</f>
        <v>0</v>
      </c>
      <c r="V23" s="2">
        <f>IF(AND(VLOOKUP(V$1,test!$A$3:$G$32,5,FALSE)-VLOOKUP($A23,test!$A$3:$G$32,6,FALSE)&gt;=VLOOKUP(VLOOKUP(V$1, test!$A$3:$G$32,3,FALSE), test!$J$11:$K$14, 2, FALSE)/1440,VLOOKUP($A23,test!$A$3:$F$32,4,FALSE)=VLOOKUP(V$1,test!$A$3:$F$32,3,FALSE)),1,0)</f>
        <v>0</v>
      </c>
      <c r="W23" s="2">
        <f>IF(AND(VLOOKUP(W$1,test!$A$3:$G$32,5,FALSE)-VLOOKUP($A23,test!$A$3:$G$32,6,FALSE)&gt;=VLOOKUP(VLOOKUP(W$1, test!$A$3:$G$32,3,FALSE), test!$J$11:$K$14, 2, FALSE)/1440,VLOOKUP($A23,test!$A$3:$F$32,4,FALSE)=VLOOKUP(W$1,test!$A$3:$F$32,3,FALSE)),1,0)</f>
        <v>0</v>
      </c>
      <c r="X23" s="2">
        <f>IF(AND(VLOOKUP(X$1,test!$A$3:$G$32,5,FALSE)-VLOOKUP($A23,test!$A$3:$G$32,6,FALSE)&gt;=VLOOKUP(VLOOKUP(X$1, test!$A$3:$G$32,3,FALSE), test!$J$11:$K$14, 2, FALSE)/1440,VLOOKUP($A23,test!$A$3:$F$32,4,FALSE)=VLOOKUP(X$1,test!$A$3:$F$32,3,FALSE)),1,0)</f>
        <v>0</v>
      </c>
      <c r="Y23" s="2">
        <f>IF(AND(VLOOKUP(Y$1,test!$A$3:$G$32,5,FALSE)-VLOOKUP($A23,test!$A$3:$G$32,6,FALSE)&gt;=VLOOKUP(VLOOKUP(Y$1, test!$A$3:$G$32,3,FALSE), test!$J$11:$K$14, 2, FALSE)/1440,VLOOKUP($A23,test!$A$3:$F$32,4,FALSE)=VLOOKUP(Y$1,test!$A$3:$F$32,3,FALSE)),1,0)</f>
        <v>0</v>
      </c>
      <c r="Z23" s="2">
        <f>IF(AND(VLOOKUP(Z$1,test!$A$3:$G$32,5,FALSE)-VLOOKUP($A23,test!$A$3:$G$32,6,FALSE)&gt;=VLOOKUP(VLOOKUP(Z$1, test!$A$3:$G$32,3,FALSE), test!$J$11:$K$14, 2, FALSE)/1440,VLOOKUP($A23,test!$A$3:$F$32,4,FALSE)=VLOOKUP(Z$1,test!$A$3:$F$32,3,FALSE)),1,0)</f>
        <v>0</v>
      </c>
      <c r="AA23" s="2">
        <f>IF(AND(VLOOKUP(AA$1,test!$A$3:$G$32,5,FALSE)-VLOOKUP($A23,test!$A$3:$G$32,6,FALSE)&gt;=VLOOKUP(VLOOKUP(AA$1, test!$A$3:$G$32,3,FALSE), test!$J$11:$K$14, 2, FALSE)/1440,VLOOKUP($A23,test!$A$3:$F$32,4,FALSE)=VLOOKUP(AA$1,test!$A$3:$F$32,3,FALSE)),1,0)</f>
        <v>0</v>
      </c>
      <c r="AB23" s="2">
        <f>IF(AND(VLOOKUP(AB$1,test!$A$3:$G$32,5,FALSE)-VLOOKUP($A23,test!$A$3:$G$32,6,FALSE)&gt;=VLOOKUP(VLOOKUP(AB$1, test!$A$3:$G$32,3,FALSE), test!$J$11:$K$14, 2, FALSE)/1440,VLOOKUP($A23,test!$A$3:$F$32,4,FALSE)=VLOOKUP(AB$1,test!$A$3:$F$32,3,FALSE)),1,0)</f>
        <v>0</v>
      </c>
      <c r="AC23" s="2">
        <f>IF(AND(VLOOKUP(AC$1,test!$A$3:$G$32,5,FALSE)-VLOOKUP($A23,test!$A$3:$G$32,6,FALSE)&gt;=VLOOKUP(VLOOKUP(AC$1, test!$A$3:$G$32,3,FALSE), test!$J$11:$K$14, 2, FALSE)/1440,VLOOKUP($A23,test!$A$3:$F$32,4,FALSE)=VLOOKUP(AC$1,test!$A$3:$F$32,3,FALSE)),1,0)</f>
        <v>0</v>
      </c>
      <c r="AD23" s="2">
        <f>IF(AND(VLOOKUP(AD$1,test!$A$3:$G$32,5,FALSE)-VLOOKUP($A23,test!$A$3:$G$32,6,FALSE)&gt;=VLOOKUP(VLOOKUP(AD$1, test!$A$3:$G$32,3,FALSE), test!$J$11:$K$14, 2, FALSE)/1440,VLOOKUP($A23,test!$A$3:$F$32,4,FALSE)=VLOOKUP(AD$1,test!$A$3:$F$32,3,FALSE)),1,0)</f>
        <v>0</v>
      </c>
      <c r="AE23" s="2">
        <f>IF(AND(VLOOKUP(AE$1,test!$A$3:$G$32,5,FALSE)-VLOOKUP($A23,test!$A$3:$G$32,6,FALSE)&gt;=VLOOKUP(VLOOKUP(AE$1, test!$A$3:$G$32,3,FALSE), test!$J$11:$K$14, 2, FALSE)/1440,VLOOKUP($A23,test!$A$3:$F$32,4,FALSE)=VLOOKUP(AE$1,test!$A$3:$F$32,3,FALSE)),1,0)</f>
        <v>0</v>
      </c>
      <c r="AF23" s="2">
        <f>IF(AND(VLOOKUP(AF$1,test!$A$3:$G$32,5,FALSE)-VLOOKUP($A23,test!$A$3:$G$32,6,FALSE)&gt;=VLOOKUP(VLOOKUP(AF$1, test!$A$3:$G$32,3,FALSE), test!$J$11:$K$14, 2, FALSE)/1440,VLOOKUP($A23,test!$A$3:$F$32,4,FALSE)=VLOOKUP(AF$1,test!$A$3:$F$32,3,FALSE)),1,0)</f>
        <v>0</v>
      </c>
    </row>
    <row r="24" spans="1:32" x14ac:dyDescent="0.25">
      <c r="A24" t="s">
        <v>33</v>
      </c>
      <c r="B24" s="3">
        <v>1</v>
      </c>
      <c r="C24" s="2">
        <f>IF(AND(VLOOKUP(C$1,test!$A$3:$G$32,5,FALSE)-VLOOKUP($A24,test!$A$3:$G$32,6,FALSE)&gt;=VLOOKUP(VLOOKUP(C$1, test!$A$3:$G$32,3,FALSE), test!$J$11:$K$14, 2, FALSE)/1440,VLOOKUP($A24,test!$A$3:$F$32,4,FALSE)=VLOOKUP(C$1,test!$A$3:$F$32,3,FALSE)),1,0)</f>
        <v>0</v>
      </c>
      <c r="D24" s="2">
        <f>IF(AND(VLOOKUP(D$1,test!$A$3:$G$32,5,FALSE)-VLOOKUP($A24,test!$A$3:$G$32,6,FALSE)&gt;=VLOOKUP(VLOOKUP(D$1, test!$A$3:$G$32,3,FALSE), test!$J$11:$K$14, 2, FALSE)/1440,VLOOKUP($A24,test!$A$3:$F$32,4,FALSE)=VLOOKUP(D$1,test!$A$3:$F$32,3,FALSE)),1,0)</f>
        <v>0</v>
      </c>
      <c r="E24" s="2">
        <f>IF(AND(VLOOKUP(E$1,test!$A$3:$G$32,5,FALSE)-VLOOKUP($A24,test!$A$3:$G$32,6,FALSE)&gt;=VLOOKUP(VLOOKUP(E$1, test!$A$3:$G$32,3,FALSE), test!$J$11:$K$14, 2, FALSE)/1440,VLOOKUP($A24,test!$A$3:$F$32,4,FALSE)=VLOOKUP(E$1,test!$A$3:$F$32,3,FALSE)),1,0)</f>
        <v>0</v>
      </c>
      <c r="F24" s="2">
        <f>IF(AND(VLOOKUP(F$1,test!$A$3:$G$32,5,FALSE)-VLOOKUP($A24,test!$A$3:$G$32,6,FALSE)&gt;=VLOOKUP(VLOOKUP(F$1, test!$A$3:$G$32,3,FALSE), test!$J$11:$K$14, 2, FALSE)/1440,VLOOKUP($A24,test!$A$3:$F$32,4,FALSE)=VLOOKUP(F$1,test!$A$3:$F$32,3,FALSE)),1,0)</f>
        <v>0</v>
      </c>
      <c r="G24" s="2">
        <f>IF(AND(VLOOKUP(G$1,test!$A$3:$G$32,5,FALSE)-VLOOKUP($A24,test!$A$3:$G$32,6,FALSE)&gt;=VLOOKUP(VLOOKUP(G$1, test!$A$3:$G$32,3,FALSE), test!$J$11:$K$14, 2, FALSE)/1440,VLOOKUP($A24,test!$A$3:$F$32,4,FALSE)=VLOOKUP(G$1,test!$A$3:$F$32,3,FALSE)),1,0)</f>
        <v>0</v>
      </c>
      <c r="H24" s="2">
        <f>IF(AND(VLOOKUP(H$1,test!$A$3:$G$32,5,FALSE)-VLOOKUP($A24,test!$A$3:$G$32,6,FALSE)&gt;=VLOOKUP(VLOOKUP(H$1, test!$A$3:$G$32,3,FALSE), test!$J$11:$K$14, 2, FALSE)/1440,VLOOKUP($A24,test!$A$3:$F$32,4,FALSE)=VLOOKUP(H$1,test!$A$3:$F$32,3,FALSE)),1,0)</f>
        <v>0</v>
      </c>
      <c r="I24" s="2">
        <f>IF(AND(VLOOKUP(I$1,test!$A$3:$G$32,5,FALSE)-VLOOKUP($A24,test!$A$3:$G$32,6,FALSE)&gt;=VLOOKUP(VLOOKUP(I$1, test!$A$3:$G$32,3,FALSE), test!$J$11:$K$14, 2, FALSE)/1440,VLOOKUP($A24,test!$A$3:$F$32,4,FALSE)=VLOOKUP(I$1,test!$A$3:$F$32,3,FALSE)),1,0)</f>
        <v>0</v>
      </c>
      <c r="J24" s="2">
        <f>IF(AND(VLOOKUP(J$1,test!$A$3:$G$32,5,FALSE)-VLOOKUP($A24,test!$A$3:$G$32,6,FALSE)&gt;=VLOOKUP(VLOOKUP(J$1, test!$A$3:$G$32,3,FALSE), test!$J$11:$K$14, 2, FALSE)/1440,VLOOKUP($A24,test!$A$3:$F$32,4,FALSE)=VLOOKUP(J$1,test!$A$3:$F$32,3,FALSE)),1,0)</f>
        <v>0</v>
      </c>
      <c r="K24" s="2">
        <f>IF(AND(VLOOKUP(K$1,test!$A$3:$G$32,5,FALSE)-VLOOKUP($A24,test!$A$3:$G$32,6,FALSE)&gt;=VLOOKUP(VLOOKUP(K$1, test!$A$3:$G$32,3,FALSE), test!$J$11:$K$14, 2, FALSE)/1440,VLOOKUP($A24,test!$A$3:$F$32,4,FALSE)=VLOOKUP(K$1,test!$A$3:$F$32,3,FALSE)),1,0)</f>
        <v>0</v>
      </c>
      <c r="L24" s="2">
        <f>IF(AND(VLOOKUP(L$1,test!$A$3:$G$32,5,FALSE)-VLOOKUP($A24,test!$A$3:$G$32,6,FALSE)&gt;=VLOOKUP(VLOOKUP(L$1, test!$A$3:$G$32,3,FALSE), test!$J$11:$K$14, 2, FALSE)/1440,VLOOKUP($A24,test!$A$3:$F$32,4,FALSE)=VLOOKUP(L$1,test!$A$3:$F$32,3,FALSE)),1,0)</f>
        <v>0</v>
      </c>
      <c r="M24" s="2">
        <f>IF(AND(VLOOKUP(M$1,test!$A$3:$G$32,5,FALSE)-VLOOKUP($A24,test!$A$3:$G$32,6,FALSE)&gt;=VLOOKUP(VLOOKUP(M$1, test!$A$3:$G$32,3,FALSE), test!$J$11:$K$14, 2, FALSE)/1440,VLOOKUP($A24,test!$A$3:$F$32,4,FALSE)=VLOOKUP(M$1,test!$A$3:$F$32,3,FALSE)),1,0)</f>
        <v>0</v>
      </c>
      <c r="N24" s="2">
        <f>IF(AND(VLOOKUP(N$1,test!$A$3:$G$32,5,FALSE)-VLOOKUP($A24,test!$A$3:$G$32,6,FALSE)&gt;=VLOOKUP(VLOOKUP(N$1, test!$A$3:$G$32,3,FALSE), test!$J$11:$K$14, 2, FALSE)/1440,VLOOKUP($A24,test!$A$3:$F$32,4,FALSE)=VLOOKUP(N$1,test!$A$3:$F$32,3,FALSE)),1,0)</f>
        <v>0</v>
      </c>
      <c r="O24" s="2">
        <f>IF(AND(VLOOKUP(O$1,test!$A$3:$G$32,5,FALSE)-VLOOKUP($A24,test!$A$3:$G$32,6,FALSE)&gt;=VLOOKUP(VLOOKUP(O$1, test!$A$3:$G$32,3,FALSE), test!$J$11:$K$14, 2, FALSE)/1440,VLOOKUP($A24,test!$A$3:$F$32,4,FALSE)=VLOOKUP(O$1,test!$A$3:$F$32,3,FALSE)),1,0)</f>
        <v>0</v>
      </c>
      <c r="P24" s="2">
        <f>IF(AND(VLOOKUP(P$1,test!$A$3:$G$32,5,FALSE)-VLOOKUP($A24,test!$A$3:$G$32,6,FALSE)&gt;=VLOOKUP(VLOOKUP(P$1, test!$A$3:$G$32,3,FALSE), test!$J$11:$K$14, 2, FALSE)/1440,VLOOKUP($A24,test!$A$3:$F$32,4,FALSE)=VLOOKUP(P$1,test!$A$3:$F$32,3,FALSE)),1,0)</f>
        <v>0</v>
      </c>
      <c r="Q24" s="2">
        <f>IF(AND(VLOOKUP(Q$1,test!$A$3:$G$32,5,FALSE)-VLOOKUP($A24,test!$A$3:$G$32,6,FALSE)&gt;=VLOOKUP(VLOOKUP(Q$1, test!$A$3:$G$32,3,FALSE), test!$J$11:$K$14, 2, FALSE)/1440,VLOOKUP($A24,test!$A$3:$F$32,4,FALSE)=VLOOKUP(Q$1,test!$A$3:$F$32,3,FALSE)),1,0)</f>
        <v>0</v>
      </c>
      <c r="R24" s="2">
        <f>IF(AND(VLOOKUP(R$1,test!$A$3:$G$32,5,FALSE)-VLOOKUP($A24,test!$A$3:$G$32,6,FALSE)&gt;=VLOOKUP(VLOOKUP(R$1, test!$A$3:$G$32,3,FALSE), test!$J$11:$K$14, 2, FALSE)/1440,VLOOKUP($A24,test!$A$3:$F$32,4,FALSE)=VLOOKUP(R$1,test!$A$3:$F$32,3,FALSE)),1,0)</f>
        <v>0</v>
      </c>
      <c r="S24" s="2">
        <f>IF(AND(VLOOKUP(S$1,test!$A$3:$G$32,5,FALSE)-VLOOKUP($A24,test!$A$3:$G$32,6,FALSE)&gt;=VLOOKUP(VLOOKUP(S$1, test!$A$3:$G$32,3,FALSE), test!$J$11:$K$14, 2, FALSE)/1440,VLOOKUP($A24,test!$A$3:$F$32,4,FALSE)=VLOOKUP(S$1,test!$A$3:$F$32,3,FALSE)),1,0)</f>
        <v>0</v>
      </c>
      <c r="T24" s="2">
        <f>IF(AND(VLOOKUP(T$1,test!$A$3:$G$32,5,FALSE)-VLOOKUP($A24,test!$A$3:$G$32,6,FALSE)&gt;=VLOOKUP(VLOOKUP(T$1, test!$A$3:$G$32,3,FALSE), test!$J$11:$K$14, 2, FALSE)/1440,VLOOKUP($A24,test!$A$3:$F$32,4,FALSE)=VLOOKUP(T$1,test!$A$3:$F$32,3,FALSE)),1,0)</f>
        <v>0</v>
      </c>
      <c r="U24" s="2">
        <f>IF(AND(VLOOKUP(U$1,test!$A$3:$G$32,5,FALSE)-VLOOKUP($A24,test!$A$3:$G$32,6,FALSE)&gt;=VLOOKUP(VLOOKUP(U$1, test!$A$3:$G$32,3,FALSE), test!$J$11:$K$14, 2, FALSE)/1440,VLOOKUP($A24,test!$A$3:$F$32,4,FALSE)=VLOOKUP(U$1,test!$A$3:$F$32,3,FALSE)),1,0)</f>
        <v>0</v>
      </c>
      <c r="V24" s="2">
        <f>IF(AND(VLOOKUP(V$1,test!$A$3:$G$32,5,FALSE)-VLOOKUP($A24,test!$A$3:$G$32,6,FALSE)&gt;=VLOOKUP(VLOOKUP(V$1, test!$A$3:$G$32,3,FALSE), test!$J$11:$K$14, 2, FALSE)/1440,VLOOKUP($A24,test!$A$3:$F$32,4,FALSE)=VLOOKUP(V$1,test!$A$3:$F$32,3,FALSE)),1,0)</f>
        <v>0</v>
      </c>
      <c r="W24" s="2">
        <f>IF(AND(VLOOKUP(W$1,test!$A$3:$G$32,5,FALSE)-VLOOKUP($A24,test!$A$3:$G$32,6,FALSE)&gt;=VLOOKUP(VLOOKUP(W$1, test!$A$3:$G$32,3,FALSE), test!$J$11:$K$14, 2, FALSE)/1440,VLOOKUP($A24,test!$A$3:$F$32,4,FALSE)=VLOOKUP(W$1,test!$A$3:$F$32,3,FALSE)),1,0)</f>
        <v>0</v>
      </c>
      <c r="X24" s="2">
        <f>IF(AND(VLOOKUP(X$1,test!$A$3:$G$32,5,FALSE)-VLOOKUP($A24,test!$A$3:$G$32,6,FALSE)&gt;=VLOOKUP(VLOOKUP(X$1, test!$A$3:$G$32,3,FALSE), test!$J$11:$K$14, 2, FALSE)/1440,VLOOKUP($A24,test!$A$3:$F$32,4,FALSE)=VLOOKUP(X$1,test!$A$3:$F$32,3,FALSE)),1,0)</f>
        <v>0</v>
      </c>
      <c r="Y24" s="2">
        <f>IF(AND(VLOOKUP(Y$1,test!$A$3:$G$32,5,FALSE)-VLOOKUP($A24,test!$A$3:$G$32,6,FALSE)&gt;=VLOOKUP(VLOOKUP(Y$1, test!$A$3:$G$32,3,FALSE), test!$J$11:$K$14, 2, FALSE)/1440,VLOOKUP($A24,test!$A$3:$F$32,4,FALSE)=VLOOKUP(Y$1,test!$A$3:$F$32,3,FALSE)),1,0)</f>
        <v>0</v>
      </c>
      <c r="Z24" s="2">
        <f>IF(AND(VLOOKUP(Z$1,test!$A$3:$G$32,5,FALSE)-VLOOKUP($A24,test!$A$3:$G$32,6,FALSE)&gt;=VLOOKUP(VLOOKUP(Z$1, test!$A$3:$G$32,3,FALSE), test!$J$11:$K$14, 2, FALSE)/1440,VLOOKUP($A24,test!$A$3:$F$32,4,FALSE)=VLOOKUP(Z$1,test!$A$3:$F$32,3,FALSE)),1,0)</f>
        <v>0</v>
      </c>
      <c r="AA24" s="2">
        <f>IF(AND(VLOOKUP(AA$1,test!$A$3:$G$32,5,FALSE)-VLOOKUP($A24,test!$A$3:$G$32,6,FALSE)&gt;=VLOOKUP(VLOOKUP(AA$1, test!$A$3:$G$32,3,FALSE), test!$J$11:$K$14, 2, FALSE)/1440,VLOOKUP($A24,test!$A$3:$F$32,4,FALSE)=VLOOKUP(AA$1,test!$A$3:$F$32,3,FALSE)),1,0)</f>
        <v>0</v>
      </c>
      <c r="AB24" s="2">
        <f>IF(AND(VLOOKUP(AB$1,test!$A$3:$G$32,5,FALSE)-VLOOKUP($A24,test!$A$3:$G$32,6,FALSE)&gt;=VLOOKUP(VLOOKUP(AB$1, test!$A$3:$G$32,3,FALSE), test!$J$11:$K$14, 2, FALSE)/1440,VLOOKUP($A24,test!$A$3:$F$32,4,FALSE)=VLOOKUP(AB$1,test!$A$3:$F$32,3,FALSE)),1,0)</f>
        <v>0</v>
      </c>
      <c r="AC24" s="2">
        <f>IF(AND(VLOOKUP(AC$1,test!$A$3:$G$32,5,FALSE)-VLOOKUP($A24,test!$A$3:$G$32,6,FALSE)&gt;=VLOOKUP(VLOOKUP(AC$1, test!$A$3:$G$32,3,FALSE), test!$J$11:$K$14, 2, FALSE)/1440,VLOOKUP($A24,test!$A$3:$F$32,4,FALSE)=VLOOKUP(AC$1,test!$A$3:$F$32,3,FALSE)),1,0)</f>
        <v>0</v>
      </c>
      <c r="AD24" s="2">
        <f>IF(AND(VLOOKUP(AD$1,test!$A$3:$G$32,5,FALSE)-VLOOKUP($A24,test!$A$3:$G$32,6,FALSE)&gt;=VLOOKUP(VLOOKUP(AD$1, test!$A$3:$G$32,3,FALSE), test!$J$11:$K$14, 2, FALSE)/1440,VLOOKUP($A24,test!$A$3:$F$32,4,FALSE)=VLOOKUP(AD$1,test!$A$3:$F$32,3,FALSE)),1,0)</f>
        <v>0</v>
      </c>
      <c r="AE24" s="2">
        <f>IF(AND(VLOOKUP(AE$1,test!$A$3:$G$32,5,FALSE)-VLOOKUP($A24,test!$A$3:$G$32,6,FALSE)&gt;=VLOOKUP(VLOOKUP(AE$1, test!$A$3:$G$32,3,FALSE), test!$J$11:$K$14, 2, FALSE)/1440,VLOOKUP($A24,test!$A$3:$F$32,4,FALSE)=VLOOKUP(AE$1,test!$A$3:$F$32,3,FALSE)),1,0)</f>
        <v>0</v>
      </c>
      <c r="AF24" s="2">
        <f>IF(AND(VLOOKUP(AF$1,test!$A$3:$G$32,5,FALSE)-VLOOKUP($A24,test!$A$3:$G$32,6,FALSE)&gt;=VLOOKUP(VLOOKUP(AF$1, test!$A$3:$G$32,3,FALSE), test!$J$11:$K$14, 2, FALSE)/1440,VLOOKUP($A24,test!$A$3:$F$32,4,FALSE)=VLOOKUP(AF$1,test!$A$3:$F$32,3,FALSE)),1,0)</f>
        <v>0</v>
      </c>
    </row>
    <row r="25" spans="1:32" x14ac:dyDescent="0.25">
      <c r="A25" t="s">
        <v>34</v>
      </c>
      <c r="B25" s="3">
        <v>1</v>
      </c>
      <c r="C25" s="2">
        <f>IF(AND(VLOOKUP(C$1,test!$A$3:$G$32,5,FALSE)-VLOOKUP($A25,test!$A$3:$G$32,6,FALSE)&gt;=VLOOKUP(VLOOKUP(C$1, test!$A$3:$G$32,3,FALSE), test!$J$11:$K$14, 2, FALSE)/1440,VLOOKUP($A25,test!$A$3:$F$32,4,FALSE)=VLOOKUP(C$1,test!$A$3:$F$32,3,FALSE)),1,0)</f>
        <v>0</v>
      </c>
      <c r="D25" s="2">
        <f>IF(AND(VLOOKUP(D$1,test!$A$3:$G$32,5,FALSE)-VLOOKUP($A25,test!$A$3:$G$32,6,FALSE)&gt;=VLOOKUP(VLOOKUP(D$1, test!$A$3:$G$32,3,FALSE), test!$J$11:$K$14, 2, FALSE)/1440,VLOOKUP($A25,test!$A$3:$F$32,4,FALSE)=VLOOKUP(D$1,test!$A$3:$F$32,3,FALSE)),1,0)</f>
        <v>1</v>
      </c>
      <c r="E25" s="2">
        <f>IF(AND(VLOOKUP(E$1,test!$A$3:$G$32,5,FALSE)-VLOOKUP($A25,test!$A$3:$G$32,6,FALSE)&gt;=VLOOKUP(VLOOKUP(E$1, test!$A$3:$G$32,3,FALSE), test!$J$11:$K$14, 2, FALSE)/1440,VLOOKUP($A25,test!$A$3:$F$32,4,FALSE)=VLOOKUP(E$1,test!$A$3:$F$32,3,FALSE)),1,0)</f>
        <v>1</v>
      </c>
      <c r="F25" s="2">
        <f>IF(AND(VLOOKUP(F$1,test!$A$3:$G$32,5,FALSE)-VLOOKUP($A25,test!$A$3:$G$32,6,FALSE)&gt;=VLOOKUP(VLOOKUP(F$1, test!$A$3:$G$32,3,FALSE), test!$J$11:$K$14, 2, FALSE)/1440,VLOOKUP($A25,test!$A$3:$F$32,4,FALSE)=VLOOKUP(F$1,test!$A$3:$F$32,3,FALSE)),1,0)</f>
        <v>1</v>
      </c>
      <c r="G25" s="2">
        <f>IF(AND(VLOOKUP(G$1,test!$A$3:$G$32,5,FALSE)-VLOOKUP($A25,test!$A$3:$G$32,6,FALSE)&gt;=VLOOKUP(VLOOKUP(G$1, test!$A$3:$G$32,3,FALSE), test!$J$11:$K$14, 2, FALSE)/1440,VLOOKUP($A25,test!$A$3:$F$32,4,FALSE)=VLOOKUP(G$1,test!$A$3:$F$32,3,FALSE)),1,0)</f>
        <v>1</v>
      </c>
      <c r="H25" s="2">
        <f>IF(AND(VLOOKUP(H$1,test!$A$3:$G$32,5,FALSE)-VLOOKUP($A25,test!$A$3:$G$32,6,FALSE)&gt;=VLOOKUP(VLOOKUP(H$1, test!$A$3:$G$32,3,FALSE), test!$J$11:$K$14, 2, FALSE)/1440,VLOOKUP($A25,test!$A$3:$F$32,4,FALSE)=VLOOKUP(H$1,test!$A$3:$F$32,3,FALSE)),1,0)</f>
        <v>1</v>
      </c>
      <c r="I25" s="2">
        <f>IF(AND(VLOOKUP(I$1,test!$A$3:$G$32,5,FALSE)-VLOOKUP($A25,test!$A$3:$G$32,6,FALSE)&gt;=VLOOKUP(VLOOKUP(I$1, test!$A$3:$G$32,3,FALSE), test!$J$11:$K$14, 2, FALSE)/1440,VLOOKUP($A25,test!$A$3:$F$32,4,FALSE)=VLOOKUP(I$1,test!$A$3:$F$32,3,FALSE)),1,0)</f>
        <v>1</v>
      </c>
      <c r="J25" s="2">
        <f>IF(AND(VLOOKUP(J$1,test!$A$3:$G$32,5,FALSE)-VLOOKUP($A25,test!$A$3:$G$32,6,FALSE)&gt;=VLOOKUP(VLOOKUP(J$1, test!$A$3:$G$32,3,FALSE), test!$J$11:$K$14, 2, FALSE)/1440,VLOOKUP($A25,test!$A$3:$F$32,4,FALSE)=VLOOKUP(J$1,test!$A$3:$F$32,3,FALSE)),1,0)</f>
        <v>1</v>
      </c>
      <c r="K25" s="2">
        <f>IF(AND(VLOOKUP(K$1,test!$A$3:$G$32,5,FALSE)-VLOOKUP($A25,test!$A$3:$G$32,6,FALSE)&gt;=VLOOKUP(VLOOKUP(K$1, test!$A$3:$G$32,3,FALSE), test!$J$11:$K$14, 2, FALSE)/1440,VLOOKUP($A25,test!$A$3:$F$32,4,FALSE)=VLOOKUP(K$1,test!$A$3:$F$32,3,FALSE)),1,0)</f>
        <v>0</v>
      </c>
      <c r="L25" s="2">
        <f>IF(AND(VLOOKUP(L$1,test!$A$3:$G$32,5,FALSE)-VLOOKUP($A25,test!$A$3:$G$32,6,FALSE)&gt;=VLOOKUP(VLOOKUP(L$1, test!$A$3:$G$32,3,FALSE), test!$J$11:$K$14, 2, FALSE)/1440,VLOOKUP($A25,test!$A$3:$F$32,4,FALSE)=VLOOKUP(L$1,test!$A$3:$F$32,3,FALSE)),1,0)</f>
        <v>0</v>
      </c>
      <c r="M25" s="2">
        <f>IF(AND(VLOOKUP(M$1,test!$A$3:$G$32,5,FALSE)-VLOOKUP($A25,test!$A$3:$G$32,6,FALSE)&gt;=VLOOKUP(VLOOKUP(M$1, test!$A$3:$G$32,3,FALSE), test!$J$11:$K$14, 2, FALSE)/1440,VLOOKUP($A25,test!$A$3:$F$32,4,FALSE)=VLOOKUP(M$1,test!$A$3:$F$32,3,FALSE)),1,0)</f>
        <v>1</v>
      </c>
      <c r="N25" s="2">
        <f>IF(AND(VLOOKUP(N$1,test!$A$3:$G$32,5,FALSE)-VLOOKUP($A25,test!$A$3:$G$32,6,FALSE)&gt;=VLOOKUP(VLOOKUP(N$1, test!$A$3:$G$32,3,FALSE), test!$J$11:$K$14, 2, FALSE)/1440,VLOOKUP($A25,test!$A$3:$F$32,4,FALSE)=VLOOKUP(N$1,test!$A$3:$F$32,3,FALSE)),1,0)</f>
        <v>1</v>
      </c>
      <c r="O25" s="2">
        <f>IF(AND(VLOOKUP(O$1,test!$A$3:$G$32,5,FALSE)-VLOOKUP($A25,test!$A$3:$G$32,6,FALSE)&gt;=VLOOKUP(VLOOKUP(O$1, test!$A$3:$G$32,3,FALSE), test!$J$11:$K$14, 2, FALSE)/1440,VLOOKUP($A25,test!$A$3:$F$32,4,FALSE)=VLOOKUP(O$1,test!$A$3:$F$32,3,FALSE)),1,0)</f>
        <v>1</v>
      </c>
      <c r="P25" s="2">
        <f>IF(AND(VLOOKUP(P$1,test!$A$3:$G$32,5,FALSE)-VLOOKUP($A25,test!$A$3:$G$32,6,FALSE)&gt;=VLOOKUP(VLOOKUP(P$1, test!$A$3:$G$32,3,FALSE), test!$J$11:$K$14, 2, FALSE)/1440,VLOOKUP($A25,test!$A$3:$F$32,4,FALSE)=VLOOKUP(P$1,test!$A$3:$F$32,3,FALSE)),1,0)</f>
        <v>0</v>
      </c>
      <c r="Q25" s="2">
        <f>IF(AND(VLOOKUP(Q$1,test!$A$3:$G$32,5,FALSE)-VLOOKUP($A25,test!$A$3:$G$32,6,FALSE)&gt;=VLOOKUP(VLOOKUP(Q$1, test!$A$3:$G$32,3,FALSE), test!$J$11:$K$14, 2, FALSE)/1440,VLOOKUP($A25,test!$A$3:$F$32,4,FALSE)=VLOOKUP(Q$1,test!$A$3:$F$32,3,FALSE)),1,0)</f>
        <v>0</v>
      </c>
      <c r="R25" s="2">
        <f>IF(AND(VLOOKUP(R$1,test!$A$3:$G$32,5,FALSE)-VLOOKUP($A25,test!$A$3:$G$32,6,FALSE)&gt;=VLOOKUP(VLOOKUP(R$1, test!$A$3:$G$32,3,FALSE), test!$J$11:$K$14, 2, FALSE)/1440,VLOOKUP($A25,test!$A$3:$F$32,4,FALSE)=VLOOKUP(R$1,test!$A$3:$F$32,3,FALSE)),1,0)</f>
        <v>0</v>
      </c>
      <c r="S25" s="2">
        <f>IF(AND(VLOOKUP(S$1,test!$A$3:$G$32,5,FALSE)-VLOOKUP($A25,test!$A$3:$G$32,6,FALSE)&gt;=VLOOKUP(VLOOKUP(S$1, test!$A$3:$G$32,3,FALSE), test!$J$11:$K$14, 2, FALSE)/1440,VLOOKUP($A25,test!$A$3:$F$32,4,FALSE)=VLOOKUP(S$1,test!$A$3:$F$32,3,FALSE)),1,0)</f>
        <v>0</v>
      </c>
      <c r="T25" s="2">
        <f>IF(AND(VLOOKUP(T$1,test!$A$3:$G$32,5,FALSE)-VLOOKUP($A25,test!$A$3:$G$32,6,FALSE)&gt;=VLOOKUP(VLOOKUP(T$1, test!$A$3:$G$32,3,FALSE), test!$J$11:$K$14, 2, FALSE)/1440,VLOOKUP($A25,test!$A$3:$F$32,4,FALSE)=VLOOKUP(T$1,test!$A$3:$F$32,3,FALSE)),1,0)</f>
        <v>0</v>
      </c>
      <c r="U25" s="2">
        <f>IF(AND(VLOOKUP(U$1,test!$A$3:$G$32,5,FALSE)-VLOOKUP($A25,test!$A$3:$G$32,6,FALSE)&gt;=VLOOKUP(VLOOKUP(U$1, test!$A$3:$G$32,3,FALSE), test!$J$11:$K$14, 2, FALSE)/1440,VLOOKUP($A25,test!$A$3:$F$32,4,FALSE)=VLOOKUP(U$1,test!$A$3:$F$32,3,FALSE)),1,0)</f>
        <v>0</v>
      </c>
      <c r="V25" s="2">
        <f>IF(AND(VLOOKUP(V$1,test!$A$3:$G$32,5,FALSE)-VLOOKUP($A25,test!$A$3:$G$32,6,FALSE)&gt;=VLOOKUP(VLOOKUP(V$1, test!$A$3:$G$32,3,FALSE), test!$J$11:$K$14, 2, FALSE)/1440,VLOOKUP($A25,test!$A$3:$F$32,4,FALSE)=VLOOKUP(V$1,test!$A$3:$F$32,3,FALSE)),1,0)</f>
        <v>0</v>
      </c>
      <c r="W25" s="2">
        <f>IF(AND(VLOOKUP(W$1,test!$A$3:$G$32,5,FALSE)-VLOOKUP($A25,test!$A$3:$G$32,6,FALSE)&gt;=VLOOKUP(VLOOKUP(W$1, test!$A$3:$G$32,3,FALSE), test!$J$11:$K$14, 2, FALSE)/1440,VLOOKUP($A25,test!$A$3:$F$32,4,FALSE)=VLOOKUP(W$1,test!$A$3:$F$32,3,FALSE)),1,0)</f>
        <v>0</v>
      </c>
      <c r="X25" s="2">
        <f>IF(AND(VLOOKUP(X$1,test!$A$3:$G$32,5,FALSE)-VLOOKUP($A25,test!$A$3:$G$32,6,FALSE)&gt;=VLOOKUP(VLOOKUP(X$1, test!$A$3:$G$32,3,FALSE), test!$J$11:$K$14, 2, FALSE)/1440,VLOOKUP($A25,test!$A$3:$F$32,4,FALSE)=VLOOKUP(X$1,test!$A$3:$F$32,3,FALSE)),1,0)</f>
        <v>0</v>
      </c>
      <c r="Y25" s="2">
        <f>IF(AND(VLOOKUP(Y$1,test!$A$3:$G$32,5,FALSE)-VLOOKUP($A25,test!$A$3:$G$32,6,FALSE)&gt;=VLOOKUP(VLOOKUP(Y$1, test!$A$3:$G$32,3,FALSE), test!$J$11:$K$14, 2, FALSE)/1440,VLOOKUP($A25,test!$A$3:$F$32,4,FALSE)=VLOOKUP(Y$1,test!$A$3:$F$32,3,FALSE)),1,0)</f>
        <v>0</v>
      </c>
      <c r="Z25" s="2">
        <f>IF(AND(VLOOKUP(Z$1,test!$A$3:$G$32,5,FALSE)-VLOOKUP($A25,test!$A$3:$G$32,6,FALSE)&gt;=VLOOKUP(VLOOKUP(Z$1, test!$A$3:$G$32,3,FALSE), test!$J$11:$K$14, 2, FALSE)/1440,VLOOKUP($A25,test!$A$3:$F$32,4,FALSE)=VLOOKUP(Z$1,test!$A$3:$F$32,3,FALSE)),1,0)</f>
        <v>0</v>
      </c>
      <c r="AA25" s="2">
        <f>IF(AND(VLOOKUP(AA$1,test!$A$3:$G$32,5,FALSE)-VLOOKUP($A25,test!$A$3:$G$32,6,FALSE)&gt;=VLOOKUP(VLOOKUP(AA$1, test!$A$3:$G$32,3,FALSE), test!$J$11:$K$14, 2, FALSE)/1440,VLOOKUP($A25,test!$A$3:$F$32,4,FALSE)=VLOOKUP(AA$1,test!$A$3:$F$32,3,FALSE)),1,0)</f>
        <v>0</v>
      </c>
      <c r="AB25" s="2">
        <f>IF(AND(VLOOKUP(AB$1,test!$A$3:$G$32,5,FALSE)-VLOOKUP($A25,test!$A$3:$G$32,6,FALSE)&gt;=VLOOKUP(VLOOKUP(AB$1, test!$A$3:$G$32,3,FALSE), test!$J$11:$K$14, 2, FALSE)/1440,VLOOKUP($A25,test!$A$3:$F$32,4,FALSE)=VLOOKUP(AB$1,test!$A$3:$F$32,3,FALSE)),1,0)</f>
        <v>0</v>
      </c>
      <c r="AC25" s="2">
        <f>IF(AND(VLOOKUP(AC$1,test!$A$3:$G$32,5,FALSE)-VLOOKUP($A25,test!$A$3:$G$32,6,FALSE)&gt;=VLOOKUP(VLOOKUP(AC$1, test!$A$3:$G$32,3,FALSE), test!$J$11:$K$14, 2, FALSE)/1440,VLOOKUP($A25,test!$A$3:$F$32,4,FALSE)=VLOOKUP(AC$1,test!$A$3:$F$32,3,FALSE)),1,0)</f>
        <v>0</v>
      </c>
      <c r="AD25" s="2">
        <f>IF(AND(VLOOKUP(AD$1,test!$A$3:$G$32,5,FALSE)-VLOOKUP($A25,test!$A$3:$G$32,6,FALSE)&gt;=VLOOKUP(VLOOKUP(AD$1, test!$A$3:$G$32,3,FALSE), test!$J$11:$K$14, 2, FALSE)/1440,VLOOKUP($A25,test!$A$3:$F$32,4,FALSE)=VLOOKUP(AD$1,test!$A$3:$F$32,3,FALSE)),1,0)</f>
        <v>0</v>
      </c>
      <c r="AE25" s="2">
        <f>IF(AND(VLOOKUP(AE$1,test!$A$3:$G$32,5,FALSE)-VLOOKUP($A25,test!$A$3:$G$32,6,FALSE)&gt;=VLOOKUP(VLOOKUP(AE$1, test!$A$3:$G$32,3,FALSE), test!$J$11:$K$14, 2, FALSE)/1440,VLOOKUP($A25,test!$A$3:$F$32,4,FALSE)=VLOOKUP(AE$1,test!$A$3:$F$32,3,FALSE)),1,0)</f>
        <v>0</v>
      </c>
      <c r="AF25" s="2">
        <f>IF(AND(VLOOKUP(AF$1,test!$A$3:$G$32,5,FALSE)-VLOOKUP($A25,test!$A$3:$G$32,6,FALSE)&gt;=VLOOKUP(VLOOKUP(AF$1, test!$A$3:$G$32,3,FALSE), test!$J$11:$K$14, 2, FALSE)/1440,VLOOKUP($A25,test!$A$3:$F$32,4,FALSE)=VLOOKUP(AF$1,test!$A$3:$F$32,3,FALSE)),1,0)</f>
        <v>0</v>
      </c>
    </row>
    <row r="26" spans="1:32" x14ac:dyDescent="0.25">
      <c r="A26" t="s">
        <v>35</v>
      </c>
      <c r="B26" s="3">
        <v>1</v>
      </c>
      <c r="C26" s="2">
        <f>IF(AND(VLOOKUP(C$1,test!$A$3:$G$32,5,FALSE)-VLOOKUP($A26,test!$A$3:$G$32,6,FALSE)&gt;=VLOOKUP(VLOOKUP(C$1, test!$A$3:$G$32,3,FALSE), test!$J$11:$K$14, 2, FALSE)/1440,VLOOKUP($A26,test!$A$3:$F$32,4,FALSE)=VLOOKUP(C$1,test!$A$3:$F$32,3,FALSE)),1,0)</f>
        <v>0</v>
      </c>
      <c r="D26" s="2">
        <f>IF(AND(VLOOKUP(D$1,test!$A$3:$G$32,5,FALSE)-VLOOKUP($A26,test!$A$3:$G$32,6,FALSE)&gt;=VLOOKUP(VLOOKUP(D$1, test!$A$3:$G$32,3,FALSE), test!$J$11:$K$14, 2, FALSE)/1440,VLOOKUP($A26,test!$A$3:$F$32,4,FALSE)=VLOOKUP(D$1,test!$A$3:$F$32,3,FALSE)),1,0)</f>
        <v>0</v>
      </c>
      <c r="E26" s="2">
        <f>IF(AND(VLOOKUP(E$1,test!$A$3:$G$32,5,FALSE)-VLOOKUP($A26,test!$A$3:$G$32,6,FALSE)&gt;=VLOOKUP(VLOOKUP(E$1, test!$A$3:$G$32,3,FALSE), test!$J$11:$K$14, 2, FALSE)/1440,VLOOKUP($A26,test!$A$3:$F$32,4,FALSE)=VLOOKUP(E$1,test!$A$3:$F$32,3,FALSE)),1,0)</f>
        <v>0</v>
      </c>
      <c r="F26" s="2">
        <f>IF(AND(VLOOKUP(F$1,test!$A$3:$G$32,5,FALSE)-VLOOKUP($A26,test!$A$3:$G$32,6,FALSE)&gt;=VLOOKUP(VLOOKUP(F$1, test!$A$3:$G$32,3,FALSE), test!$J$11:$K$14, 2, FALSE)/1440,VLOOKUP($A26,test!$A$3:$F$32,4,FALSE)=VLOOKUP(F$1,test!$A$3:$F$32,3,FALSE)),1,0)</f>
        <v>1</v>
      </c>
      <c r="G26" s="2">
        <f>IF(AND(VLOOKUP(G$1,test!$A$3:$G$32,5,FALSE)-VLOOKUP($A26,test!$A$3:$G$32,6,FALSE)&gt;=VLOOKUP(VLOOKUP(G$1, test!$A$3:$G$32,3,FALSE), test!$J$11:$K$14, 2, FALSE)/1440,VLOOKUP($A26,test!$A$3:$F$32,4,FALSE)=VLOOKUP(G$1,test!$A$3:$F$32,3,FALSE)),1,0)</f>
        <v>1</v>
      </c>
      <c r="H26" s="2">
        <f>IF(AND(VLOOKUP(H$1,test!$A$3:$G$32,5,FALSE)-VLOOKUP($A26,test!$A$3:$G$32,6,FALSE)&gt;=VLOOKUP(VLOOKUP(H$1, test!$A$3:$G$32,3,FALSE), test!$J$11:$K$14, 2, FALSE)/1440,VLOOKUP($A26,test!$A$3:$F$32,4,FALSE)=VLOOKUP(H$1,test!$A$3:$F$32,3,FALSE)),1,0)</f>
        <v>1</v>
      </c>
      <c r="I26" s="2">
        <f>IF(AND(VLOOKUP(I$1,test!$A$3:$G$32,5,FALSE)-VLOOKUP($A26,test!$A$3:$G$32,6,FALSE)&gt;=VLOOKUP(VLOOKUP(I$1, test!$A$3:$G$32,3,FALSE), test!$J$11:$K$14, 2, FALSE)/1440,VLOOKUP($A26,test!$A$3:$F$32,4,FALSE)=VLOOKUP(I$1,test!$A$3:$F$32,3,FALSE)),1,0)</f>
        <v>1</v>
      </c>
      <c r="J26" s="2">
        <f>IF(AND(VLOOKUP(J$1,test!$A$3:$G$32,5,FALSE)-VLOOKUP($A26,test!$A$3:$G$32,6,FALSE)&gt;=VLOOKUP(VLOOKUP(J$1, test!$A$3:$G$32,3,FALSE), test!$J$11:$K$14, 2, FALSE)/1440,VLOOKUP($A26,test!$A$3:$F$32,4,FALSE)=VLOOKUP(J$1,test!$A$3:$F$32,3,FALSE)),1,0)</f>
        <v>1</v>
      </c>
      <c r="K26" s="2">
        <f>IF(AND(VLOOKUP(K$1,test!$A$3:$G$32,5,FALSE)-VLOOKUP($A26,test!$A$3:$G$32,6,FALSE)&gt;=VLOOKUP(VLOOKUP(K$1, test!$A$3:$G$32,3,FALSE), test!$J$11:$K$14, 2, FALSE)/1440,VLOOKUP($A26,test!$A$3:$F$32,4,FALSE)=VLOOKUP(K$1,test!$A$3:$F$32,3,FALSE)),1,0)</f>
        <v>0</v>
      </c>
      <c r="L26" s="2">
        <f>IF(AND(VLOOKUP(L$1,test!$A$3:$G$32,5,FALSE)-VLOOKUP($A26,test!$A$3:$G$32,6,FALSE)&gt;=VLOOKUP(VLOOKUP(L$1, test!$A$3:$G$32,3,FALSE), test!$J$11:$K$14, 2, FALSE)/1440,VLOOKUP($A26,test!$A$3:$F$32,4,FALSE)=VLOOKUP(L$1,test!$A$3:$F$32,3,FALSE)),1,0)</f>
        <v>0</v>
      </c>
      <c r="M26" s="2">
        <f>IF(AND(VLOOKUP(M$1,test!$A$3:$G$32,5,FALSE)-VLOOKUP($A26,test!$A$3:$G$32,6,FALSE)&gt;=VLOOKUP(VLOOKUP(M$1, test!$A$3:$G$32,3,FALSE), test!$J$11:$K$14, 2, FALSE)/1440,VLOOKUP($A26,test!$A$3:$F$32,4,FALSE)=VLOOKUP(M$1,test!$A$3:$F$32,3,FALSE)),1,0)</f>
        <v>0</v>
      </c>
      <c r="N26" s="2">
        <f>IF(AND(VLOOKUP(N$1,test!$A$3:$G$32,5,FALSE)-VLOOKUP($A26,test!$A$3:$G$32,6,FALSE)&gt;=VLOOKUP(VLOOKUP(N$1, test!$A$3:$G$32,3,FALSE), test!$J$11:$K$14, 2, FALSE)/1440,VLOOKUP($A26,test!$A$3:$F$32,4,FALSE)=VLOOKUP(N$1,test!$A$3:$F$32,3,FALSE)),1,0)</f>
        <v>1</v>
      </c>
      <c r="O26" s="2">
        <f>IF(AND(VLOOKUP(O$1,test!$A$3:$G$32,5,FALSE)-VLOOKUP($A26,test!$A$3:$G$32,6,FALSE)&gt;=VLOOKUP(VLOOKUP(O$1, test!$A$3:$G$32,3,FALSE), test!$J$11:$K$14, 2, FALSE)/1440,VLOOKUP($A26,test!$A$3:$F$32,4,FALSE)=VLOOKUP(O$1,test!$A$3:$F$32,3,FALSE)),1,0)</f>
        <v>1</v>
      </c>
      <c r="P26" s="2">
        <f>IF(AND(VLOOKUP(P$1,test!$A$3:$G$32,5,FALSE)-VLOOKUP($A26,test!$A$3:$G$32,6,FALSE)&gt;=VLOOKUP(VLOOKUP(P$1, test!$A$3:$G$32,3,FALSE), test!$J$11:$K$14, 2, FALSE)/1440,VLOOKUP($A26,test!$A$3:$F$32,4,FALSE)=VLOOKUP(P$1,test!$A$3:$F$32,3,FALSE)),1,0)</f>
        <v>0</v>
      </c>
      <c r="Q26" s="2">
        <f>IF(AND(VLOOKUP(Q$1,test!$A$3:$G$32,5,FALSE)-VLOOKUP($A26,test!$A$3:$G$32,6,FALSE)&gt;=VLOOKUP(VLOOKUP(Q$1, test!$A$3:$G$32,3,FALSE), test!$J$11:$K$14, 2, FALSE)/1440,VLOOKUP($A26,test!$A$3:$F$32,4,FALSE)=VLOOKUP(Q$1,test!$A$3:$F$32,3,FALSE)),1,0)</f>
        <v>0</v>
      </c>
      <c r="R26" s="2">
        <f>IF(AND(VLOOKUP(R$1,test!$A$3:$G$32,5,FALSE)-VLOOKUP($A26,test!$A$3:$G$32,6,FALSE)&gt;=VLOOKUP(VLOOKUP(R$1, test!$A$3:$G$32,3,FALSE), test!$J$11:$K$14, 2, FALSE)/1440,VLOOKUP($A26,test!$A$3:$F$32,4,FALSE)=VLOOKUP(R$1,test!$A$3:$F$32,3,FALSE)),1,0)</f>
        <v>0</v>
      </c>
      <c r="S26" s="2">
        <f>IF(AND(VLOOKUP(S$1,test!$A$3:$G$32,5,FALSE)-VLOOKUP($A26,test!$A$3:$G$32,6,FALSE)&gt;=VLOOKUP(VLOOKUP(S$1, test!$A$3:$G$32,3,FALSE), test!$J$11:$K$14, 2, FALSE)/1440,VLOOKUP($A26,test!$A$3:$F$32,4,FALSE)=VLOOKUP(S$1,test!$A$3:$F$32,3,FALSE)),1,0)</f>
        <v>0</v>
      </c>
      <c r="T26" s="2">
        <f>IF(AND(VLOOKUP(T$1,test!$A$3:$G$32,5,FALSE)-VLOOKUP($A26,test!$A$3:$G$32,6,FALSE)&gt;=VLOOKUP(VLOOKUP(T$1, test!$A$3:$G$32,3,FALSE), test!$J$11:$K$14, 2, FALSE)/1440,VLOOKUP($A26,test!$A$3:$F$32,4,FALSE)=VLOOKUP(T$1,test!$A$3:$F$32,3,FALSE)),1,0)</f>
        <v>0</v>
      </c>
      <c r="U26" s="2">
        <f>IF(AND(VLOOKUP(U$1,test!$A$3:$G$32,5,FALSE)-VLOOKUP($A26,test!$A$3:$G$32,6,FALSE)&gt;=VLOOKUP(VLOOKUP(U$1, test!$A$3:$G$32,3,FALSE), test!$J$11:$K$14, 2, FALSE)/1440,VLOOKUP($A26,test!$A$3:$F$32,4,FALSE)=VLOOKUP(U$1,test!$A$3:$F$32,3,FALSE)),1,0)</f>
        <v>0</v>
      </c>
      <c r="V26" s="2">
        <f>IF(AND(VLOOKUP(V$1,test!$A$3:$G$32,5,FALSE)-VLOOKUP($A26,test!$A$3:$G$32,6,FALSE)&gt;=VLOOKUP(VLOOKUP(V$1, test!$A$3:$G$32,3,FALSE), test!$J$11:$K$14, 2, FALSE)/1440,VLOOKUP($A26,test!$A$3:$F$32,4,FALSE)=VLOOKUP(V$1,test!$A$3:$F$32,3,FALSE)),1,0)</f>
        <v>0</v>
      </c>
      <c r="W26" s="2">
        <f>IF(AND(VLOOKUP(W$1,test!$A$3:$G$32,5,FALSE)-VLOOKUP($A26,test!$A$3:$G$32,6,FALSE)&gt;=VLOOKUP(VLOOKUP(W$1, test!$A$3:$G$32,3,FALSE), test!$J$11:$K$14, 2, FALSE)/1440,VLOOKUP($A26,test!$A$3:$F$32,4,FALSE)=VLOOKUP(W$1,test!$A$3:$F$32,3,FALSE)),1,0)</f>
        <v>0</v>
      </c>
      <c r="X26" s="2">
        <f>IF(AND(VLOOKUP(X$1,test!$A$3:$G$32,5,FALSE)-VLOOKUP($A26,test!$A$3:$G$32,6,FALSE)&gt;=VLOOKUP(VLOOKUP(X$1, test!$A$3:$G$32,3,FALSE), test!$J$11:$K$14, 2, FALSE)/1440,VLOOKUP($A26,test!$A$3:$F$32,4,FALSE)=VLOOKUP(X$1,test!$A$3:$F$32,3,FALSE)),1,0)</f>
        <v>0</v>
      </c>
      <c r="Y26" s="2">
        <f>IF(AND(VLOOKUP(Y$1,test!$A$3:$G$32,5,FALSE)-VLOOKUP($A26,test!$A$3:$G$32,6,FALSE)&gt;=VLOOKUP(VLOOKUP(Y$1, test!$A$3:$G$32,3,FALSE), test!$J$11:$K$14, 2, FALSE)/1440,VLOOKUP($A26,test!$A$3:$F$32,4,FALSE)=VLOOKUP(Y$1,test!$A$3:$F$32,3,FALSE)),1,0)</f>
        <v>0</v>
      </c>
      <c r="Z26" s="2">
        <f>IF(AND(VLOOKUP(Z$1,test!$A$3:$G$32,5,FALSE)-VLOOKUP($A26,test!$A$3:$G$32,6,FALSE)&gt;=VLOOKUP(VLOOKUP(Z$1, test!$A$3:$G$32,3,FALSE), test!$J$11:$K$14, 2, FALSE)/1440,VLOOKUP($A26,test!$A$3:$F$32,4,FALSE)=VLOOKUP(Z$1,test!$A$3:$F$32,3,FALSE)),1,0)</f>
        <v>0</v>
      </c>
      <c r="AA26" s="2">
        <f>IF(AND(VLOOKUP(AA$1,test!$A$3:$G$32,5,FALSE)-VLOOKUP($A26,test!$A$3:$G$32,6,FALSE)&gt;=VLOOKUP(VLOOKUP(AA$1, test!$A$3:$G$32,3,FALSE), test!$J$11:$K$14, 2, FALSE)/1440,VLOOKUP($A26,test!$A$3:$F$32,4,FALSE)=VLOOKUP(AA$1,test!$A$3:$F$32,3,FALSE)),1,0)</f>
        <v>0</v>
      </c>
      <c r="AB26" s="2">
        <f>IF(AND(VLOOKUP(AB$1,test!$A$3:$G$32,5,FALSE)-VLOOKUP($A26,test!$A$3:$G$32,6,FALSE)&gt;=VLOOKUP(VLOOKUP(AB$1, test!$A$3:$G$32,3,FALSE), test!$J$11:$K$14, 2, FALSE)/1440,VLOOKUP($A26,test!$A$3:$F$32,4,FALSE)=VLOOKUP(AB$1,test!$A$3:$F$32,3,FALSE)),1,0)</f>
        <v>0</v>
      </c>
      <c r="AC26" s="2">
        <f>IF(AND(VLOOKUP(AC$1,test!$A$3:$G$32,5,FALSE)-VLOOKUP($A26,test!$A$3:$G$32,6,FALSE)&gt;=VLOOKUP(VLOOKUP(AC$1, test!$A$3:$G$32,3,FALSE), test!$J$11:$K$14, 2, FALSE)/1440,VLOOKUP($A26,test!$A$3:$F$32,4,FALSE)=VLOOKUP(AC$1,test!$A$3:$F$32,3,FALSE)),1,0)</f>
        <v>0</v>
      </c>
      <c r="AD26" s="2">
        <f>IF(AND(VLOOKUP(AD$1,test!$A$3:$G$32,5,FALSE)-VLOOKUP($A26,test!$A$3:$G$32,6,FALSE)&gt;=VLOOKUP(VLOOKUP(AD$1, test!$A$3:$G$32,3,FALSE), test!$J$11:$K$14, 2, FALSE)/1440,VLOOKUP($A26,test!$A$3:$F$32,4,FALSE)=VLOOKUP(AD$1,test!$A$3:$F$32,3,FALSE)),1,0)</f>
        <v>0</v>
      </c>
      <c r="AE26" s="2">
        <f>IF(AND(VLOOKUP(AE$1,test!$A$3:$G$32,5,FALSE)-VLOOKUP($A26,test!$A$3:$G$32,6,FALSE)&gt;=VLOOKUP(VLOOKUP(AE$1, test!$A$3:$G$32,3,FALSE), test!$J$11:$K$14, 2, FALSE)/1440,VLOOKUP($A26,test!$A$3:$F$32,4,FALSE)=VLOOKUP(AE$1,test!$A$3:$F$32,3,FALSE)),1,0)</f>
        <v>0</v>
      </c>
      <c r="AF26" s="2">
        <f>IF(AND(VLOOKUP(AF$1,test!$A$3:$G$32,5,FALSE)-VLOOKUP($A26,test!$A$3:$G$32,6,FALSE)&gt;=VLOOKUP(VLOOKUP(AF$1, test!$A$3:$G$32,3,FALSE), test!$J$11:$K$14, 2, FALSE)/1440,VLOOKUP($A26,test!$A$3:$F$32,4,FALSE)=VLOOKUP(AF$1,test!$A$3:$F$32,3,FALSE)),1,0)</f>
        <v>0</v>
      </c>
    </row>
    <row r="27" spans="1:32" x14ac:dyDescent="0.25">
      <c r="A27" t="s">
        <v>36</v>
      </c>
      <c r="B27" s="3">
        <v>1</v>
      </c>
      <c r="C27" s="2">
        <f>IF(AND(VLOOKUP(C$1,test!$A$3:$G$32,5,FALSE)-VLOOKUP($A27,test!$A$3:$G$32,6,FALSE)&gt;=VLOOKUP(VLOOKUP(C$1, test!$A$3:$G$32,3,FALSE), test!$J$11:$K$14, 2, FALSE)/1440,VLOOKUP($A27,test!$A$3:$F$32,4,FALSE)=VLOOKUP(C$1,test!$A$3:$F$32,3,FALSE)),1,0)</f>
        <v>0</v>
      </c>
      <c r="D27" s="2">
        <f>IF(AND(VLOOKUP(D$1,test!$A$3:$G$32,5,FALSE)-VLOOKUP($A27,test!$A$3:$G$32,6,FALSE)&gt;=VLOOKUP(VLOOKUP(D$1, test!$A$3:$G$32,3,FALSE), test!$J$11:$K$14, 2, FALSE)/1440,VLOOKUP($A27,test!$A$3:$F$32,4,FALSE)=VLOOKUP(D$1,test!$A$3:$F$32,3,FALSE)),1,0)</f>
        <v>0</v>
      </c>
      <c r="E27" s="2">
        <f>IF(AND(VLOOKUP(E$1,test!$A$3:$G$32,5,FALSE)-VLOOKUP($A27,test!$A$3:$G$32,6,FALSE)&gt;=VLOOKUP(VLOOKUP(E$1, test!$A$3:$G$32,3,FALSE), test!$J$11:$K$14, 2, FALSE)/1440,VLOOKUP($A27,test!$A$3:$F$32,4,FALSE)=VLOOKUP(E$1,test!$A$3:$F$32,3,FALSE)),1,0)</f>
        <v>0</v>
      </c>
      <c r="F27" s="2">
        <f>IF(AND(VLOOKUP(F$1,test!$A$3:$G$32,5,FALSE)-VLOOKUP($A27,test!$A$3:$G$32,6,FALSE)&gt;=VLOOKUP(VLOOKUP(F$1, test!$A$3:$G$32,3,FALSE), test!$J$11:$K$14, 2, FALSE)/1440,VLOOKUP($A27,test!$A$3:$F$32,4,FALSE)=VLOOKUP(F$1,test!$A$3:$F$32,3,FALSE)),1,0)</f>
        <v>0</v>
      </c>
      <c r="G27" s="2">
        <f>IF(AND(VLOOKUP(G$1,test!$A$3:$G$32,5,FALSE)-VLOOKUP($A27,test!$A$3:$G$32,6,FALSE)&gt;=VLOOKUP(VLOOKUP(G$1, test!$A$3:$G$32,3,FALSE), test!$J$11:$K$14, 2, FALSE)/1440,VLOOKUP($A27,test!$A$3:$F$32,4,FALSE)=VLOOKUP(G$1,test!$A$3:$F$32,3,FALSE)),1,0)</f>
        <v>0</v>
      </c>
      <c r="H27" s="2">
        <f>IF(AND(VLOOKUP(H$1,test!$A$3:$G$32,5,FALSE)-VLOOKUP($A27,test!$A$3:$G$32,6,FALSE)&gt;=VLOOKUP(VLOOKUP(H$1, test!$A$3:$G$32,3,FALSE), test!$J$11:$K$14, 2, FALSE)/1440,VLOOKUP($A27,test!$A$3:$F$32,4,FALSE)=VLOOKUP(H$1,test!$A$3:$F$32,3,FALSE)),1,0)</f>
        <v>1</v>
      </c>
      <c r="I27" s="2">
        <f>IF(AND(VLOOKUP(I$1,test!$A$3:$G$32,5,FALSE)-VLOOKUP($A27,test!$A$3:$G$32,6,FALSE)&gt;=VLOOKUP(VLOOKUP(I$1, test!$A$3:$G$32,3,FALSE), test!$J$11:$K$14, 2, FALSE)/1440,VLOOKUP($A27,test!$A$3:$F$32,4,FALSE)=VLOOKUP(I$1,test!$A$3:$F$32,3,FALSE)),1,0)</f>
        <v>1</v>
      </c>
      <c r="J27" s="2">
        <f>IF(AND(VLOOKUP(J$1,test!$A$3:$G$32,5,FALSE)-VLOOKUP($A27,test!$A$3:$G$32,6,FALSE)&gt;=VLOOKUP(VLOOKUP(J$1, test!$A$3:$G$32,3,FALSE), test!$J$11:$K$14, 2, FALSE)/1440,VLOOKUP($A27,test!$A$3:$F$32,4,FALSE)=VLOOKUP(J$1,test!$A$3:$F$32,3,FALSE)),1,0)</f>
        <v>1</v>
      </c>
      <c r="K27" s="2">
        <f>IF(AND(VLOOKUP(K$1,test!$A$3:$G$32,5,FALSE)-VLOOKUP($A27,test!$A$3:$G$32,6,FALSE)&gt;=VLOOKUP(VLOOKUP(K$1, test!$A$3:$G$32,3,FALSE), test!$J$11:$K$14, 2, FALSE)/1440,VLOOKUP($A27,test!$A$3:$F$32,4,FALSE)=VLOOKUP(K$1,test!$A$3:$F$32,3,FALSE)),1,0)</f>
        <v>0</v>
      </c>
      <c r="L27" s="2">
        <f>IF(AND(VLOOKUP(L$1,test!$A$3:$G$32,5,FALSE)-VLOOKUP($A27,test!$A$3:$G$32,6,FALSE)&gt;=VLOOKUP(VLOOKUP(L$1, test!$A$3:$G$32,3,FALSE), test!$J$11:$K$14, 2, FALSE)/1440,VLOOKUP($A27,test!$A$3:$F$32,4,FALSE)=VLOOKUP(L$1,test!$A$3:$F$32,3,FALSE)),1,0)</f>
        <v>0</v>
      </c>
      <c r="M27" s="2">
        <f>IF(AND(VLOOKUP(M$1,test!$A$3:$G$32,5,FALSE)-VLOOKUP($A27,test!$A$3:$G$32,6,FALSE)&gt;=VLOOKUP(VLOOKUP(M$1, test!$A$3:$G$32,3,FALSE), test!$J$11:$K$14, 2, FALSE)/1440,VLOOKUP($A27,test!$A$3:$F$32,4,FALSE)=VLOOKUP(M$1,test!$A$3:$F$32,3,FALSE)),1,0)</f>
        <v>0</v>
      </c>
      <c r="N27" s="2">
        <f>IF(AND(VLOOKUP(N$1,test!$A$3:$G$32,5,FALSE)-VLOOKUP($A27,test!$A$3:$G$32,6,FALSE)&gt;=VLOOKUP(VLOOKUP(N$1, test!$A$3:$G$32,3,FALSE), test!$J$11:$K$14, 2, FALSE)/1440,VLOOKUP($A27,test!$A$3:$F$32,4,FALSE)=VLOOKUP(N$1,test!$A$3:$F$32,3,FALSE)),1,0)</f>
        <v>1</v>
      </c>
      <c r="O27" s="2">
        <f>IF(AND(VLOOKUP(O$1,test!$A$3:$G$32,5,FALSE)-VLOOKUP($A27,test!$A$3:$G$32,6,FALSE)&gt;=VLOOKUP(VLOOKUP(O$1, test!$A$3:$G$32,3,FALSE), test!$J$11:$K$14, 2, FALSE)/1440,VLOOKUP($A27,test!$A$3:$F$32,4,FALSE)=VLOOKUP(O$1,test!$A$3:$F$32,3,FALSE)),1,0)</f>
        <v>1</v>
      </c>
      <c r="P27" s="2">
        <f>IF(AND(VLOOKUP(P$1,test!$A$3:$G$32,5,FALSE)-VLOOKUP($A27,test!$A$3:$G$32,6,FALSE)&gt;=VLOOKUP(VLOOKUP(P$1, test!$A$3:$G$32,3,FALSE), test!$J$11:$K$14, 2, FALSE)/1440,VLOOKUP($A27,test!$A$3:$F$32,4,FALSE)=VLOOKUP(P$1,test!$A$3:$F$32,3,FALSE)),1,0)</f>
        <v>0</v>
      </c>
      <c r="Q27" s="2">
        <f>IF(AND(VLOOKUP(Q$1,test!$A$3:$G$32,5,FALSE)-VLOOKUP($A27,test!$A$3:$G$32,6,FALSE)&gt;=VLOOKUP(VLOOKUP(Q$1, test!$A$3:$G$32,3,FALSE), test!$J$11:$K$14, 2, FALSE)/1440,VLOOKUP($A27,test!$A$3:$F$32,4,FALSE)=VLOOKUP(Q$1,test!$A$3:$F$32,3,FALSE)),1,0)</f>
        <v>0</v>
      </c>
      <c r="R27" s="2">
        <f>IF(AND(VLOOKUP(R$1,test!$A$3:$G$32,5,FALSE)-VLOOKUP($A27,test!$A$3:$G$32,6,FALSE)&gt;=VLOOKUP(VLOOKUP(R$1, test!$A$3:$G$32,3,FALSE), test!$J$11:$K$14, 2, FALSE)/1440,VLOOKUP($A27,test!$A$3:$F$32,4,FALSE)=VLOOKUP(R$1,test!$A$3:$F$32,3,FALSE)),1,0)</f>
        <v>0</v>
      </c>
      <c r="S27" s="2">
        <f>IF(AND(VLOOKUP(S$1,test!$A$3:$G$32,5,FALSE)-VLOOKUP($A27,test!$A$3:$G$32,6,FALSE)&gt;=VLOOKUP(VLOOKUP(S$1, test!$A$3:$G$32,3,FALSE), test!$J$11:$K$14, 2, FALSE)/1440,VLOOKUP($A27,test!$A$3:$F$32,4,FALSE)=VLOOKUP(S$1,test!$A$3:$F$32,3,FALSE)),1,0)</f>
        <v>0</v>
      </c>
      <c r="T27" s="2">
        <f>IF(AND(VLOOKUP(T$1,test!$A$3:$G$32,5,FALSE)-VLOOKUP($A27,test!$A$3:$G$32,6,FALSE)&gt;=VLOOKUP(VLOOKUP(T$1, test!$A$3:$G$32,3,FALSE), test!$J$11:$K$14, 2, FALSE)/1440,VLOOKUP($A27,test!$A$3:$F$32,4,FALSE)=VLOOKUP(T$1,test!$A$3:$F$32,3,FALSE)),1,0)</f>
        <v>0</v>
      </c>
      <c r="U27" s="2">
        <f>IF(AND(VLOOKUP(U$1,test!$A$3:$G$32,5,FALSE)-VLOOKUP($A27,test!$A$3:$G$32,6,FALSE)&gt;=VLOOKUP(VLOOKUP(U$1, test!$A$3:$G$32,3,FALSE), test!$J$11:$K$14, 2, FALSE)/1440,VLOOKUP($A27,test!$A$3:$F$32,4,FALSE)=VLOOKUP(U$1,test!$A$3:$F$32,3,FALSE)),1,0)</f>
        <v>0</v>
      </c>
      <c r="V27" s="2">
        <f>IF(AND(VLOOKUP(V$1,test!$A$3:$G$32,5,FALSE)-VLOOKUP($A27,test!$A$3:$G$32,6,FALSE)&gt;=VLOOKUP(VLOOKUP(V$1, test!$A$3:$G$32,3,FALSE), test!$J$11:$K$14, 2, FALSE)/1440,VLOOKUP($A27,test!$A$3:$F$32,4,FALSE)=VLOOKUP(V$1,test!$A$3:$F$32,3,FALSE)),1,0)</f>
        <v>0</v>
      </c>
      <c r="W27" s="2">
        <f>IF(AND(VLOOKUP(W$1,test!$A$3:$G$32,5,FALSE)-VLOOKUP($A27,test!$A$3:$G$32,6,FALSE)&gt;=VLOOKUP(VLOOKUP(W$1, test!$A$3:$G$32,3,FALSE), test!$J$11:$K$14, 2, FALSE)/1440,VLOOKUP($A27,test!$A$3:$F$32,4,FALSE)=VLOOKUP(W$1,test!$A$3:$F$32,3,FALSE)),1,0)</f>
        <v>0</v>
      </c>
      <c r="X27" s="2">
        <f>IF(AND(VLOOKUP(X$1,test!$A$3:$G$32,5,FALSE)-VLOOKUP($A27,test!$A$3:$G$32,6,FALSE)&gt;=VLOOKUP(VLOOKUP(X$1, test!$A$3:$G$32,3,FALSE), test!$J$11:$K$14, 2, FALSE)/1440,VLOOKUP($A27,test!$A$3:$F$32,4,FALSE)=VLOOKUP(X$1,test!$A$3:$F$32,3,FALSE)),1,0)</f>
        <v>0</v>
      </c>
      <c r="Y27" s="2">
        <f>IF(AND(VLOOKUP(Y$1,test!$A$3:$G$32,5,FALSE)-VLOOKUP($A27,test!$A$3:$G$32,6,FALSE)&gt;=VLOOKUP(VLOOKUP(Y$1, test!$A$3:$G$32,3,FALSE), test!$J$11:$K$14, 2, FALSE)/1440,VLOOKUP($A27,test!$A$3:$F$32,4,FALSE)=VLOOKUP(Y$1,test!$A$3:$F$32,3,FALSE)),1,0)</f>
        <v>0</v>
      </c>
      <c r="Z27" s="2">
        <f>IF(AND(VLOOKUP(Z$1,test!$A$3:$G$32,5,FALSE)-VLOOKUP($A27,test!$A$3:$G$32,6,FALSE)&gt;=VLOOKUP(VLOOKUP(Z$1, test!$A$3:$G$32,3,FALSE), test!$J$11:$K$14, 2, FALSE)/1440,VLOOKUP($A27,test!$A$3:$F$32,4,FALSE)=VLOOKUP(Z$1,test!$A$3:$F$32,3,FALSE)),1,0)</f>
        <v>0</v>
      </c>
      <c r="AA27" s="2">
        <f>IF(AND(VLOOKUP(AA$1,test!$A$3:$G$32,5,FALSE)-VLOOKUP($A27,test!$A$3:$G$32,6,FALSE)&gt;=VLOOKUP(VLOOKUP(AA$1, test!$A$3:$G$32,3,FALSE), test!$J$11:$K$14, 2, FALSE)/1440,VLOOKUP($A27,test!$A$3:$F$32,4,FALSE)=VLOOKUP(AA$1,test!$A$3:$F$32,3,FALSE)),1,0)</f>
        <v>0</v>
      </c>
      <c r="AB27" s="2">
        <f>IF(AND(VLOOKUP(AB$1,test!$A$3:$G$32,5,FALSE)-VLOOKUP($A27,test!$A$3:$G$32,6,FALSE)&gt;=VLOOKUP(VLOOKUP(AB$1, test!$A$3:$G$32,3,FALSE), test!$J$11:$K$14, 2, FALSE)/1440,VLOOKUP($A27,test!$A$3:$F$32,4,FALSE)=VLOOKUP(AB$1,test!$A$3:$F$32,3,FALSE)),1,0)</f>
        <v>0</v>
      </c>
      <c r="AC27" s="2">
        <f>IF(AND(VLOOKUP(AC$1,test!$A$3:$G$32,5,FALSE)-VLOOKUP($A27,test!$A$3:$G$32,6,FALSE)&gt;=VLOOKUP(VLOOKUP(AC$1, test!$A$3:$G$32,3,FALSE), test!$J$11:$K$14, 2, FALSE)/1440,VLOOKUP($A27,test!$A$3:$F$32,4,FALSE)=VLOOKUP(AC$1,test!$A$3:$F$32,3,FALSE)),1,0)</f>
        <v>0</v>
      </c>
      <c r="AD27" s="2">
        <f>IF(AND(VLOOKUP(AD$1,test!$A$3:$G$32,5,FALSE)-VLOOKUP($A27,test!$A$3:$G$32,6,FALSE)&gt;=VLOOKUP(VLOOKUP(AD$1, test!$A$3:$G$32,3,FALSE), test!$J$11:$K$14, 2, FALSE)/1440,VLOOKUP($A27,test!$A$3:$F$32,4,FALSE)=VLOOKUP(AD$1,test!$A$3:$F$32,3,FALSE)),1,0)</f>
        <v>0</v>
      </c>
      <c r="AE27" s="2">
        <f>IF(AND(VLOOKUP(AE$1,test!$A$3:$G$32,5,FALSE)-VLOOKUP($A27,test!$A$3:$G$32,6,FALSE)&gt;=VLOOKUP(VLOOKUP(AE$1, test!$A$3:$G$32,3,FALSE), test!$J$11:$K$14, 2, FALSE)/1440,VLOOKUP($A27,test!$A$3:$F$32,4,FALSE)=VLOOKUP(AE$1,test!$A$3:$F$32,3,FALSE)),1,0)</f>
        <v>0</v>
      </c>
      <c r="AF27" s="2">
        <f>IF(AND(VLOOKUP(AF$1,test!$A$3:$G$32,5,FALSE)-VLOOKUP($A27,test!$A$3:$G$32,6,FALSE)&gt;=VLOOKUP(VLOOKUP(AF$1, test!$A$3:$G$32,3,FALSE), test!$J$11:$K$14, 2, FALSE)/1440,VLOOKUP($A27,test!$A$3:$F$32,4,FALSE)=VLOOKUP(AF$1,test!$A$3:$F$32,3,FALSE)),1,0)</f>
        <v>0</v>
      </c>
    </row>
    <row r="28" spans="1:32" x14ac:dyDescent="0.25">
      <c r="A28" t="s">
        <v>37</v>
      </c>
      <c r="B28" s="3">
        <v>1</v>
      </c>
      <c r="C28" s="2">
        <f>IF(AND(VLOOKUP(C$1,test!$A$3:$G$32,5,FALSE)-VLOOKUP($A28,test!$A$3:$G$32,6,FALSE)&gt;=VLOOKUP(VLOOKUP(C$1, test!$A$3:$G$32,3,FALSE), test!$J$11:$K$14, 2, FALSE)/1440,VLOOKUP($A28,test!$A$3:$F$32,4,FALSE)=VLOOKUP(C$1,test!$A$3:$F$32,3,FALSE)),1,0)</f>
        <v>0</v>
      </c>
      <c r="D28" s="2">
        <f>IF(AND(VLOOKUP(D$1,test!$A$3:$G$32,5,FALSE)-VLOOKUP($A28,test!$A$3:$G$32,6,FALSE)&gt;=VLOOKUP(VLOOKUP(D$1, test!$A$3:$G$32,3,FALSE), test!$J$11:$K$14, 2, FALSE)/1440,VLOOKUP($A28,test!$A$3:$F$32,4,FALSE)=VLOOKUP(D$1,test!$A$3:$F$32,3,FALSE)),1,0)</f>
        <v>0</v>
      </c>
      <c r="E28" s="2">
        <f>IF(AND(VLOOKUP(E$1,test!$A$3:$G$32,5,FALSE)-VLOOKUP($A28,test!$A$3:$G$32,6,FALSE)&gt;=VLOOKUP(VLOOKUP(E$1, test!$A$3:$G$32,3,FALSE), test!$J$11:$K$14, 2, FALSE)/1440,VLOOKUP($A28,test!$A$3:$F$32,4,FALSE)=VLOOKUP(E$1,test!$A$3:$F$32,3,FALSE)),1,0)</f>
        <v>0</v>
      </c>
      <c r="F28" s="2">
        <f>IF(AND(VLOOKUP(F$1,test!$A$3:$G$32,5,FALSE)-VLOOKUP($A28,test!$A$3:$G$32,6,FALSE)&gt;=VLOOKUP(VLOOKUP(F$1, test!$A$3:$G$32,3,FALSE), test!$J$11:$K$14, 2, FALSE)/1440,VLOOKUP($A28,test!$A$3:$F$32,4,FALSE)=VLOOKUP(F$1,test!$A$3:$F$32,3,FALSE)),1,0)</f>
        <v>0</v>
      </c>
      <c r="G28" s="2">
        <f>IF(AND(VLOOKUP(G$1,test!$A$3:$G$32,5,FALSE)-VLOOKUP($A28,test!$A$3:$G$32,6,FALSE)&gt;=VLOOKUP(VLOOKUP(G$1, test!$A$3:$G$32,3,FALSE), test!$J$11:$K$14, 2, FALSE)/1440,VLOOKUP($A28,test!$A$3:$F$32,4,FALSE)=VLOOKUP(G$1,test!$A$3:$F$32,3,FALSE)),1,0)</f>
        <v>0</v>
      </c>
      <c r="H28" s="2">
        <f>IF(AND(VLOOKUP(H$1,test!$A$3:$G$32,5,FALSE)-VLOOKUP($A28,test!$A$3:$G$32,6,FALSE)&gt;=VLOOKUP(VLOOKUP(H$1, test!$A$3:$G$32,3,FALSE), test!$J$11:$K$14, 2, FALSE)/1440,VLOOKUP($A28,test!$A$3:$F$32,4,FALSE)=VLOOKUP(H$1,test!$A$3:$F$32,3,FALSE)),1,0)</f>
        <v>0</v>
      </c>
      <c r="I28" s="2">
        <f>IF(AND(VLOOKUP(I$1,test!$A$3:$G$32,5,FALSE)-VLOOKUP($A28,test!$A$3:$G$32,6,FALSE)&gt;=VLOOKUP(VLOOKUP(I$1, test!$A$3:$G$32,3,FALSE), test!$J$11:$K$14, 2, FALSE)/1440,VLOOKUP($A28,test!$A$3:$F$32,4,FALSE)=VLOOKUP(I$1,test!$A$3:$F$32,3,FALSE)),1,0)</f>
        <v>1</v>
      </c>
      <c r="J28" s="2">
        <f>IF(AND(VLOOKUP(J$1,test!$A$3:$G$32,5,FALSE)-VLOOKUP($A28,test!$A$3:$G$32,6,FALSE)&gt;=VLOOKUP(VLOOKUP(J$1, test!$A$3:$G$32,3,FALSE), test!$J$11:$K$14, 2, FALSE)/1440,VLOOKUP($A28,test!$A$3:$F$32,4,FALSE)=VLOOKUP(J$1,test!$A$3:$F$32,3,FALSE)),1,0)</f>
        <v>1</v>
      </c>
      <c r="K28" s="2">
        <f>IF(AND(VLOOKUP(K$1,test!$A$3:$G$32,5,FALSE)-VLOOKUP($A28,test!$A$3:$G$32,6,FALSE)&gt;=VLOOKUP(VLOOKUP(K$1, test!$A$3:$G$32,3,FALSE), test!$J$11:$K$14, 2, FALSE)/1440,VLOOKUP($A28,test!$A$3:$F$32,4,FALSE)=VLOOKUP(K$1,test!$A$3:$F$32,3,FALSE)),1,0)</f>
        <v>0</v>
      </c>
      <c r="L28" s="2">
        <f>IF(AND(VLOOKUP(L$1,test!$A$3:$G$32,5,FALSE)-VLOOKUP($A28,test!$A$3:$G$32,6,FALSE)&gt;=VLOOKUP(VLOOKUP(L$1, test!$A$3:$G$32,3,FALSE), test!$J$11:$K$14, 2, FALSE)/1440,VLOOKUP($A28,test!$A$3:$F$32,4,FALSE)=VLOOKUP(L$1,test!$A$3:$F$32,3,FALSE)),1,0)</f>
        <v>0</v>
      </c>
      <c r="M28" s="2">
        <f>IF(AND(VLOOKUP(M$1,test!$A$3:$G$32,5,FALSE)-VLOOKUP($A28,test!$A$3:$G$32,6,FALSE)&gt;=VLOOKUP(VLOOKUP(M$1, test!$A$3:$G$32,3,FALSE), test!$J$11:$K$14, 2, FALSE)/1440,VLOOKUP($A28,test!$A$3:$F$32,4,FALSE)=VLOOKUP(M$1,test!$A$3:$F$32,3,FALSE)),1,0)</f>
        <v>0</v>
      </c>
      <c r="N28" s="2">
        <f>IF(AND(VLOOKUP(N$1,test!$A$3:$G$32,5,FALSE)-VLOOKUP($A28,test!$A$3:$G$32,6,FALSE)&gt;=VLOOKUP(VLOOKUP(N$1, test!$A$3:$G$32,3,FALSE), test!$J$11:$K$14, 2, FALSE)/1440,VLOOKUP($A28,test!$A$3:$F$32,4,FALSE)=VLOOKUP(N$1,test!$A$3:$F$32,3,FALSE)),1,0)</f>
        <v>1</v>
      </c>
      <c r="O28" s="2">
        <f>IF(AND(VLOOKUP(O$1,test!$A$3:$G$32,5,FALSE)-VLOOKUP($A28,test!$A$3:$G$32,6,FALSE)&gt;=VLOOKUP(VLOOKUP(O$1, test!$A$3:$G$32,3,FALSE), test!$J$11:$K$14, 2, FALSE)/1440,VLOOKUP($A28,test!$A$3:$F$32,4,FALSE)=VLOOKUP(O$1,test!$A$3:$F$32,3,FALSE)),1,0)</f>
        <v>1</v>
      </c>
      <c r="P28" s="2">
        <f>IF(AND(VLOOKUP(P$1,test!$A$3:$G$32,5,FALSE)-VLOOKUP($A28,test!$A$3:$G$32,6,FALSE)&gt;=VLOOKUP(VLOOKUP(P$1, test!$A$3:$G$32,3,FALSE), test!$J$11:$K$14, 2, FALSE)/1440,VLOOKUP($A28,test!$A$3:$F$32,4,FALSE)=VLOOKUP(P$1,test!$A$3:$F$32,3,FALSE)),1,0)</f>
        <v>0</v>
      </c>
      <c r="Q28" s="2">
        <f>IF(AND(VLOOKUP(Q$1,test!$A$3:$G$32,5,FALSE)-VLOOKUP($A28,test!$A$3:$G$32,6,FALSE)&gt;=VLOOKUP(VLOOKUP(Q$1, test!$A$3:$G$32,3,FALSE), test!$J$11:$K$14, 2, FALSE)/1440,VLOOKUP($A28,test!$A$3:$F$32,4,FALSE)=VLOOKUP(Q$1,test!$A$3:$F$32,3,FALSE)),1,0)</f>
        <v>0</v>
      </c>
      <c r="R28" s="2">
        <f>IF(AND(VLOOKUP(R$1,test!$A$3:$G$32,5,FALSE)-VLOOKUP($A28,test!$A$3:$G$32,6,FALSE)&gt;=VLOOKUP(VLOOKUP(R$1, test!$A$3:$G$32,3,FALSE), test!$J$11:$K$14, 2, FALSE)/1440,VLOOKUP($A28,test!$A$3:$F$32,4,FALSE)=VLOOKUP(R$1,test!$A$3:$F$32,3,FALSE)),1,0)</f>
        <v>0</v>
      </c>
      <c r="S28" s="2">
        <f>IF(AND(VLOOKUP(S$1,test!$A$3:$G$32,5,FALSE)-VLOOKUP($A28,test!$A$3:$G$32,6,FALSE)&gt;=VLOOKUP(VLOOKUP(S$1, test!$A$3:$G$32,3,FALSE), test!$J$11:$K$14, 2, FALSE)/1440,VLOOKUP($A28,test!$A$3:$F$32,4,FALSE)=VLOOKUP(S$1,test!$A$3:$F$32,3,FALSE)),1,0)</f>
        <v>0</v>
      </c>
      <c r="T28" s="2">
        <f>IF(AND(VLOOKUP(T$1,test!$A$3:$G$32,5,FALSE)-VLOOKUP($A28,test!$A$3:$G$32,6,FALSE)&gt;=VLOOKUP(VLOOKUP(T$1, test!$A$3:$G$32,3,FALSE), test!$J$11:$K$14, 2, FALSE)/1440,VLOOKUP($A28,test!$A$3:$F$32,4,FALSE)=VLOOKUP(T$1,test!$A$3:$F$32,3,FALSE)),1,0)</f>
        <v>0</v>
      </c>
      <c r="U28" s="2">
        <f>IF(AND(VLOOKUP(U$1,test!$A$3:$G$32,5,FALSE)-VLOOKUP($A28,test!$A$3:$G$32,6,FALSE)&gt;=VLOOKUP(VLOOKUP(U$1, test!$A$3:$G$32,3,FALSE), test!$J$11:$K$14, 2, FALSE)/1440,VLOOKUP($A28,test!$A$3:$F$32,4,FALSE)=VLOOKUP(U$1,test!$A$3:$F$32,3,FALSE)),1,0)</f>
        <v>0</v>
      </c>
      <c r="V28" s="2">
        <f>IF(AND(VLOOKUP(V$1,test!$A$3:$G$32,5,FALSE)-VLOOKUP($A28,test!$A$3:$G$32,6,FALSE)&gt;=VLOOKUP(VLOOKUP(V$1, test!$A$3:$G$32,3,FALSE), test!$J$11:$K$14, 2, FALSE)/1440,VLOOKUP($A28,test!$A$3:$F$32,4,FALSE)=VLOOKUP(V$1,test!$A$3:$F$32,3,FALSE)),1,0)</f>
        <v>0</v>
      </c>
      <c r="W28" s="2">
        <f>IF(AND(VLOOKUP(W$1,test!$A$3:$G$32,5,FALSE)-VLOOKUP($A28,test!$A$3:$G$32,6,FALSE)&gt;=VLOOKUP(VLOOKUP(W$1, test!$A$3:$G$32,3,FALSE), test!$J$11:$K$14, 2, FALSE)/1440,VLOOKUP($A28,test!$A$3:$F$32,4,FALSE)=VLOOKUP(W$1,test!$A$3:$F$32,3,FALSE)),1,0)</f>
        <v>0</v>
      </c>
      <c r="X28" s="2">
        <f>IF(AND(VLOOKUP(X$1,test!$A$3:$G$32,5,FALSE)-VLOOKUP($A28,test!$A$3:$G$32,6,FALSE)&gt;=VLOOKUP(VLOOKUP(X$1, test!$A$3:$G$32,3,FALSE), test!$J$11:$K$14, 2, FALSE)/1440,VLOOKUP($A28,test!$A$3:$F$32,4,FALSE)=VLOOKUP(X$1,test!$A$3:$F$32,3,FALSE)),1,0)</f>
        <v>0</v>
      </c>
      <c r="Y28" s="2">
        <f>IF(AND(VLOOKUP(Y$1,test!$A$3:$G$32,5,FALSE)-VLOOKUP($A28,test!$A$3:$G$32,6,FALSE)&gt;=VLOOKUP(VLOOKUP(Y$1, test!$A$3:$G$32,3,FALSE), test!$J$11:$K$14, 2, FALSE)/1440,VLOOKUP($A28,test!$A$3:$F$32,4,FALSE)=VLOOKUP(Y$1,test!$A$3:$F$32,3,FALSE)),1,0)</f>
        <v>0</v>
      </c>
      <c r="Z28" s="2">
        <f>IF(AND(VLOOKUP(Z$1,test!$A$3:$G$32,5,FALSE)-VLOOKUP($A28,test!$A$3:$G$32,6,FALSE)&gt;=VLOOKUP(VLOOKUP(Z$1, test!$A$3:$G$32,3,FALSE), test!$J$11:$K$14, 2, FALSE)/1440,VLOOKUP($A28,test!$A$3:$F$32,4,FALSE)=VLOOKUP(Z$1,test!$A$3:$F$32,3,FALSE)),1,0)</f>
        <v>0</v>
      </c>
      <c r="AA28" s="2">
        <f>IF(AND(VLOOKUP(AA$1,test!$A$3:$G$32,5,FALSE)-VLOOKUP($A28,test!$A$3:$G$32,6,FALSE)&gt;=VLOOKUP(VLOOKUP(AA$1, test!$A$3:$G$32,3,FALSE), test!$J$11:$K$14, 2, FALSE)/1440,VLOOKUP($A28,test!$A$3:$F$32,4,FALSE)=VLOOKUP(AA$1,test!$A$3:$F$32,3,FALSE)),1,0)</f>
        <v>0</v>
      </c>
      <c r="AB28" s="2">
        <f>IF(AND(VLOOKUP(AB$1,test!$A$3:$G$32,5,FALSE)-VLOOKUP($A28,test!$A$3:$G$32,6,FALSE)&gt;=VLOOKUP(VLOOKUP(AB$1, test!$A$3:$G$32,3,FALSE), test!$J$11:$K$14, 2, FALSE)/1440,VLOOKUP($A28,test!$A$3:$F$32,4,FALSE)=VLOOKUP(AB$1,test!$A$3:$F$32,3,FALSE)),1,0)</f>
        <v>0</v>
      </c>
      <c r="AC28" s="2">
        <f>IF(AND(VLOOKUP(AC$1,test!$A$3:$G$32,5,FALSE)-VLOOKUP($A28,test!$A$3:$G$32,6,FALSE)&gt;=VLOOKUP(VLOOKUP(AC$1, test!$A$3:$G$32,3,FALSE), test!$J$11:$K$14, 2, FALSE)/1440,VLOOKUP($A28,test!$A$3:$F$32,4,FALSE)=VLOOKUP(AC$1,test!$A$3:$F$32,3,FALSE)),1,0)</f>
        <v>0</v>
      </c>
      <c r="AD28" s="2">
        <f>IF(AND(VLOOKUP(AD$1,test!$A$3:$G$32,5,FALSE)-VLOOKUP($A28,test!$A$3:$G$32,6,FALSE)&gt;=VLOOKUP(VLOOKUP(AD$1, test!$A$3:$G$32,3,FALSE), test!$J$11:$K$14, 2, FALSE)/1440,VLOOKUP($A28,test!$A$3:$F$32,4,FALSE)=VLOOKUP(AD$1,test!$A$3:$F$32,3,FALSE)),1,0)</f>
        <v>0</v>
      </c>
      <c r="AE28" s="2">
        <f>IF(AND(VLOOKUP(AE$1,test!$A$3:$G$32,5,FALSE)-VLOOKUP($A28,test!$A$3:$G$32,6,FALSE)&gt;=VLOOKUP(VLOOKUP(AE$1, test!$A$3:$G$32,3,FALSE), test!$J$11:$K$14, 2, FALSE)/1440,VLOOKUP($A28,test!$A$3:$F$32,4,FALSE)=VLOOKUP(AE$1,test!$A$3:$F$32,3,FALSE)),1,0)</f>
        <v>0</v>
      </c>
      <c r="AF28" s="2">
        <f>IF(AND(VLOOKUP(AF$1,test!$A$3:$G$32,5,FALSE)-VLOOKUP($A28,test!$A$3:$G$32,6,FALSE)&gt;=VLOOKUP(VLOOKUP(AF$1, test!$A$3:$G$32,3,FALSE), test!$J$11:$K$14, 2, FALSE)/1440,VLOOKUP($A28,test!$A$3:$F$32,4,FALSE)=VLOOKUP(AF$1,test!$A$3:$F$32,3,FALSE)),1,0)</f>
        <v>0</v>
      </c>
    </row>
    <row r="29" spans="1:32" x14ac:dyDescent="0.25">
      <c r="A29" t="s">
        <v>38</v>
      </c>
      <c r="B29" s="3">
        <v>1</v>
      </c>
      <c r="C29" s="2">
        <f>IF(AND(VLOOKUP(C$1,test!$A$3:$G$32,5,FALSE)-VLOOKUP($A29,test!$A$3:$G$32,6,FALSE)&gt;=VLOOKUP(VLOOKUP(C$1, test!$A$3:$G$32,3,FALSE), test!$J$11:$K$14, 2, FALSE)/1440,VLOOKUP($A29,test!$A$3:$F$32,4,FALSE)=VLOOKUP(C$1,test!$A$3:$F$32,3,FALSE)),1,0)</f>
        <v>0</v>
      </c>
      <c r="D29" s="2">
        <f>IF(AND(VLOOKUP(D$1,test!$A$3:$G$32,5,FALSE)-VLOOKUP($A29,test!$A$3:$G$32,6,FALSE)&gt;=VLOOKUP(VLOOKUP(D$1, test!$A$3:$G$32,3,FALSE), test!$J$11:$K$14, 2, FALSE)/1440,VLOOKUP($A29,test!$A$3:$F$32,4,FALSE)=VLOOKUP(D$1,test!$A$3:$F$32,3,FALSE)),1,0)</f>
        <v>0</v>
      </c>
      <c r="E29" s="2">
        <f>IF(AND(VLOOKUP(E$1,test!$A$3:$G$32,5,FALSE)-VLOOKUP($A29,test!$A$3:$G$32,6,FALSE)&gt;=VLOOKUP(VLOOKUP(E$1, test!$A$3:$G$32,3,FALSE), test!$J$11:$K$14, 2, FALSE)/1440,VLOOKUP($A29,test!$A$3:$F$32,4,FALSE)=VLOOKUP(E$1,test!$A$3:$F$32,3,FALSE)),1,0)</f>
        <v>0</v>
      </c>
      <c r="F29" s="2">
        <f>IF(AND(VLOOKUP(F$1,test!$A$3:$G$32,5,FALSE)-VLOOKUP($A29,test!$A$3:$G$32,6,FALSE)&gt;=VLOOKUP(VLOOKUP(F$1, test!$A$3:$G$32,3,FALSE), test!$J$11:$K$14, 2, FALSE)/1440,VLOOKUP($A29,test!$A$3:$F$32,4,FALSE)=VLOOKUP(F$1,test!$A$3:$F$32,3,FALSE)),1,0)</f>
        <v>0</v>
      </c>
      <c r="G29" s="2">
        <f>IF(AND(VLOOKUP(G$1,test!$A$3:$G$32,5,FALSE)-VLOOKUP($A29,test!$A$3:$G$32,6,FALSE)&gt;=VLOOKUP(VLOOKUP(G$1, test!$A$3:$G$32,3,FALSE), test!$J$11:$K$14, 2, FALSE)/1440,VLOOKUP($A29,test!$A$3:$F$32,4,FALSE)=VLOOKUP(G$1,test!$A$3:$F$32,3,FALSE)),1,0)</f>
        <v>0</v>
      </c>
      <c r="H29" s="2">
        <f>IF(AND(VLOOKUP(H$1,test!$A$3:$G$32,5,FALSE)-VLOOKUP($A29,test!$A$3:$G$32,6,FALSE)&gt;=VLOOKUP(VLOOKUP(H$1, test!$A$3:$G$32,3,FALSE), test!$J$11:$K$14, 2, FALSE)/1440,VLOOKUP($A29,test!$A$3:$F$32,4,FALSE)=VLOOKUP(H$1,test!$A$3:$F$32,3,FALSE)),1,0)</f>
        <v>0</v>
      </c>
      <c r="I29" s="2">
        <f>IF(AND(VLOOKUP(I$1,test!$A$3:$G$32,5,FALSE)-VLOOKUP($A29,test!$A$3:$G$32,6,FALSE)&gt;=VLOOKUP(VLOOKUP(I$1, test!$A$3:$G$32,3,FALSE), test!$J$11:$K$14, 2, FALSE)/1440,VLOOKUP($A29,test!$A$3:$F$32,4,FALSE)=VLOOKUP(I$1,test!$A$3:$F$32,3,FALSE)),1,0)</f>
        <v>0</v>
      </c>
      <c r="J29" s="2">
        <f>IF(AND(VLOOKUP(J$1,test!$A$3:$G$32,5,FALSE)-VLOOKUP($A29,test!$A$3:$G$32,6,FALSE)&gt;=VLOOKUP(VLOOKUP(J$1, test!$A$3:$G$32,3,FALSE), test!$J$11:$K$14, 2, FALSE)/1440,VLOOKUP($A29,test!$A$3:$F$32,4,FALSE)=VLOOKUP(J$1,test!$A$3:$F$32,3,FALSE)),1,0)</f>
        <v>0</v>
      </c>
      <c r="K29" s="2">
        <f>IF(AND(VLOOKUP(K$1,test!$A$3:$G$32,5,FALSE)-VLOOKUP($A29,test!$A$3:$G$32,6,FALSE)&gt;=VLOOKUP(VLOOKUP(K$1, test!$A$3:$G$32,3,FALSE), test!$J$11:$K$14, 2, FALSE)/1440,VLOOKUP($A29,test!$A$3:$F$32,4,FALSE)=VLOOKUP(K$1,test!$A$3:$F$32,3,FALSE)),1,0)</f>
        <v>0</v>
      </c>
      <c r="L29" s="2">
        <f>IF(AND(VLOOKUP(L$1,test!$A$3:$G$32,5,FALSE)-VLOOKUP($A29,test!$A$3:$G$32,6,FALSE)&gt;=VLOOKUP(VLOOKUP(L$1, test!$A$3:$G$32,3,FALSE), test!$J$11:$K$14, 2, FALSE)/1440,VLOOKUP($A29,test!$A$3:$F$32,4,FALSE)=VLOOKUP(L$1,test!$A$3:$F$32,3,FALSE)),1,0)</f>
        <v>0</v>
      </c>
      <c r="M29" s="2">
        <f>IF(AND(VLOOKUP(M$1,test!$A$3:$G$32,5,FALSE)-VLOOKUP($A29,test!$A$3:$G$32,6,FALSE)&gt;=VLOOKUP(VLOOKUP(M$1, test!$A$3:$G$32,3,FALSE), test!$J$11:$K$14, 2, FALSE)/1440,VLOOKUP($A29,test!$A$3:$F$32,4,FALSE)=VLOOKUP(M$1,test!$A$3:$F$32,3,FALSE)),1,0)</f>
        <v>0</v>
      </c>
      <c r="N29" s="2">
        <f>IF(AND(VLOOKUP(N$1,test!$A$3:$G$32,5,FALSE)-VLOOKUP($A29,test!$A$3:$G$32,6,FALSE)&gt;=VLOOKUP(VLOOKUP(N$1, test!$A$3:$G$32,3,FALSE), test!$J$11:$K$14, 2, FALSE)/1440,VLOOKUP($A29,test!$A$3:$F$32,4,FALSE)=VLOOKUP(N$1,test!$A$3:$F$32,3,FALSE)),1,0)</f>
        <v>0</v>
      </c>
      <c r="O29" s="2">
        <f>IF(AND(VLOOKUP(O$1,test!$A$3:$G$32,5,FALSE)-VLOOKUP($A29,test!$A$3:$G$32,6,FALSE)&gt;=VLOOKUP(VLOOKUP(O$1, test!$A$3:$G$32,3,FALSE), test!$J$11:$K$14, 2, FALSE)/1440,VLOOKUP($A29,test!$A$3:$F$32,4,FALSE)=VLOOKUP(O$1,test!$A$3:$F$32,3,FALSE)),1,0)</f>
        <v>1</v>
      </c>
      <c r="P29" s="2">
        <f>IF(AND(VLOOKUP(P$1,test!$A$3:$G$32,5,FALSE)-VLOOKUP($A29,test!$A$3:$G$32,6,FALSE)&gt;=VLOOKUP(VLOOKUP(P$1, test!$A$3:$G$32,3,FALSE), test!$J$11:$K$14, 2, FALSE)/1440,VLOOKUP($A29,test!$A$3:$F$32,4,FALSE)=VLOOKUP(P$1,test!$A$3:$F$32,3,FALSE)),1,0)</f>
        <v>0</v>
      </c>
      <c r="Q29" s="2">
        <f>IF(AND(VLOOKUP(Q$1,test!$A$3:$G$32,5,FALSE)-VLOOKUP($A29,test!$A$3:$G$32,6,FALSE)&gt;=VLOOKUP(VLOOKUP(Q$1, test!$A$3:$G$32,3,FALSE), test!$J$11:$K$14, 2, FALSE)/1440,VLOOKUP($A29,test!$A$3:$F$32,4,FALSE)=VLOOKUP(Q$1,test!$A$3:$F$32,3,FALSE)),1,0)</f>
        <v>0</v>
      </c>
      <c r="R29" s="2">
        <f>IF(AND(VLOOKUP(R$1,test!$A$3:$G$32,5,FALSE)-VLOOKUP($A29,test!$A$3:$G$32,6,FALSE)&gt;=VLOOKUP(VLOOKUP(R$1, test!$A$3:$G$32,3,FALSE), test!$J$11:$K$14, 2, FALSE)/1440,VLOOKUP($A29,test!$A$3:$F$32,4,FALSE)=VLOOKUP(R$1,test!$A$3:$F$32,3,FALSE)),1,0)</f>
        <v>0</v>
      </c>
      <c r="S29" s="2">
        <f>IF(AND(VLOOKUP(S$1,test!$A$3:$G$32,5,FALSE)-VLOOKUP($A29,test!$A$3:$G$32,6,FALSE)&gt;=VLOOKUP(VLOOKUP(S$1, test!$A$3:$G$32,3,FALSE), test!$J$11:$K$14, 2, FALSE)/1440,VLOOKUP($A29,test!$A$3:$F$32,4,FALSE)=VLOOKUP(S$1,test!$A$3:$F$32,3,FALSE)),1,0)</f>
        <v>0</v>
      </c>
      <c r="T29" s="2">
        <f>IF(AND(VLOOKUP(T$1,test!$A$3:$G$32,5,FALSE)-VLOOKUP($A29,test!$A$3:$G$32,6,FALSE)&gt;=VLOOKUP(VLOOKUP(T$1, test!$A$3:$G$32,3,FALSE), test!$J$11:$K$14, 2, FALSE)/1440,VLOOKUP($A29,test!$A$3:$F$32,4,FALSE)=VLOOKUP(T$1,test!$A$3:$F$32,3,FALSE)),1,0)</f>
        <v>0</v>
      </c>
      <c r="U29" s="2">
        <f>IF(AND(VLOOKUP(U$1,test!$A$3:$G$32,5,FALSE)-VLOOKUP($A29,test!$A$3:$G$32,6,FALSE)&gt;=VLOOKUP(VLOOKUP(U$1, test!$A$3:$G$32,3,FALSE), test!$J$11:$K$14, 2, FALSE)/1440,VLOOKUP($A29,test!$A$3:$F$32,4,FALSE)=VLOOKUP(U$1,test!$A$3:$F$32,3,FALSE)),1,0)</f>
        <v>0</v>
      </c>
      <c r="V29" s="2">
        <f>IF(AND(VLOOKUP(V$1,test!$A$3:$G$32,5,FALSE)-VLOOKUP($A29,test!$A$3:$G$32,6,FALSE)&gt;=VLOOKUP(VLOOKUP(V$1, test!$A$3:$G$32,3,FALSE), test!$J$11:$K$14, 2, FALSE)/1440,VLOOKUP($A29,test!$A$3:$F$32,4,FALSE)=VLOOKUP(V$1,test!$A$3:$F$32,3,FALSE)),1,0)</f>
        <v>0</v>
      </c>
      <c r="W29" s="2">
        <f>IF(AND(VLOOKUP(W$1,test!$A$3:$G$32,5,FALSE)-VLOOKUP($A29,test!$A$3:$G$32,6,FALSE)&gt;=VLOOKUP(VLOOKUP(W$1, test!$A$3:$G$32,3,FALSE), test!$J$11:$K$14, 2, FALSE)/1440,VLOOKUP($A29,test!$A$3:$F$32,4,FALSE)=VLOOKUP(W$1,test!$A$3:$F$32,3,FALSE)),1,0)</f>
        <v>0</v>
      </c>
      <c r="X29" s="2">
        <f>IF(AND(VLOOKUP(X$1,test!$A$3:$G$32,5,FALSE)-VLOOKUP($A29,test!$A$3:$G$32,6,FALSE)&gt;=VLOOKUP(VLOOKUP(X$1, test!$A$3:$G$32,3,FALSE), test!$J$11:$K$14, 2, FALSE)/1440,VLOOKUP($A29,test!$A$3:$F$32,4,FALSE)=VLOOKUP(X$1,test!$A$3:$F$32,3,FALSE)),1,0)</f>
        <v>0</v>
      </c>
      <c r="Y29" s="2">
        <f>IF(AND(VLOOKUP(Y$1,test!$A$3:$G$32,5,FALSE)-VLOOKUP($A29,test!$A$3:$G$32,6,FALSE)&gt;=VLOOKUP(VLOOKUP(Y$1, test!$A$3:$G$32,3,FALSE), test!$J$11:$K$14, 2, FALSE)/1440,VLOOKUP($A29,test!$A$3:$F$32,4,FALSE)=VLOOKUP(Y$1,test!$A$3:$F$32,3,FALSE)),1,0)</f>
        <v>0</v>
      </c>
      <c r="Z29" s="2">
        <f>IF(AND(VLOOKUP(Z$1,test!$A$3:$G$32,5,FALSE)-VLOOKUP($A29,test!$A$3:$G$32,6,FALSE)&gt;=VLOOKUP(VLOOKUP(Z$1, test!$A$3:$G$32,3,FALSE), test!$J$11:$K$14, 2, FALSE)/1440,VLOOKUP($A29,test!$A$3:$F$32,4,FALSE)=VLOOKUP(Z$1,test!$A$3:$F$32,3,FALSE)),1,0)</f>
        <v>0</v>
      </c>
      <c r="AA29" s="2">
        <f>IF(AND(VLOOKUP(AA$1,test!$A$3:$G$32,5,FALSE)-VLOOKUP($A29,test!$A$3:$G$32,6,FALSE)&gt;=VLOOKUP(VLOOKUP(AA$1, test!$A$3:$G$32,3,FALSE), test!$J$11:$K$14, 2, FALSE)/1440,VLOOKUP($A29,test!$A$3:$F$32,4,FALSE)=VLOOKUP(AA$1,test!$A$3:$F$32,3,FALSE)),1,0)</f>
        <v>0</v>
      </c>
      <c r="AB29" s="2">
        <f>IF(AND(VLOOKUP(AB$1,test!$A$3:$G$32,5,FALSE)-VLOOKUP($A29,test!$A$3:$G$32,6,FALSE)&gt;=VLOOKUP(VLOOKUP(AB$1, test!$A$3:$G$32,3,FALSE), test!$J$11:$K$14, 2, FALSE)/1440,VLOOKUP($A29,test!$A$3:$F$32,4,FALSE)=VLOOKUP(AB$1,test!$A$3:$F$32,3,FALSE)),1,0)</f>
        <v>0</v>
      </c>
      <c r="AC29" s="2">
        <f>IF(AND(VLOOKUP(AC$1,test!$A$3:$G$32,5,FALSE)-VLOOKUP($A29,test!$A$3:$G$32,6,FALSE)&gt;=VLOOKUP(VLOOKUP(AC$1, test!$A$3:$G$32,3,FALSE), test!$J$11:$K$14, 2, FALSE)/1440,VLOOKUP($A29,test!$A$3:$F$32,4,FALSE)=VLOOKUP(AC$1,test!$A$3:$F$32,3,FALSE)),1,0)</f>
        <v>0</v>
      </c>
      <c r="AD29" s="2">
        <f>IF(AND(VLOOKUP(AD$1,test!$A$3:$G$32,5,FALSE)-VLOOKUP($A29,test!$A$3:$G$32,6,FALSE)&gt;=VLOOKUP(VLOOKUP(AD$1, test!$A$3:$G$32,3,FALSE), test!$J$11:$K$14, 2, FALSE)/1440,VLOOKUP($A29,test!$A$3:$F$32,4,FALSE)=VLOOKUP(AD$1,test!$A$3:$F$32,3,FALSE)),1,0)</f>
        <v>0</v>
      </c>
      <c r="AE29" s="2">
        <f>IF(AND(VLOOKUP(AE$1,test!$A$3:$G$32,5,FALSE)-VLOOKUP($A29,test!$A$3:$G$32,6,FALSE)&gt;=VLOOKUP(VLOOKUP(AE$1, test!$A$3:$G$32,3,FALSE), test!$J$11:$K$14, 2, FALSE)/1440,VLOOKUP($A29,test!$A$3:$F$32,4,FALSE)=VLOOKUP(AE$1,test!$A$3:$F$32,3,FALSE)),1,0)</f>
        <v>0</v>
      </c>
      <c r="AF29" s="2">
        <f>IF(AND(VLOOKUP(AF$1,test!$A$3:$G$32,5,FALSE)-VLOOKUP($A29,test!$A$3:$G$32,6,FALSE)&gt;=VLOOKUP(VLOOKUP(AF$1, test!$A$3:$G$32,3,FALSE), test!$J$11:$K$14, 2, FALSE)/1440,VLOOKUP($A29,test!$A$3:$F$32,4,FALSE)=VLOOKUP(AF$1,test!$A$3:$F$32,3,FALSE)),1,0)</f>
        <v>0</v>
      </c>
    </row>
    <row r="30" spans="1:32" x14ac:dyDescent="0.25">
      <c r="A30" t="s">
        <v>39</v>
      </c>
      <c r="B30" s="3">
        <v>1</v>
      </c>
      <c r="C30" s="2">
        <f>IF(AND(VLOOKUP(C$1,test!$A$3:$G$32,5,FALSE)-VLOOKUP($A30,test!$A$3:$G$32,6,FALSE)&gt;=VLOOKUP(VLOOKUP(C$1, test!$A$3:$G$32,3,FALSE), test!$J$11:$K$14, 2, FALSE)/1440,VLOOKUP($A30,test!$A$3:$F$32,4,FALSE)=VLOOKUP(C$1,test!$A$3:$F$32,3,FALSE)),1,0)</f>
        <v>0</v>
      </c>
      <c r="D30" s="2">
        <f>IF(AND(VLOOKUP(D$1,test!$A$3:$G$32,5,FALSE)-VLOOKUP($A30,test!$A$3:$G$32,6,FALSE)&gt;=VLOOKUP(VLOOKUP(D$1, test!$A$3:$G$32,3,FALSE), test!$J$11:$K$14, 2, FALSE)/1440,VLOOKUP($A30,test!$A$3:$F$32,4,FALSE)=VLOOKUP(D$1,test!$A$3:$F$32,3,FALSE)),1,0)</f>
        <v>0</v>
      </c>
      <c r="E30" s="2">
        <f>IF(AND(VLOOKUP(E$1,test!$A$3:$G$32,5,FALSE)-VLOOKUP($A30,test!$A$3:$G$32,6,FALSE)&gt;=VLOOKUP(VLOOKUP(E$1, test!$A$3:$G$32,3,FALSE), test!$J$11:$K$14, 2, FALSE)/1440,VLOOKUP($A30,test!$A$3:$F$32,4,FALSE)=VLOOKUP(E$1,test!$A$3:$F$32,3,FALSE)),1,0)</f>
        <v>0</v>
      </c>
      <c r="F30" s="2">
        <f>IF(AND(VLOOKUP(F$1,test!$A$3:$G$32,5,FALSE)-VLOOKUP($A30,test!$A$3:$G$32,6,FALSE)&gt;=VLOOKUP(VLOOKUP(F$1, test!$A$3:$G$32,3,FALSE), test!$J$11:$K$14, 2, FALSE)/1440,VLOOKUP($A30,test!$A$3:$F$32,4,FALSE)=VLOOKUP(F$1,test!$A$3:$F$32,3,FALSE)),1,0)</f>
        <v>0</v>
      </c>
      <c r="G30" s="2">
        <f>IF(AND(VLOOKUP(G$1,test!$A$3:$G$32,5,FALSE)-VLOOKUP($A30,test!$A$3:$G$32,6,FALSE)&gt;=VLOOKUP(VLOOKUP(G$1, test!$A$3:$G$32,3,FALSE), test!$J$11:$K$14, 2, FALSE)/1440,VLOOKUP($A30,test!$A$3:$F$32,4,FALSE)=VLOOKUP(G$1,test!$A$3:$F$32,3,FALSE)),1,0)</f>
        <v>0</v>
      </c>
      <c r="H30" s="2">
        <f>IF(AND(VLOOKUP(H$1,test!$A$3:$G$32,5,FALSE)-VLOOKUP($A30,test!$A$3:$G$32,6,FALSE)&gt;=VLOOKUP(VLOOKUP(H$1, test!$A$3:$G$32,3,FALSE), test!$J$11:$K$14, 2, FALSE)/1440,VLOOKUP($A30,test!$A$3:$F$32,4,FALSE)=VLOOKUP(H$1,test!$A$3:$F$32,3,FALSE)),1,0)</f>
        <v>0</v>
      </c>
      <c r="I30" s="2">
        <f>IF(AND(VLOOKUP(I$1,test!$A$3:$G$32,5,FALSE)-VLOOKUP($A30,test!$A$3:$G$32,6,FALSE)&gt;=VLOOKUP(VLOOKUP(I$1, test!$A$3:$G$32,3,FALSE), test!$J$11:$K$14, 2, FALSE)/1440,VLOOKUP($A30,test!$A$3:$F$32,4,FALSE)=VLOOKUP(I$1,test!$A$3:$F$32,3,FALSE)),1,0)</f>
        <v>0</v>
      </c>
      <c r="J30" s="2">
        <f>IF(AND(VLOOKUP(J$1,test!$A$3:$G$32,5,FALSE)-VLOOKUP($A30,test!$A$3:$G$32,6,FALSE)&gt;=VLOOKUP(VLOOKUP(J$1, test!$A$3:$G$32,3,FALSE), test!$J$11:$K$14, 2, FALSE)/1440,VLOOKUP($A30,test!$A$3:$F$32,4,FALSE)=VLOOKUP(J$1,test!$A$3:$F$32,3,FALSE)),1,0)</f>
        <v>0</v>
      </c>
      <c r="K30" s="2">
        <f>IF(AND(VLOOKUP(K$1,test!$A$3:$G$32,5,FALSE)-VLOOKUP($A30,test!$A$3:$G$32,6,FALSE)&gt;=VLOOKUP(VLOOKUP(K$1, test!$A$3:$G$32,3,FALSE), test!$J$11:$K$14, 2, FALSE)/1440,VLOOKUP($A30,test!$A$3:$F$32,4,FALSE)=VLOOKUP(K$1,test!$A$3:$F$32,3,FALSE)),1,0)</f>
        <v>0</v>
      </c>
      <c r="L30" s="2">
        <f>IF(AND(VLOOKUP(L$1,test!$A$3:$G$32,5,FALSE)-VLOOKUP($A30,test!$A$3:$G$32,6,FALSE)&gt;=VLOOKUP(VLOOKUP(L$1, test!$A$3:$G$32,3,FALSE), test!$J$11:$K$14, 2, FALSE)/1440,VLOOKUP($A30,test!$A$3:$F$32,4,FALSE)=VLOOKUP(L$1,test!$A$3:$F$32,3,FALSE)),1,0)</f>
        <v>0</v>
      </c>
      <c r="M30" s="2">
        <f>IF(AND(VLOOKUP(M$1,test!$A$3:$G$32,5,FALSE)-VLOOKUP($A30,test!$A$3:$G$32,6,FALSE)&gt;=VLOOKUP(VLOOKUP(M$1, test!$A$3:$G$32,3,FALSE), test!$J$11:$K$14, 2, FALSE)/1440,VLOOKUP($A30,test!$A$3:$F$32,4,FALSE)=VLOOKUP(M$1,test!$A$3:$F$32,3,FALSE)),1,0)</f>
        <v>0</v>
      </c>
      <c r="N30" s="2">
        <f>IF(AND(VLOOKUP(N$1,test!$A$3:$G$32,5,FALSE)-VLOOKUP($A30,test!$A$3:$G$32,6,FALSE)&gt;=VLOOKUP(VLOOKUP(N$1, test!$A$3:$G$32,3,FALSE), test!$J$11:$K$14, 2, FALSE)/1440,VLOOKUP($A30,test!$A$3:$F$32,4,FALSE)=VLOOKUP(N$1,test!$A$3:$F$32,3,FALSE)),1,0)</f>
        <v>0</v>
      </c>
      <c r="O30" s="2">
        <f>IF(AND(VLOOKUP(O$1,test!$A$3:$G$32,5,FALSE)-VLOOKUP($A30,test!$A$3:$G$32,6,FALSE)&gt;=VLOOKUP(VLOOKUP(O$1, test!$A$3:$G$32,3,FALSE), test!$J$11:$K$14, 2, FALSE)/1440,VLOOKUP($A30,test!$A$3:$F$32,4,FALSE)=VLOOKUP(O$1,test!$A$3:$F$32,3,FALSE)),1,0)</f>
        <v>0</v>
      </c>
      <c r="P30" s="2">
        <f>IF(AND(VLOOKUP(P$1,test!$A$3:$G$32,5,FALSE)-VLOOKUP($A30,test!$A$3:$G$32,6,FALSE)&gt;=VLOOKUP(VLOOKUP(P$1, test!$A$3:$G$32,3,FALSE), test!$J$11:$K$14, 2, FALSE)/1440,VLOOKUP($A30,test!$A$3:$F$32,4,FALSE)=VLOOKUP(P$1,test!$A$3:$F$32,3,FALSE)),1,0)</f>
        <v>0</v>
      </c>
      <c r="Q30" s="2">
        <f>IF(AND(VLOOKUP(Q$1,test!$A$3:$G$32,5,FALSE)-VLOOKUP($A30,test!$A$3:$G$32,6,FALSE)&gt;=VLOOKUP(VLOOKUP(Q$1, test!$A$3:$G$32,3,FALSE), test!$J$11:$K$14, 2, FALSE)/1440,VLOOKUP($A30,test!$A$3:$F$32,4,FALSE)=VLOOKUP(Q$1,test!$A$3:$F$32,3,FALSE)),1,0)</f>
        <v>0</v>
      </c>
      <c r="R30" s="2">
        <f>IF(AND(VLOOKUP(R$1,test!$A$3:$G$32,5,FALSE)-VLOOKUP($A30,test!$A$3:$G$32,6,FALSE)&gt;=VLOOKUP(VLOOKUP(R$1, test!$A$3:$G$32,3,FALSE), test!$J$11:$K$14, 2, FALSE)/1440,VLOOKUP($A30,test!$A$3:$F$32,4,FALSE)=VLOOKUP(R$1,test!$A$3:$F$32,3,FALSE)),1,0)</f>
        <v>0</v>
      </c>
      <c r="S30" s="2">
        <f>IF(AND(VLOOKUP(S$1,test!$A$3:$G$32,5,FALSE)-VLOOKUP($A30,test!$A$3:$G$32,6,FALSE)&gt;=VLOOKUP(VLOOKUP(S$1, test!$A$3:$G$32,3,FALSE), test!$J$11:$K$14, 2, FALSE)/1440,VLOOKUP($A30,test!$A$3:$F$32,4,FALSE)=VLOOKUP(S$1,test!$A$3:$F$32,3,FALSE)),1,0)</f>
        <v>0</v>
      </c>
      <c r="T30" s="2">
        <f>IF(AND(VLOOKUP(T$1,test!$A$3:$G$32,5,FALSE)-VLOOKUP($A30,test!$A$3:$G$32,6,FALSE)&gt;=VLOOKUP(VLOOKUP(T$1, test!$A$3:$G$32,3,FALSE), test!$J$11:$K$14, 2, FALSE)/1440,VLOOKUP($A30,test!$A$3:$F$32,4,FALSE)=VLOOKUP(T$1,test!$A$3:$F$32,3,FALSE)),1,0)</f>
        <v>0</v>
      </c>
      <c r="U30" s="2">
        <f>IF(AND(VLOOKUP(U$1,test!$A$3:$G$32,5,FALSE)-VLOOKUP($A30,test!$A$3:$G$32,6,FALSE)&gt;=VLOOKUP(VLOOKUP(U$1, test!$A$3:$G$32,3,FALSE), test!$J$11:$K$14, 2, FALSE)/1440,VLOOKUP($A30,test!$A$3:$F$32,4,FALSE)=VLOOKUP(U$1,test!$A$3:$F$32,3,FALSE)),1,0)</f>
        <v>0</v>
      </c>
      <c r="V30" s="2">
        <f>IF(AND(VLOOKUP(V$1,test!$A$3:$G$32,5,FALSE)-VLOOKUP($A30,test!$A$3:$G$32,6,FALSE)&gt;=VLOOKUP(VLOOKUP(V$1, test!$A$3:$G$32,3,FALSE), test!$J$11:$K$14, 2, FALSE)/1440,VLOOKUP($A30,test!$A$3:$F$32,4,FALSE)=VLOOKUP(V$1,test!$A$3:$F$32,3,FALSE)),1,0)</f>
        <v>0</v>
      </c>
      <c r="W30" s="2">
        <f>IF(AND(VLOOKUP(W$1,test!$A$3:$G$32,5,FALSE)-VLOOKUP($A30,test!$A$3:$G$32,6,FALSE)&gt;=VLOOKUP(VLOOKUP(W$1, test!$A$3:$G$32,3,FALSE), test!$J$11:$K$14, 2, FALSE)/1440,VLOOKUP($A30,test!$A$3:$F$32,4,FALSE)=VLOOKUP(W$1,test!$A$3:$F$32,3,FALSE)),1,0)</f>
        <v>0</v>
      </c>
      <c r="X30" s="2">
        <f>IF(AND(VLOOKUP(X$1,test!$A$3:$G$32,5,FALSE)-VLOOKUP($A30,test!$A$3:$G$32,6,FALSE)&gt;=VLOOKUP(VLOOKUP(X$1, test!$A$3:$G$32,3,FALSE), test!$J$11:$K$14, 2, FALSE)/1440,VLOOKUP($A30,test!$A$3:$F$32,4,FALSE)=VLOOKUP(X$1,test!$A$3:$F$32,3,FALSE)),1,0)</f>
        <v>0</v>
      </c>
      <c r="Y30" s="2">
        <f>IF(AND(VLOOKUP(Y$1,test!$A$3:$G$32,5,FALSE)-VLOOKUP($A30,test!$A$3:$G$32,6,FALSE)&gt;=VLOOKUP(VLOOKUP(Y$1, test!$A$3:$G$32,3,FALSE), test!$J$11:$K$14, 2, FALSE)/1440,VLOOKUP($A30,test!$A$3:$F$32,4,FALSE)=VLOOKUP(Y$1,test!$A$3:$F$32,3,FALSE)),1,0)</f>
        <v>0</v>
      </c>
      <c r="Z30" s="2">
        <f>IF(AND(VLOOKUP(Z$1,test!$A$3:$G$32,5,FALSE)-VLOOKUP($A30,test!$A$3:$G$32,6,FALSE)&gt;=VLOOKUP(VLOOKUP(Z$1, test!$A$3:$G$32,3,FALSE), test!$J$11:$K$14, 2, FALSE)/1440,VLOOKUP($A30,test!$A$3:$F$32,4,FALSE)=VLOOKUP(Z$1,test!$A$3:$F$32,3,FALSE)),1,0)</f>
        <v>0</v>
      </c>
      <c r="AA30" s="2">
        <f>IF(AND(VLOOKUP(AA$1,test!$A$3:$G$32,5,FALSE)-VLOOKUP($A30,test!$A$3:$G$32,6,FALSE)&gt;=VLOOKUP(VLOOKUP(AA$1, test!$A$3:$G$32,3,FALSE), test!$J$11:$K$14, 2, FALSE)/1440,VLOOKUP($A30,test!$A$3:$F$32,4,FALSE)=VLOOKUP(AA$1,test!$A$3:$F$32,3,FALSE)),1,0)</f>
        <v>0</v>
      </c>
      <c r="AB30" s="2">
        <f>IF(AND(VLOOKUP(AB$1,test!$A$3:$G$32,5,FALSE)-VLOOKUP($A30,test!$A$3:$G$32,6,FALSE)&gt;=VLOOKUP(VLOOKUP(AB$1, test!$A$3:$G$32,3,FALSE), test!$J$11:$K$14, 2, FALSE)/1440,VLOOKUP($A30,test!$A$3:$F$32,4,FALSE)=VLOOKUP(AB$1,test!$A$3:$F$32,3,FALSE)),1,0)</f>
        <v>0</v>
      </c>
      <c r="AC30" s="2">
        <f>IF(AND(VLOOKUP(AC$1,test!$A$3:$G$32,5,FALSE)-VLOOKUP($A30,test!$A$3:$G$32,6,FALSE)&gt;=VLOOKUP(VLOOKUP(AC$1, test!$A$3:$G$32,3,FALSE), test!$J$11:$K$14, 2, FALSE)/1440,VLOOKUP($A30,test!$A$3:$F$32,4,FALSE)=VLOOKUP(AC$1,test!$A$3:$F$32,3,FALSE)),1,0)</f>
        <v>0</v>
      </c>
      <c r="AD30" s="2">
        <f>IF(AND(VLOOKUP(AD$1,test!$A$3:$G$32,5,FALSE)-VLOOKUP($A30,test!$A$3:$G$32,6,FALSE)&gt;=VLOOKUP(VLOOKUP(AD$1, test!$A$3:$G$32,3,FALSE), test!$J$11:$K$14, 2, FALSE)/1440,VLOOKUP($A30,test!$A$3:$F$32,4,FALSE)=VLOOKUP(AD$1,test!$A$3:$F$32,3,FALSE)),1,0)</f>
        <v>0</v>
      </c>
      <c r="AE30" s="2">
        <f>IF(AND(VLOOKUP(AE$1,test!$A$3:$G$32,5,FALSE)-VLOOKUP($A30,test!$A$3:$G$32,6,FALSE)&gt;=VLOOKUP(VLOOKUP(AE$1, test!$A$3:$G$32,3,FALSE), test!$J$11:$K$14, 2, FALSE)/1440,VLOOKUP($A30,test!$A$3:$F$32,4,FALSE)=VLOOKUP(AE$1,test!$A$3:$F$32,3,FALSE)),1,0)</f>
        <v>1</v>
      </c>
      <c r="AF30" s="2">
        <f>IF(AND(VLOOKUP(AF$1,test!$A$3:$G$32,5,FALSE)-VLOOKUP($A30,test!$A$3:$G$32,6,FALSE)&gt;=VLOOKUP(VLOOKUP(AF$1, test!$A$3:$G$32,3,FALSE), test!$J$11:$K$14, 2, FALSE)/1440,VLOOKUP($A30,test!$A$3:$F$32,4,FALSE)=VLOOKUP(AF$1,test!$A$3:$F$32,3,FALSE)),1,0)</f>
        <v>1</v>
      </c>
    </row>
    <row r="31" spans="1:32" x14ac:dyDescent="0.25">
      <c r="A31" t="s">
        <v>40</v>
      </c>
      <c r="B31" s="3">
        <v>1</v>
      </c>
      <c r="C31" s="2">
        <f>IF(AND(VLOOKUP(C$1,test!$A$3:$G$32,5,FALSE)-VLOOKUP($A31,test!$A$3:$G$32,6,FALSE)&gt;=VLOOKUP(VLOOKUP(C$1, test!$A$3:$G$32,3,FALSE), test!$J$11:$K$14, 2, FALSE)/1440,VLOOKUP($A31,test!$A$3:$F$32,4,FALSE)=VLOOKUP(C$1,test!$A$3:$F$32,3,FALSE)),1,0)</f>
        <v>0</v>
      </c>
      <c r="D31" s="2">
        <f>IF(AND(VLOOKUP(D$1,test!$A$3:$G$32,5,FALSE)-VLOOKUP($A31,test!$A$3:$G$32,6,FALSE)&gt;=VLOOKUP(VLOOKUP(D$1, test!$A$3:$G$32,3,FALSE), test!$J$11:$K$14, 2, FALSE)/1440,VLOOKUP($A31,test!$A$3:$F$32,4,FALSE)=VLOOKUP(D$1,test!$A$3:$F$32,3,FALSE)),1,0)</f>
        <v>0</v>
      </c>
      <c r="E31" s="2">
        <f>IF(AND(VLOOKUP(E$1,test!$A$3:$G$32,5,FALSE)-VLOOKUP($A31,test!$A$3:$G$32,6,FALSE)&gt;=VLOOKUP(VLOOKUP(E$1, test!$A$3:$G$32,3,FALSE), test!$J$11:$K$14, 2, FALSE)/1440,VLOOKUP($A31,test!$A$3:$F$32,4,FALSE)=VLOOKUP(E$1,test!$A$3:$F$32,3,FALSE)),1,0)</f>
        <v>0</v>
      </c>
      <c r="F31" s="2">
        <f>IF(AND(VLOOKUP(F$1,test!$A$3:$G$32,5,FALSE)-VLOOKUP($A31,test!$A$3:$G$32,6,FALSE)&gt;=VLOOKUP(VLOOKUP(F$1, test!$A$3:$G$32,3,FALSE), test!$J$11:$K$14, 2, FALSE)/1440,VLOOKUP($A31,test!$A$3:$F$32,4,FALSE)=VLOOKUP(F$1,test!$A$3:$F$32,3,FALSE)),1,0)</f>
        <v>0</v>
      </c>
      <c r="G31" s="2">
        <f>IF(AND(VLOOKUP(G$1,test!$A$3:$G$32,5,FALSE)-VLOOKUP($A31,test!$A$3:$G$32,6,FALSE)&gt;=VLOOKUP(VLOOKUP(G$1, test!$A$3:$G$32,3,FALSE), test!$J$11:$K$14, 2, FALSE)/1440,VLOOKUP($A31,test!$A$3:$F$32,4,FALSE)=VLOOKUP(G$1,test!$A$3:$F$32,3,FALSE)),1,0)</f>
        <v>0</v>
      </c>
      <c r="H31" s="2">
        <f>IF(AND(VLOOKUP(H$1,test!$A$3:$G$32,5,FALSE)-VLOOKUP($A31,test!$A$3:$G$32,6,FALSE)&gt;=VLOOKUP(VLOOKUP(H$1, test!$A$3:$G$32,3,FALSE), test!$J$11:$K$14, 2, FALSE)/1440,VLOOKUP($A31,test!$A$3:$F$32,4,FALSE)=VLOOKUP(H$1,test!$A$3:$F$32,3,FALSE)),1,0)</f>
        <v>0</v>
      </c>
      <c r="I31" s="2">
        <f>IF(AND(VLOOKUP(I$1,test!$A$3:$G$32,5,FALSE)-VLOOKUP($A31,test!$A$3:$G$32,6,FALSE)&gt;=VLOOKUP(VLOOKUP(I$1, test!$A$3:$G$32,3,FALSE), test!$J$11:$K$14, 2, FALSE)/1440,VLOOKUP($A31,test!$A$3:$F$32,4,FALSE)=VLOOKUP(I$1,test!$A$3:$F$32,3,FALSE)),1,0)</f>
        <v>1</v>
      </c>
      <c r="J31" s="2">
        <f>IF(AND(VLOOKUP(J$1,test!$A$3:$G$32,5,FALSE)-VLOOKUP($A31,test!$A$3:$G$32,6,FALSE)&gt;=VLOOKUP(VLOOKUP(J$1, test!$A$3:$G$32,3,FALSE), test!$J$11:$K$14, 2, FALSE)/1440,VLOOKUP($A31,test!$A$3:$F$32,4,FALSE)=VLOOKUP(J$1,test!$A$3:$F$32,3,FALSE)),1,0)</f>
        <v>1</v>
      </c>
      <c r="K31" s="2">
        <f>IF(AND(VLOOKUP(K$1,test!$A$3:$G$32,5,FALSE)-VLOOKUP($A31,test!$A$3:$G$32,6,FALSE)&gt;=VLOOKUP(VLOOKUP(K$1, test!$A$3:$G$32,3,FALSE), test!$J$11:$K$14, 2, FALSE)/1440,VLOOKUP($A31,test!$A$3:$F$32,4,FALSE)=VLOOKUP(K$1,test!$A$3:$F$32,3,FALSE)),1,0)</f>
        <v>0</v>
      </c>
      <c r="L31" s="2">
        <f>IF(AND(VLOOKUP(L$1,test!$A$3:$G$32,5,FALSE)-VLOOKUP($A31,test!$A$3:$G$32,6,FALSE)&gt;=VLOOKUP(VLOOKUP(L$1, test!$A$3:$G$32,3,FALSE), test!$J$11:$K$14, 2, FALSE)/1440,VLOOKUP($A31,test!$A$3:$F$32,4,FALSE)=VLOOKUP(L$1,test!$A$3:$F$32,3,FALSE)),1,0)</f>
        <v>0</v>
      </c>
      <c r="M31" s="2">
        <f>IF(AND(VLOOKUP(M$1,test!$A$3:$G$32,5,FALSE)-VLOOKUP($A31,test!$A$3:$G$32,6,FALSE)&gt;=VLOOKUP(VLOOKUP(M$1, test!$A$3:$G$32,3,FALSE), test!$J$11:$K$14, 2, FALSE)/1440,VLOOKUP($A31,test!$A$3:$F$32,4,FALSE)=VLOOKUP(M$1,test!$A$3:$F$32,3,FALSE)),1,0)</f>
        <v>0</v>
      </c>
      <c r="N31" s="2">
        <f>IF(AND(VLOOKUP(N$1,test!$A$3:$G$32,5,FALSE)-VLOOKUP($A31,test!$A$3:$G$32,6,FALSE)&gt;=VLOOKUP(VLOOKUP(N$1, test!$A$3:$G$32,3,FALSE), test!$J$11:$K$14, 2, FALSE)/1440,VLOOKUP($A31,test!$A$3:$F$32,4,FALSE)=VLOOKUP(N$1,test!$A$3:$F$32,3,FALSE)),1,0)</f>
        <v>1</v>
      </c>
      <c r="O31" s="2">
        <f>IF(AND(VLOOKUP(O$1,test!$A$3:$G$32,5,FALSE)-VLOOKUP($A31,test!$A$3:$G$32,6,FALSE)&gt;=VLOOKUP(VLOOKUP(O$1, test!$A$3:$G$32,3,FALSE), test!$J$11:$K$14, 2, FALSE)/1440,VLOOKUP($A31,test!$A$3:$F$32,4,FALSE)=VLOOKUP(O$1,test!$A$3:$F$32,3,FALSE)),1,0)</f>
        <v>1</v>
      </c>
      <c r="P31" s="2">
        <f>IF(AND(VLOOKUP(P$1,test!$A$3:$G$32,5,FALSE)-VLOOKUP($A31,test!$A$3:$G$32,6,FALSE)&gt;=VLOOKUP(VLOOKUP(P$1, test!$A$3:$G$32,3,FALSE), test!$J$11:$K$14, 2, FALSE)/1440,VLOOKUP($A31,test!$A$3:$F$32,4,FALSE)=VLOOKUP(P$1,test!$A$3:$F$32,3,FALSE)),1,0)</f>
        <v>0</v>
      </c>
      <c r="Q31" s="2">
        <f>IF(AND(VLOOKUP(Q$1,test!$A$3:$G$32,5,FALSE)-VLOOKUP($A31,test!$A$3:$G$32,6,FALSE)&gt;=VLOOKUP(VLOOKUP(Q$1, test!$A$3:$G$32,3,FALSE), test!$J$11:$K$14, 2, FALSE)/1440,VLOOKUP($A31,test!$A$3:$F$32,4,FALSE)=VLOOKUP(Q$1,test!$A$3:$F$32,3,FALSE)),1,0)</f>
        <v>0</v>
      </c>
      <c r="R31" s="2">
        <f>IF(AND(VLOOKUP(R$1,test!$A$3:$G$32,5,FALSE)-VLOOKUP($A31,test!$A$3:$G$32,6,FALSE)&gt;=VLOOKUP(VLOOKUP(R$1, test!$A$3:$G$32,3,FALSE), test!$J$11:$K$14, 2, FALSE)/1440,VLOOKUP($A31,test!$A$3:$F$32,4,FALSE)=VLOOKUP(R$1,test!$A$3:$F$32,3,FALSE)),1,0)</f>
        <v>0</v>
      </c>
      <c r="S31" s="2">
        <f>IF(AND(VLOOKUP(S$1,test!$A$3:$G$32,5,FALSE)-VLOOKUP($A31,test!$A$3:$G$32,6,FALSE)&gt;=VLOOKUP(VLOOKUP(S$1, test!$A$3:$G$32,3,FALSE), test!$J$11:$K$14, 2, FALSE)/1440,VLOOKUP($A31,test!$A$3:$F$32,4,FALSE)=VLOOKUP(S$1,test!$A$3:$F$32,3,FALSE)),1,0)</f>
        <v>0</v>
      </c>
      <c r="T31" s="2">
        <f>IF(AND(VLOOKUP(T$1,test!$A$3:$G$32,5,FALSE)-VLOOKUP($A31,test!$A$3:$G$32,6,FALSE)&gt;=VLOOKUP(VLOOKUP(T$1, test!$A$3:$G$32,3,FALSE), test!$J$11:$K$14, 2, FALSE)/1440,VLOOKUP($A31,test!$A$3:$F$32,4,FALSE)=VLOOKUP(T$1,test!$A$3:$F$32,3,FALSE)),1,0)</f>
        <v>0</v>
      </c>
      <c r="U31" s="2">
        <f>IF(AND(VLOOKUP(U$1,test!$A$3:$G$32,5,FALSE)-VLOOKUP($A31,test!$A$3:$G$32,6,FALSE)&gt;=VLOOKUP(VLOOKUP(U$1, test!$A$3:$G$32,3,FALSE), test!$J$11:$K$14, 2, FALSE)/1440,VLOOKUP($A31,test!$A$3:$F$32,4,FALSE)=VLOOKUP(U$1,test!$A$3:$F$32,3,FALSE)),1,0)</f>
        <v>0</v>
      </c>
      <c r="V31" s="2">
        <f>IF(AND(VLOOKUP(V$1,test!$A$3:$G$32,5,FALSE)-VLOOKUP($A31,test!$A$3:$G$32,6,FALSE)&gt;=VLOOKUP(VLOOKUP(V$1, test!$A$3:$G$32,3,FALSE), test!$J$11:$K$14, 2, FALSE)/1440,VLOOKUP($A31,test!$A$3:$F$32,4,FALSE)=VLOOKUP(V$1,test!$A$3:$F$32,3,FALSE)),1,0)</f>
        <v>0</v>
      </c>
      <c r="W31" s="2">
        <f>IF(AND(VLOOKUP(W$1,test!$A$3:$G$32,5,FALSE)-VLOOKUP($A31,test!$A$3:$G$32,6,FALSE)&gt;=VLOOKUP(VLOOKUP(W$1, test!$A$3:$G$32,3,FALSE), test!$J$11:$K$14, 2, FALSE)/1440,VLOOKUP($A31,test!$A$3:$F$32,4,FALSE)=VLOOKUP(W$1,test!$A$3:$F$32,3,FALSE)),1,0)</f>
        <v>0</v>
      </c>
      <c r="X31" s="2">
        <f>IF(AND(VLOOKUP(X$1,test!$A$3:$G$32,5,FALSE)-VLOOKUP($A31,test!$A$3:$G$32,6,FALSE)&gt;=VLOOKUP(VLOOKUP(X$1, test!$A$3:$G$32,3,FALSE), test!$J$11:$K$14, 2, FALSE)/1440,VLOOKUP($A31,test!$A$3:$F$32,4,FALSE)=VLOOKUP(X$1,test!$A$3:$F$32,3,FALSE)),1,0)</f>
        <v>0</v>
      </c>
      <c r="Y31" s="2">
        <f>IF(AND(VLOOKUP(Y$1,test!$A$3:$G$32,5,FALSE)-VLOOKUP($A31,test!$A$3:$G$32,6,FALSE)&gt;=VLOOKUP(VLOOKUP(Y$1, test!$A$3:$G$32,3,FALSE), test!$J$11:$K$14, 2, FALSE)/1440,VLOOKUP($A31,test!$A$3:$F$32,4,FALSE)=VLOOKUP(Y$1,test!$A$3:$F$32,3,FALSE)),1,0)</f>
        <v>0</v>
      </c>
      <c r="Z31" s="2">
        <f>IF(AND(VLOOKUP(Z$1,test!$A$3:$G$32,5,FALSE)-VLOOKUP($A31,test!$A$3:$G$32,6,FALSE)&gt;=VLOOKUP(VLOOKUP(Z$1, test!$A$3:$G$32,3,FALSE), test!$J$11:$K$14, 2, FALSE)/1440,VLOOKUP($A31,test!$A$3:$F$32,4,FALSE)=VLOOKUP(Z$1,test!$A$3:$F$32,3,FALSE)),1,0)</f>
        <v>0</v>
      </c>
      <c r="AA31" s="2">
        <f>IF(AND(VLOOKUP(AA$1,test!$A$3:$G$32,5,FALSE)-VLOOKUP($A31,test!$A$3:$G$32,6,FALSE)&gt;=VLOOKUP(VLOOKUP(AA$1, test!$A$3:$G$32,3,FALSE), test!$J$11:$K$14, 2, FALSE)/1440,VLOOKUP($A31,test!$A$3:$F$32,4,FALSE)=VLOOKUP(AA$1,test!$A$3:$F$32,3,FALSE)),1,0)</f>
        <v>0</v>
      </c>
      <c r="AB31" s="2">
        <f>IF(AND(VLOOKUP(AB$1,test!$A$3:$G$32,5,FALSE)-VLOOKUP($A31,test!$A$3:$G$32,6,FALSE)&gt;=VLOOKUP(VLOOKUP(AB$1, test!$A$3:$G$32,3,FALSE), test!$J$11:$K$14, 2, FALSE)/1440,VLOOKUP($A31,test!$A$3:$F$32,4,FALSE)=VLOOKUP(AB$1,test!$A$3:$F$32,3,FALSE)),1,0)</f>
        <v>0</v>
      </c>
      <c r="AC31" s="2">
        <f>IF(AND(VLOOKUP(AC$1,test!$A$3:$G$32,5,FALSE)-VLOOKUP($A31,test!$A$3:$G$32,6,FALSE)&gt;=VLOOKUP(VLOOKUP(AC$1, test!$A$3:$G$32,3,FALSE), test!$J$11:$K$14, 2, FALSE)/1440,VLOOKUP($A31,test!$A$3:$F$32,4,FALSE)=VLOOKUP(AC$1,test!$A$3:$F$32,3,FALSE)),1,0)</f>
        <v>0</v>
      </c>
      <c r="AD31" s="2">
        <f>IF(AND(VLOOKUP(AD$1,test!$A$3:$G$32,5,FALSE)-VLOOKUP($A31,test!$A$3:$G$32,6,FALSE)&gt;=VLOOKUP(VLOOKUP(AD$1, test!$A$3:$G$32,3,FALSE), test!$J$11:$K$14, 2, FALSE)/1440,VLOOKUP($A31,test!$A$3:$F$32,4,FALSE)=VLOOKUP(AD$1,test!$A$3:$F$32,3,FALSE)),1,0)</f>
        <v>0</v>
      </c>
      <c r="AE31" s="2">
        <f>IF(AND(VLOOKUP(AE$1,test!$A$3:$G$32,5,FALSE)-VLOOKUP($A31,test!$A$3:$G$32,6,FALSE)&gt;=VLOOKUP(VLOOKUP(AE$1, test!$A$3:$G$32,3,FALSE), test!$J$11:$K$14, 2, FALSE)/1440,VLOOKUP($A31,test!$A$3:$F$32,4,FALSE)=VLOOKUP(AE$1,test!$A$3:$F$32,3,FALSE)),1,0)</f>
        <v>0</v>
      </c>
      <c r="AF31" s="2">
        <f>IF(AND(VLOOKUP(AF$1,test!$A$3:$G$32,5,FALSE)-VLOOKUP($A31,test!$A$3:$G$32,6,FALSE)&gt;=VLOOKUP(VLOOKUP(AF$1, test!$A$3:$G$32,3,FALSE), test!$J$11:$K$14, 2, FALSE)/1440,VLOOKUP($A31,test!$A$3:$F$32,4,FALSE)=VLOOKUP(AF$1,test!$A$3:$F$32,3,FALSE)),1,0)</f>
        <v>0</v>
      </c>
    </row>
    <row r="32" spans="1:32" x14ac:dyDescent="0.25">
      <c r="A32" t="s">
        <v>41</v>
      </c>
      <c r="B32" s="3">
        <v>1</v>
      </c>
      <c r="C32" s="2">
        <f>IF(AND(VLOOKUP(C$1,test!$A$3:$G$32,5,FALSE)-VLOOKUP($A32,test!$A$3:$G$32,6,FALSE)&gt;=VLOOKUP(VLOOKUP(C$1, test!$A$3:$G$32,3,FALSE), test!$J$11:$K$14, 2, FALSE)/1440,VLOOKUP($A32,test!$A$3:$F$32,4,FALSE)=VLOOKUP(C$1,test!$A$3:$F$32,3,FALSE)),1,0)</f>
        <v>0</v>
      </c>
      <c r="D32" s="2">
        <f>IF(AND(VLOOKUP(D$1,test!$A$3:$G$32,5,FALSE)-VLOOKUP($A32,test!$A$3:$G$32,6,FALSE)&gt;=VLOOKUP(VLOOKUP(D$1, test!$A$3:$G$32,3,FALSE), test!$J$11:$K$14, 2, FALSE)/1440,VLOOKUP($A32,test!$A$3:$F$32,4,FALSE)=VLOOKUP(D$1,test!$A$3:$F$32,3,FALSE)),1,0)</f>
        <v>0</v>
      </c>
      <c r="E32" s="2">
        <f>IF(AND(VLOOKUP(E$1,test!$A$3:$G$32,5,FALSE)-VLOOKUP($A32,test!$A$3:$G$32,6,FALSE)&gt;=VLOOKUP(VLOOKUP(E$1, test!$A$3:$G$32,3,FALSE), test!$J$11:$K$14, 2, FALSE)/1440,VLOOKUP($A32,test!$A$3:$F$32,4,FALSE)=VLOOKUP(E$1,test!$A$3:$F$32,3,FALSE)),1,0)</f>
        <v>0</v>
      </c>
      <c r="F32" s="2">
        <f>IF(AND(VLOOKUP(F$1,test!$A$3:$G$32,5,FALSE)-VLOOKUP($A32,test!$A$3:$G$32,6,FALSE)&gt;=VLOOKUP(VLOOKUP(F$1, test!$A$3:$G$32,3,FALSE), test!$J$11:$K$14, 2, FALSE)/1440,VLOOKUP($A32,test!$A$3:$F$32,4,FALSE)=VLOOKUP(F$1,test!$A$3:$F$32,3,FALSE)),1,0)</f>
        <v>0</v>
      </c>
      <c r="G32" s="2">
        <f>IF(AND(VLOOKUP(G$1,test!$A$3:$G$32,5,FALSE)-VLOOKUP($A32,test!$A$3:$G$32,6,FALSE)&gt;=VLOOKUP(VLOOKUP(G$1, test!$A$3:$G$32,3,FALSE), test!$J$11:$K$14, 2, FALSE)/1440,VLOOKUP($A32,test!$A$3:$F$32,4,FALSE)=VLOOKUP(G$1,test!$A$3:$F$32,3,FALSE)),1,0)</f>
        <v>0</v>
      </c>
      <c r="H32" s="2">
        <f>IF(AND(VLOOKUP(H$1,test!$A$3:$G$32,5,FALSE)-VLOOKUP($A32,test!$A$3:$G$32,6,FALSE)&gt;=VLOOKUP(VLOOKUP(H$1, test!$A$3:$G$32,3,FALSE), test!$J$11:$K$14, 2, FALSE)/1440,VLOOKUP($A32,test!$A$3:$F$32,4,FALSE)=VLOOKUP(H$1,test!$A$3:$F$32,3,FALSE)),1,0)</f>
        <v>0</v>
      </c>
      <c r="I32" s="2">
        <f>IF(AND(VLOOKUP(I$1,test!$A$3:$G$32,5,FALSE)-VLOOKUP($A32,test!$A$3:$G$32,6,FALSE)&gt;=VLOOKUP(VLOOKUP(I$1, test!$A$3:$G$32,3,FALSE), test!$J$11:$K$14, 2, FALSE)/1440,VLOOKUP($A32,test!$A$3:$F$32,4,FALSE)=VLOOKUP(I$1,test!$A$3:$F$32,3,FALSE)),1,0)</f>
        <v>0</v>
      </c>
      <c r="J32" s="2">
        <f>IF(AND(VLOOKUP(J$1,test!$A$3:$G$32,5,FALSE)-VLOOKUP($A32,test!$A$3:$G$32,6,FALSE)&gt;=VLOOKUP(VLOOKUP(J$1, test!$A$3:$G$32,3,FALSE), test!$J$11:$K$14, 2, FALSE)/1440,VLOOKUP($A32,test!$A$3:$F$32,4,FALSE)=VLOOKUP(J$1,test!$A$3:$F$32,3,FALSE)),1,0)</f>
        <v>0</v>
      </c>
      <c r="K32" s="2">
        <f>IF(AND(VLOOKUP(K$1,test!$A$3:$G$32,5,FALSE)-VLOOKUP($A32,test!$A$3:$G$32,6,FALSE)&gt;=VLOOKUP(VLOOKUP(K$1, test!$A$3:$G$32,3,FALSE), test!$J$11:$K$14, 2, FALSE)/1440,VLOOKUP($A32,test!$A$3:$F$32,4,FALSE)=VLOOKUP(K$1,test!$A$3:$F$32,3,FALSE)),1,0)</f>
        <v>0</v>
      </c>
      <c r="L32" s="2">
        <f>IF(AND(VLOOKUP(L$1,test!$A$3:$G$32,5,FALSE)-VLOOKUP($A32,test!$A$3:$G$32,6,FALSE)&gt;=VLOOKUP(VLOOKUP(L$1, test!$A$3:$G$32,3,FALSE), test!$J$11:$K$14, 2, FALSE)/1440,VLOOKUP($A32,test!$A$3:$F$32,4,FALSE)=VLOOKUP(L$1,test!$A$3:$F$32,3,FALSE)),1,0)</f>
        <v>0</v>
      </c>
      <c r="M32" s="2">
        <f>IF(AND(VLOOKUP(M$1,test!$A$3:$G$32,5,FALSE)-VLOOKUP($A32,test!$A$3:$G$32,6,FALSE)&gt;=VLOOKUP(VLOOKUP(M$1, test!$A$3:$G$32,3,FALSE), test!$J$11:$K$14, 2, FALSE)/1440,VLOOKUP($A32,test!$A$3:$F$32,4,FALSE)=VLOOKUP(M$1,test!$A$3:$F$32,3,FALSE)),1,0)</f>
        <v>0</v>
      </c>
      <c r="N32" s="2">
        <f>IF(AND(VLOOKUP(N$1,test!$A$3:$G$32,5,FALSE)-VLOOKUP($A32,test!$A$3:$G$32,6,FALSE)&gt;=VLOOKUP(VLOOKUP(N$1, test!$A$3:$G$32,3,FALSE), test!$J$11:$K$14, 2, FALSE)/1440,VLOOKUP($A32,test!$A$3:$F$32,4,FALSE)=VLOOKUP(N$1,test!$A$3:$F$32,3,FALSE)),1,0)</f>
        <v>0</v>
      </c>
      <c r="O32" s="2">
        <f>IF(AND(VLOOKUP(O$1,test!$A$3:$G$32,5,FALSE)-VLOOKUP($A32,test!$A$3:$G$32,6,FALSE)&gt;=VLOOKUP(VLOOKUP(O$1, test!$A$3:$G$32,3,FALSE), test!$J$11:$K$14, 2, FALSE)/1440,VLOOKUP($A32,test!$A$3:$F$32,4,FALSE)=VLOOKUP(O$1,test!$A$3:$F$32,3,FALSE)),1,0)</f>
        <v>0</v>
      </c>
      <c r="P32" s="2">
        <f>IF(AND(VLOOKUP(P$1,test!$A$3:$G$32,5,FALSE)-VLOOKUP($A32,test!$A$3:$G$32,6,FALSE)&gt;=VLOOKUP(VLOOKUP(P$1, test!$A$3:$G$32,3,FALSE), test!$J$11:$K$14, 2, FALSE)/1440,VLOOKUP($A32,test!$A$3:$F$32,4,FALSE)=VLOOKUP(P$1,test!$A$3:$F$32,3,FALSE)),1,0)</f>
        <v>0</v>
      </c>
      <c r="Q32" s="2">
        <f>IF(AND(VLOOKUP(Q$1,test!$A$3:$G$32,5,FALSE)-VLOOKUP($A32,test!$A$3:$G$32,6,FALSE)&gt;=VLOOKUP(VLOOKUP(Q$1, test!$A$3:$G$32,3,FALSE), test!$J$11:$K$14, 2, FALSE)/1440,VLOOKUP($A32,test!$A$3:$F$32,4,FALSE)=VLOOKUP(Q$1,test!$A$3:$F$32,3,FALSE)),1,0)</f>
        <v>0</v>
      </c>
      <c r="R32" s="2">
        <f>IF(AND(VLOOKUP(R$1,test!$A$3:$G$32,5,FALSE)-VLOOKUP($A32,test!$A$3:$G$32,6,FALSE)&gt;=VLOOKUP(VLOOKUP(R$1, test!$A$3:$G$32,3,FALSE), test!$J$11:$K$14, 2, FALSE)/1440,VLOOKUP($A32,test!$A$3:$F$32,4,FALSE)=VLOOKUP(R$1,test!$A$3:$F$32,3,FALSE)),1,0)</f>
        <v>0</v>
      </c>
      <c r="S32" s="2">
        <f>IF(AND(VLOOKUP(S$1,test!$A$3:$G$32,5,FALSE)-VLOOKUP($A32,test!$A$3:$G$32,6,FALSE)&gt;=VLOOKUP(VLOOKUP(S$1, test!$A$3:$G$32,3,FALSE), test!$J$11:$K$14, 2, FALSE)/1440,VLOOKUP($A32,test!$A$3:$F$32,4,FALSE)=VLOOKUP(S$1,test!$A$3:$F$32,3,FALSE)),1,0)</f>
        <v>0</v>
      </c>
      <c r="T32" s="2">
        <f>IF(AND(VLOOKUP(T$1,test!$A$3:$G$32,5,FALSE)-VLOOKUP($A32,test!$A$3:$G$32,6,FALSE)&gt;=VLOOKUP(VLOOKUP(T$1, test!$A$3:$G$32,3,FALSE), test!$J$11:$K$14, 2, FALSE)/1440,VLOOKUP($A32,test!$A$3:$F$32,4,FALSE)=VLOOKUP(T$1,test!$A$3:$F$32,3,FALSE)),1,0)</f>
        <v>0</v>
      </c>
      <c r="U32" s="2">
        <f>IF(AND(VLOOKUP(U$1,test!$A$3:$G$32,5,FALSE)-VLOOKUP($A32,test!$A$3:$G$32,6,FALSE)&gt;=VLOOKUP(VLOOKUP(U$1, test!$A$3:$G$32,3,FALSE), test!$J$11:$K$14, 2, FALSE)/1440,VLOOKUP($A32,test!$A$3:$F$32,4,FALSE)=VLOOKUP(U$1,test!$A$3:$F$32,3,FALSE)),1,0)</f>
        <v>0</v>
      </c>
      <c r="V32" s="2">
        <f>IF(AND(VLOOKUP(V$1,test!$A$3:$G$32,5,FALSE)-VLOOKUP($A32,test!$A$3:$G$32,6,FALSE)&gt;=VLOOKUP(VLOOKUP(V$1, test!$A$3:$G$32,3,FALSE), test!$J$11:$K$14, 2, FALSE)/1440,VLOOKUP($A32,test!$A$3:$F$32,4,FALSE)=VLOOKUP(V$1,test!$A$3:$F$32,3,FALSE)),1,0)</f>
        <v>0</v>
      </c>
      <c r="W32" s="2">
        <f>IF(AND(VLOOKUP(W$1,test!$A$3:$G$32,5,FALSE)-VLOOKUP($A32,test!$A$3:$G$32,6,FALSE)&gt;=VLOOKUP(VLOOKUP(W$1, test!$A$3:$G$32,3,FALSE), test!$J$11:$K$14, 2, FALSE)/1440,VLOOKUP($A32,test!$A$3:$F$32,4,FALSE)=VLOOKUP(W$1,test!$A$3:$F$32,3,FALSE)),1,0)</f>
        <v>0</v>
      </c>
      <c r="X32" s="2">
        <f>IF(AND(VLOOKUP(X$1,test!$A$3:$G$32,5,FALSE)-VLOOKUP($A32,test!$A$3:$G$32,6,FALSE)&gt;=VLOOKUP(VLOOKUP(X$1, test!$A$3:$G$32,3,FALSE), test!$J$11:$K$14, 2, FALSE)/1440,VLOOKUP($A32,test!$A$3:$F$32,4,FALSE)=VLOOKUP(X$1,test!$A$3:$F$32,3,FALSE)),1,0)</f>
        <v>0</v>
      </c>
      <c r="Y32" s="2">
        <f>IF(AND(VLOOKUP(Y$1,test!$A$3:$G$32,5,FALSE)-VLOOKUP($A32,test!$A$3:$G$32,6,FALSE)&gt;=VLOOKUP(VLOOKUP(Y$1, test!$A$3:$G$32,3,FALSE), test!$J$11:$K$14, 2, FALSE)/1440,VLOOKUP($A32,test!$A$3:$F$32,4,FALSE)=VLOOKUP(Y$1,test!$A$3:$F$32,3,FALSE)),1,0)</f>
        <v>0</v>
      </c>
      <c r="Z32" s="2">
        <f>IF(AND(VLOOKUP(Z$1,test!$A$3:$G$32,5,FALSE)-VLOOKUP($A32,test!$A$3:$G$32,6,FALSE)&gt;=VLOOKUP(VLOOKUP(Z$1, test!$A$3:$G$32,3,FALSE), test!$J$11:$K$14, 2, FALSE)/1440,VLOOKUP($A32,test!$A$3:$F$32,4,FALSE)=VLOOKUP(Z$1,test!$A$3:$F$32,3,FALSE)),1,0)</f>
        <v>0</v>
      </c>
      <c r="AA32" s="2">
        <f>IF(AND(VLOOKUP(AA$1,test!$A$3:$G$32,5,FALSE)-VLOOKUP($A32,test!$A$3:$G$32,6,FALSE)&gt;=VLOOKUP(VLOOKUP(AA$1, test!$A$3:$G$32,3,FALSE), test!$J$11:$K$14, 2, FALSE)/1440,VLOOKUP($A32,test!$A$3:$F$32,4,FALSE)=VLOOKUP(AA$1,test!$A$3:$F$32,3,FALSE)),1,0)</f>
        <v>0</v>
      </c>
      <c r="AB32" s="2">
        <f>IF(AND(VLOOKUP(AB$1,test!$A$3:$G$32,5,FALSE)-VLOOKUP($A32,test!$A$3:$G$32,6,FALSE)&gt;=VLOOKUP(VLOOKUP(AB$1, test!$A$3:$G$32,3,FALSE), test!$J$11:$K$14, 2, FALSE)/1440,VLOOKUP($A32,test!$A$3:$F$32,4,FALSE)=VLOOKUP(AB$1,test!$A$3:$F$32,3,FALSE)),1,0)</f>
        <v>0</v>
      </c>
      <c r="AC32" s="2">
        <f>IF(AND(VLOOKUP(AC$1,test!$A$3:$G$32,5,FALSE)-VLOOKUP($A32,test!$A$3:$G$32,6,FALSE)&gt;=VLOOKUP(VLOOKUP(AC$1, test!$A$3:$G$32,3,FALSE), test!$J$11:$K$14, 2, FALSE)/1440,VLOOKUP($A32,test!$A$3:$F$32,4,FALSE)=VLOOKUP(AC$1,test!$A$3:$F$32,3,FALSE)),1,0)</f>
        <v>0</v>
      </c>
      <c r="AD32" s="2">
        <f>IF(AND(VLOOKUP(AD$1,test!$A$3:$G$32,5,FALSE)-VLOOKUP($A32,test!$A$3:$G$32,6,FALSE)&gt;=VLOOKUP(VLOOKUP(AD$1, test!$A$3:$G$32,3,FALSE), test!$J$11:$K$14, 2, FALSE)/1440,VLOOKUP($A32,test!$A$3:$F$32,4,FALSE)=VLOOKUP(AD$1,test!$A$3:$F$32,3,FALSE)),1,0)</f>
        <v>0</v>
      </c>
      <c r="AE32" s="2">
        <f>IF(AND(VLOOKUP(AE$1,test!$A$3:$G$32,5,FALSE)-VLOOKUP($A32,test!$A$3:$G$32,6,FALSE)&gt;=VLOOKUP(VLOOKUP(AE$1, test!$A$3:$G$32,3,FALSE), test!$J$11:$K$14, 2, FALSE)/1440,VLOOKUP($A32,test!$A$3:$F$32,4,FALSE)=VLOOKUP(AE$1,test!$A$3:$F$32,3,FALSE)),1,0)</f>
        <v>0</v>
      </c>
      <c r="AF32" s="2">
        <f>IF(AND(VLOOKUP(AF$1,test!$A$3:$G$32,5,FALSE)-VLOOKUP($A32,test!$A$3:$G$32,6,FALSE)&gt;=VLOOKUP(VLOOKUP(AF$1, test!$A$3:$G$32,3,FALSE), test!$J$11:$K$14, 2, FALSE)/1440,VLOOKUP($A32,test!$A$3:$F$32,4,FALSE)=VLOOKUP(AF$1,test!$A$3:$F$32,3,FALSE)),1,0)</f>
        <v>0</v>
      </c>
    </row>
  </sheetData>
  <conditionalFormatting sqref="C3:AF32">
    <cfRule type="cellIs" dxfId="4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9962-F4D7-4FEB-9F14-68B5F9DF7379}">
  <dimension ref="A1:AI35"/>
  <sheetViews>
    <sheetView workbookViewId="0">
      <selection activeCell="G17" sqref="G17"/>
    </sheetView>
  </sheetViews>
  <sheetFormatPr defaultRowHeight="15" x14ac:dyDescent="0.25"/>
  <sheetData>
    <row r="1" spans="1:35" x14ac:dyDescent="0.25">
      <c r="B1" t="s">
        <v>47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18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49</v>
      </c>
      <c r="AH1" t="s">
        <v>59</v>
      </c>
      <c r="AI1" t="s">
        <v>60</v>
      </c>
    </row>
    <row r="2" spans="1:35" x14ac:dyDescent="0.25">
      <c r="A2" t="s">
        <v>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6</v>
      </c>
      <c r="B3">
        <v>0</v>
      </c>
      <c r="C3">
        <f>IF(AND(SUM(VLOOKUP($A3,test!$A$3:$F$32,2,FALSE),VLOOKUP(C$1,test!$A$3:$F$32,2,FALSE))&lt;test!$K$16,$A3&lt;&gt;C$1,feasible_mat!C3=1),SUM(VLOOKUP($A3,test!$A$3:$F$32,2,FALSE),VLOOKUP(C$1,test!$A$3:$F$32,2,FALSE)),0)</f>
        <v>0</v>
      </c>
      <c r="D3">
        <f>IF(AND(SUM(VLOOKUP($A3,test!$A$3:$F$32,2,FALSE),VLOOKUP(D$1,test!$A$3:$F$32,2,FALSE))&lt;test!$K$16,$A3&lt;&gt;D$1,feasible_mat!D3=1),SUM(VLOOKUP($A3,test!$A$3:$F$32,2,FALSE),VLOOKUP(D$1,test!$A$3:$F$32,2,FALSE)),0)</f>
        <v>0</v>
      </c>
      <c r="E3">
        <f>IF(AND(SUM(VLOOKUP($A3,test!$A$3:$F$32,2,FALSE),VLOOKUP(E$1,test!$A$3:$F$32,2,FALSE))&lt;test!$K$16,$A3&lt;&gt;E$1,feasible_mat!E3=1),SUM(VLOOKUP($A3,test!$A$3:$F$32,2,FALSE),VLOOKUP(E$1,test!$A$3:$F$32,2,FALSE)),0)</f>
        <v>0</v>
      </c>
      <c r="F3">
        <f>IF(AND(SUM(VLOOKUP($A3,test!$A$3:$F$32,2,FALSE),VLOOKUP(F$1,test!$A$3:$F$32,2,FALSE))&lt;test!$K$16,$A3&lt;&gt;F$1,feasible_mat!F3=1),SUM(VLOOKUP($A3,test!$A$3:$F$32,2,FALSE),VLOOKUP(F$1,test!$A$3:$F$32,2,FALSE)),0)</f>
        <v>0</v>
      </c>
      <c r="G3">
        <f>IF(AND(SUM(VLOOKUP($A3,test!$A$3:$F$32,2,FALSE),VLOOKUP(G$1,test!$A$3:$F$32,2,FALSE))&lt;test!$K$16,$A3&lt;&gt;G$1,feasible_mat!G3=1),SUM(VLOOKUP($A3,test!$A$3:$F$32,2,FALSE),VLOOKUP(G$1,test!$A$3:$F$32,2,FALSE)),0)</f>
        <v>0</v>
      </c>
      <c r="H3">
        <f>IF(AND(SUM(VLOOKUP($A3,test!$A$3:$F$32,2,FALSE),VLOOKUP(H$1,test!$A$3:$F$32,2,FALSE))&lt;test!$K$16,$A3&lt;&gt;H$1,feasible_mat!H3=1),SUM(VLOOKUP($A3,test!$A$3:$F$32,2,FALSE),VLOOKUP(H$1,test!$A$3:$F$32,2,FALSE)),0)</f>
        <v>0</v>
      </c>
      <c r="I3">
        <f>IF(AND(SUM(VLOOKUP($A3,test!$A$3:$F$32,2,FALSE),VLOOKUP(I$1,test!$A$3:$F$32,2,FALSE))&lt;test!$K$16,$A3&lt;&gt;I$1,feasible_mat!I3=1),SUM(VLOOKUP($A3,test!$A$3:$F$32,2,FALSE),VLOOKUP(I$1,test!$A$3:$F$32,2,FALSE)),0)</f>
        <v>0</v>
      </c>
      <c r="J3">
        <f>IF(AND(SUM(VLOOKUP($A3,test!$A$3:$F$32,2,FALSE),VLOOKUP(J$1,test!$A$3:$F$32,2,FALSE))&lt;test!$K$16,$A3&lt;&gt;J$1,feasible_mat!J3=1),SUM(VLOOKUP($A3,test!$A$3:$F$32,2,FALSE),VLOOKUP(J$1,test!$A$3:$F$32,2,FALSE)),0)</f>
        <v>0</v>
      </c>
      <c r="K3">
        <f>IF(AND(SUM(VLOOKUP($A3,test!$A$3:$F$32,2,FALSE),VLOOKUP(K$1,test!$A$3:$F$32,2,FALSE))&lt;test!$K$16,$A3&lt;&gt;K$1,feasible_mat!K3=1),SUM(VLOOKUP($A3,test!$A$3:$F$32,2,FALSE),VLOOKUP(K$1,test!$A$3:$F$32,2,FALSE)),0)</f>
        <v>0</v>
      </c>
      <c r="L3">
        <f>IF(AND(SUM(VLOOKUP($A3,test!$A$3:$F$32,2,FALSE),VLOOKUP(L$1,test!$A$3:$F$32,2,FALSE))&lt;test!$K$16,$A3&lt;&gt;L$1,feasible_mat!L3=1),SUM(VLOOKUP($A3,test!$A$3:$F$32,2,FALSE),VLOOKUP(L$1,test!$A$3:$F$32,2,FALSE)),0)</f>
        <v>0</v>
      </c>
      <c r="M3">
        <f>IF(AND(SUM(VLOOKUP($A3,test!$A$3:$F$32,2,FALSE),VLOOKUP(M$1,test!$A$3:$F$32,2,FALSE))&lt;test!$K$16,$A3&lt;&gt;M$1,feasible_mat!M3=1),SUM(VLOOKUP($A3,test!$A$3:$F$32,2,FALSE),VLOOKUP(M$1,test!$A$3:$F$32,2,FALSE)),0)</f>
        <v>0</v>
      </c>
      <c r="N3">
        <f>IF(AND(SUM(VLOOKUP($A3,test!$A$3:$F$32,2,FALSE),VLOOKUP(N$1,test!$A$3:$F$32,2,FALSE))&lt;test!$K$16,$A3&lt;&gt;N$1,feasible_mat!N3=1),SUM(VLOOKUP($A3,test!$A$3:$F$32,2,FALSE),VLOOKUP(N$1,test!$A$3:$F$32,2,FALSE)),0)</f>
        <v>0</v>
      </c>
      <c r="O3">
        <f>IF(AND(SUM(VLOOKUP($A3,test!$A$3:$F$32,2,FALSE),VLOOKUP(O$1,test!$A$3:$F$32,2,FALSE))&lt;test!$K$16,$A3&lt;&gt;O$1,feasible_mat!O3=1),SUM(VLOOKUP($A3,test!$A$3:$F$32,2,FALSE),VLOOKUP(O$1,test!$A$3:$F$32,2,FALSE)),0)</f>
        <v>0</v>
      </c>
      <c r="P3">
        <f>IF(AND(SUM(VLOOKUP($A3,test!$A$3:$F$32,2,FALSE),VLOOKUP(P$1,test!$A$3:$F$32,2,FALSE))&lt;test!$K$16,$A3&lt;&gt;P$1,feasible_mat!P3=1),SUM(VLOOKUP($A3,test!$A$3:$F$32,2,FALSE),VLOOKUP(P$1,test!$A$3:$F$32,2,FALSE)),0)</f>
        <v>0</v>
      </c>
      <c r="Q3">
        <f>IF(AND(SUM(VLOOKUP($A3,test!$A$3:$F$32,2,FALSE),VLOOKUP(Q$1,test!$A$3:$F$32,2,FALSE))&lt;test!$K$16,$A3&lt;&gt;Q$1,feasible_mat!Q3=1),SUM(VLOOKUP($A3,test!$A$3:$F$32,2,FALSE),VLOOKUP(Q$1,test!$A$3:$F$32,2,FALSE)),0)</f>
        <v>0</v>
      </c>
      <c r="R3">
        <f>IF(AND(SUM(VLOOKUP($A3,test!$A$3:$F$32,2,FALSE),VLOOKUP(R$1,test!$A$3:$F$32,2,FALSE))&lt;test!$K$16,$A3&lt;&gt;R$1,feasible_mat!R3=1),SUM(VLOOKUP($A3,test!$A$3:$F$32,2,FALSE),VLOOKUP(R$1,test!$A$3:$F$32,2,FALSE)),0)</f>
        <v>0</v>
      </c>
      <c r="S3">
        <f>IF(AND(SUM(VLOOKUP($A3,test!$A$3:$F$32,2,FALSE),VLOOKUP(S$1,test!$A$3:$F$32,2,FALSE))&lt;test!$K$16,$A3&lt;&gt;S$1,feasible_mat!S3=1),SUM(VLOOKUP($A3,test!$A$3:$F$32,2,FALSE),VLOOKUP(S$1,test!$A$3:$F$32,2,FALSE)),0)</f>
        <v>270</v>
      </c>
      <c r="T3">
        <f>IF(AND(SUM(VLOOKUP($A3,test!$A$3:$F$32,2,FALSE),VLOOKUP(T$1,test!$A$3:$F$32,2,FALSE))&lt;test!$K$16,$A3&lt;&gt;T$1,feasible_mat!T3=1),SUM(VLOOKUP($A3,test!$A$3:$F$32,2,FALSE),VLOOKUP(T$1,test!$A$3:$F$32,2,FALSE)),0)</f>
        <v>270</v>
      </c>
      <c r="U3">
        <f>IF(AND(SUM(VLOOKUP($A3,test!$A$3:$F$32,2,FALSE),VLOOKUP(U$1,test!$A$3:$F$32,2,FALSE))&lt;test!$K$16,$A3&lt;&gt;U$1,feasible_mat!U3=1),SUM(VLOOKUP($A3,test!$A$3:$F$32,2,FALSE),VLOOKUP(U$1,test!$A$3:$F$32,2,FALSE)),0)</f>
        <v>270</v>
      </c>
      <c r="V3">
        <f>IF(AND(SUM(VLOOKUP($A3,test!$A$3:$F$32,2,FALSE),VLOOKUP(V$1,test!$A$3:$F$32,2,FALSE))&lt;test!$K$16,$A3&lt;&gt;V$1,feasible_mat!V3=1),SUM(VLOOKUP($A3,test!$A$3:$F$32,2,FALSE),VLOOKUP(V$1,test!$A$3:$F$32,2,FALSE)),0)</f>
        <v>270</v>
      </c>
      <c r="W3">
        <f>IF(AND(SUM(VLOOKUP($A3,test!$A$3:$F$32,2,FALSE),VLOOKUP(W$1,test!$A$3:$F$32,2,FALSE))&lt;test!$K$16,$A3&lt;&gt;W$1,feasible_mat!W3=1),SUM(VLOOKUP($A3,test!$A$3:$F$32,2,FALSE),VLOOKUP(W$1,test!$A$3:$F$32,2,FALSE)),0)</f>
        <v>270</v>
      </c>
      <c r="X3">
        <f>IF(AND(SUM(VLOOKUP($A3,test!$A$3:$F$32,2,FALSE),VLOOKUP(X$1,test!$A$3:$F$32,2,FALSE))&lt;test!$K$16,$A3&lt;&gt;X$1,feasible_mat!X3=1),SUM(VLOOKUP($A3,test!$A$3:$F$32,2,FALSE),VLOOKUP(X$1,test!$A$3:$F$32,2,FALSE)),0)</f>
        <v>270</v>
      </c>
      <c r="Y3">
        <f>IF(AND(SUM(VLOOKUP($A3,test!$A$3:$F$32,2,FALSE),VLOOKUP(Y$1,test!$A$3:$F$32,2,FALSE))&lt;test!$K$16,$A3&lt;&gt;Y$1,feasible_mat!Y3=1),SUM(VLOOKUP($A3,test!$A$3:$F$32,2,FALSE),VLOOKUP(Y$1,test!$A$3:$F$32,2,FALSE)),0)</f>
        <v>0</v>
      </c>
      <c r="Z3">
        <f>IF(AND(SUM(VLOOKUP($A3,test!$A$3:$F$32,2,FALSE),VLOOKUP(Z$1,test!$A$3:$F$32,2,FALSE))&lt;test!$K$16,$A3&lt;&gt;Z$1,feasible_mat!Z3=1),SUM(VLOOKUP($A3,test!$A$3:$F$32,2,FALSE),VLOOKUP(Z$1,test!$A$3:$F$32,2,FALSE)),0)</f>
        <v>0</v>
      </c>
      <c r="AA3">
        <f>IF(AND(SUM(VLOOKUP($A3,test!$A$3:$F$32,2,FALSE),VLOOKUP(AA$1,test!$A$3:$F$32,2,FALSE))&lt;test!$K$16,$A3&lt;&gt;AA$1,feasible_mat!AA3=1),SUM(VLOOKUP($A3,test!$A$3:$F$32,2,FALSE),VLOOKUP(AA$1,test!$A$3:$F$32,2,FALSE)),0)</f>
        <v>0</v>
      </c>
      <c r="AB3">
        <f>IF(AND(SUM(VLOOKUP($A3,test!$A$3:$F$32,2,FALSE),VLOOKUP(AB$1,test!$A$3:$F$32,2,FALSE))&lt;test!$K$16,$A3&lt;&gt;AB$1,feasible_mat!AB3=1),SUM(VLOOKUP($A3,test!$A$3:$F$32,2,FALSE),VLOOKUP(AB$1,test!$A$3:$F$32,2,FALSE)),0)</f>
        <v>0</v>
      </c>
      <c r="AC3">
        <f>IF(AND(SUM(VLOOKUP($A3,test!$A$3:$F$32,2,FALSE),VLOOKUP(AC$1,test!$A$3:$F$32,2,FALSE))&lt;test!$K$16,$A3&lt;&gt;AC$1,feasible_mat!AC3=1),SUM(VLOOKUP($A3,test!$A$3:$F$32,2,FALSE),VLOOKUP(AC$1,test!$A$3:$F$32,2,FALSE)),0)</f>
        <v>0</v>
      </c>
      <c r="AD3">
        <f>IF(AND(SUM(VLOOKUP($A3,test!$A$3:$F$32,2,FALSE),VLOOKUP(AD$1,test!$A$3:$F$32,2,FALSE))&lt;test!$K$16,$A3&lt;&gt;AD$1,feasible_mat!AD3=1),SUM(VLOOKUP($A3,test!$A$3:$F$32,2,FALSE),VLOOKUP(AD$1,test!$A$3:$F$32,2,FALSE)),0)</f>
        <v>0</v>
      </c>
      <c r="AE3">
        <f>IF(AND(SUM(VLOOKUP($A3,test!$A$3:$F$32,2,FALSE),VLOOKUP(AE$1,test!$A$3:$F$32,2,FALSE))&lt;test!$K$16,$A3&lt;&gt;AE$1,feasible_mat!AE3=1),SUM(VLOOKUP($A3,test!$A$3:$F$32,2,FALSE),VLOOKUP(AE$1,test!$A$3:$F$32,2,FALSE)),0)</f>
        <v>0</v>
      </c>
      <c r="AF3">
        <f>IF(AND(SUM(VLOOKUP($A3,test!$A$3:$F$32,2,FALSE),VLOOKUP(AF$1,test!$A$3:$F$32,2,FALSE))&lt;test!$K$16,$A3&lt;&gt;AF$1,feasible_mat!AF3=1),SUM(VLOOKUP($A3,test!$A$3:$F$32,2,FALSE),VLOOKUP(AF$1,test!$A$3:$F$32,2,FALSE)),0)</f>
        <v>0</v>
      </c>
      <c r="AG3">
        <v>60</v>
      </c>
      <c r="AH3">
        <v>75</v>
      </c>
      <c r="AI3">
        <v>70</v>
      </c>
    </row>
    <row r="4" spans="1:35" x14ac:dyDescent="0.25">
      <c r="A4" t="s">
        <v>9</v>
      </c>
      <c r="B4">
        <v>0</v>
      </c>
      <c r="C4">
        <f>IF(AND(SUM(VLOOKUP($A4,test!$A$3:$F$32,2,FALSE),VLOOKUP(C$1,test!$A$3:$F$32,2,FALSE))&lt;test!$K$16,$A4&lt;&gt;C$1,feasible_mat!C4=1),SUM(VLOOKUP($A4,test!$A$3:$F$32,2,FALSE),VLOOKUP(C$1,test!$A$3:$F$32,2,FALSE)),0)</f>
        <v>0</v>
      </c>
      <c r="D4">
        <f>IF(AND(SUM(VLOOKUP($A4,test!$A$3:$F$32,2,FALSE),VLOOKUP(D$1,test!$A$3:$F$32,2,FALSE))&lt;test!$K$16,$A4&lt;&gt;D$1,feasible_mat!D4=1),SUM(VLOOKUP($A4,test!$A$3:$F$32,2,FALSE),VLOOKUP(D$1,test!$A$3:$F$32,2,FALSE)),0)</f>
        <v>0</v>
      </c>
      <c r="E4">
        <f>IF(AND(SUM(VLOOKUP($A4,test!$A$3:$F$32,2,FALSE),VLOOKUP(E$1,test!$A$3:$F$32,2,FALSE))&lt;test!$K$16,$A4&lt;&gt;E$1,feasible_mat!E4=1),SUM(VLOOKUP($A4,test!$A$3:$F$32,2,FALSE),VLOOKUP(E$1,test!$A$3:$F$32,2,FALSE)),0)</f>
        <v>0</v>
      </c>
      <c r="F4">
        <f>IF(AND(SUM(VLOOKUP($A4,test!$A$3:$F$32,2,FALSE),VLOOKUP(F$1,test!$A$3:$F$32,2,FALSE))&lt;test!$K$16,$A4&lt;&gt;F$1,feasible_mat!F4=1),SUM(VLOOKUP($A4,test!$A$3:$F$32,2,FALSE),VLOOKUP(F$1,test!$A$3:$F$32,2,FALSE)),0)</f>
        <v>0</v>
      </c>
      <c r="G4">
        <f>IF(AND(SUM(VLOOKUP($A4,test!$A$3:$F$32,2,FALSE),VLOOKUP(G$1,test!$A$3:$F$32,2,FALSE))&lt;test!$K$16,$A4&lt;&gt;G$1,feasible_mat!G4=1),SUM(VLOOKUP($A4,test!$A$3:$F$32,2,FALSE),VLOOKUP(G$1,test!$A$3:$F$32,2,FALSE)),0)</f>
        <v>0</v>
      </c>
      <c r="H4">
        <f>IF(AND(SUM(VLOOKUP($A4,test!$A$3:$F$32,2,FALSE),VLOOKUP(H$1,test!$A$3:$F$32,2,FALSE))&lt;test!$K$16,$A4&lt;&gt;H$1,feasible_mat!H4=1),SUM(VLOOKUP($A4,test!$A$3:$F$32,2,FALSE),VLOOKUP(H$1,test!$A$3:$F$32,2,FALSE)),0)</f>
        <v>0</v>
      </c>
      <c r="I4">
        <f>IF(AND(SUM(VLOOKUP($A4,test!$A$3:$F$32,2,FALSE),VLOOKUP(I$1,test!$A$3:$F$32,2,FALSE))&lt;test!$K$16,$A4&lt;&gt;I$1,feasible_mat!I4=1),SUM(VLOOKUP($A4,test!$A$3:$F$32,2,FALSE),VLOOKUP(I$1,test!$A$3:$F$32,2,FALSE)),0)</f>
        <v>0</v>
      </c>
      <c r="J4">
        <f>IF(AND(SUM(VLOOKUP($A4,test!$A$3:$F$32,2,FALSE),VLOOKUP(J$1,test!$A$3:$F$32,2,FALSE))&lt;test!$K$16,$A4&lt;&gt;J$1,feasible_mat!J4=1),SUM(VLOOKUP($A4,test!$A$3:$F$32,2,FALSE),VLOOKUP(J$1,test!$A$3:$F$32,2,FALSE)),0)</f>
        <v>0</v>
      </c>
      <c r="K4">
        <f>IF(AND(SUM(VLOOKUP($A4,test!$A$3:$F$32,2,FALSE),VLOOKUP(K$1,test!$A$3:$F$32,2,FALSE))&lt;test!$K$16,$A4&lt;&gt;K$1,feasible_mat!K4=1),SUM(VLOOKUP($A4,test!$A$3:$F$32,2,FALSE),VLOOKUP(K$1,test!$A$3:$F$32,2,FALSE)),0)</f>
        <v>0</v>
      </c>
      <c r="L4">
        <f>IF(AND(SUM(VLOOKUP($A4,test!$A$3:$F$32,2,FALSE),VLOOKUP(L$1,test!$A$3:$F$32,2,FALSE))&lt;test!$K$16,$A4&lt;&gt;L$1,feasible_mat!L4=1),SUM(VLOOKUP($A4,test!$A$3:$F$32,2,FALSE),VLOOKUP(L$1,test!$A$3:$F$32,2,FALSE)),0)</f>
        <v>0</v>
      </c>
      <c r="M4">
        <f>IF(AND(SUM(VLOOKUP($A4,test!$A$3:$F$32,2,FALSE),VLOOKUP(M$1,test!$A$3:$F$32,2,FALSE))&lt;test!$K$16,$A4&lt;&gt;M$1,feasible_mat!M4=1),SUM(VLOOKUP($A4,test!$A$3:$F$32,2,FALSE),VLOOKUP(M$1,test!$A$3:$F$32,2,FALSE)),0)</f>
        <v>0</v>
      </c>
      <c r="N4">
        <f>IF(AND(SUM(VLOOKUP($A4,test!$A$3:$F$32,2,FALSE),VLOOKUP(N$1,test!$A$3:$F$32,2,FALSE))&lt;test!$K$16,$A4&lt;&gt;N$1,feasible_mat!N4=1),SUM(VLOOKUP($A4,test!$A$3:$F$32,2,FALSE),VLOOKUP(N$1,test!$A$3:$F$32,2,FALSE)),0)</f>
        <v>0</v>
      </c>
      <c r="O4">
        <f>IF(AND(SUM(VLOOKUP($A4,test!$A$3:$F$32,2,FALSE),VLOOKUP(O$1,test!$A$3:$F$32,2,FALSE))&lt;test!$K$16,$A4&lt;&gt;O$1,feasible_mat!O4=1),SUM(VLOOKUP($A4,test!$A$3:$F$32,2,FALSE),VLOOKUP(O$1,test!$A$3:$F$32,2,FALSE)),0)</f>
        <v>0</v>
      </c>
      <c r="P4">
        <f>IF(AND(SUM(VLOOKUP($A4,test!$A$3:$F$32,2,FALSE),VLOOKUP(P$1,test!$A$3:$F$32,2,FALSE))&lt;test!$K$16,$A4&lt;&gt;P$1,feasible_mat!P4=1),SUM(VLOOKUP($A4,test!$A$3:$F$32,2,FALSE),VLOOKUP(P$1,test!$A$3:$F$32,2,FALSE)),0)</f>
        <v>0</v>
      </c>
      <c r="Q4">
        <f>IF(AND(SUM(VLOOKUP($A4,test!$A$3:$F$32,2,FALSE),VLOOKUP(Q$1,test!$A$3:$F$32,2,FALSE))&lt;test!$K$16,$A4&lt;&gt;Q$1,feasible_mat!Q4=1),SUM(VLOOKUP($A4,test!$A$3:$F$32,2,FALSE),VLOOKUP(Q$1,test!$A$3:$F$32,2,FALSE)),0)</f>
        <v>0</v>
      </c>
      <c r="R4">
        <f>IF(AND(SUM(VLOOKUP($A4,test!$A$3:$F$32,2,FALSE),VLOOKUP(R$1,test!$A$3:$F$32,2,FALSE))&lt;test!$K$16,$A4&lt;&gt;R$1,feasible_mat!R4=1),SUM(VLOOKUP($A4,test!$A$3:$F$32,2,FALSE),VLOOKUP(R$1,test!$A$3:$F$32,2,FALSE)),0)</f>
        <v>0</v>
      </c>
      <c r="S4">
        <f>IF(AND(SUM(VLOOKUP($A4,test!$A$3:$F$32,2,FALSE),VLOOKUP(S$1,test!$A$3:$F$32,2,FALSE))&lt;test!$K$16,$A4&lt;&gt;S$1,feasible_mat!S4=1),SUM(VLOOKUP($A4,test!$A$3:$F$32,2,FALSE),VLOOKUP(S$1,test!$A$3:$F$32,2,FALSE)),0)</f>
        <v>0</v>
      </c>
      <c r="T4">
        <f>IF(AND(SUM(VLOOKUP($A4,test!$A$3:$F$32,2,FALSE),VLOOKUP(T$1,test!$A$3:$F$32,2,FALSE))&lt;test!$K$16,$A4&lt;&gt;T$1,feasible_mat!T4=1),SUM(VLOOKUP($A4,test!$A$3:$F$32,2,FALSE),VLOOKUP(T$1,test!$A$3:$F$32,2,FALSE)),0)</f>
        <v>0</v>
      </c>
      <c r="U4">
        <f>IF(AND(SUM(VLOOKUP($A4,test!$A$3:$F$32,2,FALSE),VLOOKUP(U$1,test!$A$3:$F$32,2,FALSE))&lt;test!$K$16,$A4&lt;&gt;U$1,feasible_mat!U4=1),SUM(VLOOKUP($A4,test!$A$3:$F$32,2,FALSE),VLOOKUP(U$1,test!$A$3:$F$32,2,FALSE)),0)</f>
        <v>270</v>
      </c>
      <c r="V4">
        <f>IF(AND(SUM(VLOOKUP($A4,test!$A$3:$F$32,2,FALSE),VLOOKUP(V$1,test!$A$3:$F$32,2,FALSE))&lt;test!$K$16,$A4&lt;&gt;V$1,feasible_mat!V4=1),SUM(VLOOKUP($A4,test!$A$3:$F$32,2,FALSE),VLOOKUP(V$1,test!$A$3:$F$32,2,FALSE)),0)</f>
        <v>270</v>
      </c>
      <c r="W4">
        <f>IF(AND(SUM(VLOOKUP($A4,test!$A$3:$F$32,2,FALSE),VLOOKUP(W$1,test!$A$3:$F$32,2,FALSE))&lt;test!$K$16,$A4&lt;&gt;W$1,feasible_mat!W4=1),SUM(VLOOKUP($A4,test!$A$3:$F$32,2,FALSE),VLOOKUP(W$1,test!$A$3:$F$32,2,FALSE)),0)</f>
        <v>270</v>
      </c>
      <c r="X4">
        <f>IF(AND(SUM(VLOOKUP($A4,test!$A$3:$F$32,2,FALSE),VLOOKUP(X$1,test!$A$3:$F$32,2,FALSE))&lt;test!$K$16,$A4&lt;&gt;X$1,feasible_mat!X4=1),SUM(VLOOKUP($A4,test!$A$3:$F$32,2,FALSE),VLOOKUP(X$1,test!$A$3:$F$32,2,FALSE)),0)</f>
        <v>270</v>
      </c>
      <c r="Y4">
        <f>IF(AND(SUM(VLOOKUP($A4,test!$A$3:$F$32,2,FALSE),VLOOKUP(Y$1,test!$A$3:$F$32,2,FALSE))&lt;test!$K$16,$A4&lt;&gt;Y$1,feasible_mat!Y4=1),SUM(VLOOKUP($A4,test!$A$3:$F$32,2,FALSE),VLOOKUP(Y$1,test!$A$3:$F$32,2,FALSE)),0)</f>
        <v>0</v>
      </c>
      <c r="Z4">
        <f>IF(AND(SUM(VLOOKUP($A4,test!$A$3:$F$32,2,FALSE),VLOOKUP(Z$1,test!$A$3:$F$32,2,FALSE))&lt;test!$K$16,$A4&lt;&gt;Z$1,feasible_mat!Z4=1),SUM(VLOOKUP($A4,test!$A$3:$F$32,2,FALSE),VLOOKUP(Z$1,test!$A$3:$F$32,2,FALSE)),0)</f>
        <v>0</v>
      </c>
      <c r="AA4">
        <f>IF(AND(SUM(VLOOKUP($A4,test!$A$3:$F$32,2,FALSE),VLOOKUP(AA$1,test!$A$3:$F$32,2,FALSE))&lt;test!$K$16,$A4&lt;&gt;AA$1,feasible_mat!AA4=1),SUM(VLOOKUP($A4,test!$A$3:$F$32,2,FALSE),VLOOKUP(AA$1,test!$A$3:$F$32,2,FALSE)),0)</f>
        <v>0</v>
      </c>
      <c r="AB4">
        <f>IF(AND(SUM(VLOOKUP($A4,test!$A$3:$F$32,2,FALSE),VLOOKUP(AB$1,test!$A$3:$F$32,2,FALSE))&lt;test!$K$16,$A4&lt;&gt;AB$1,feasible_mat!AB4=1),SUM(VLOOKUP($A4,test!$A$3:$F$32,2,FALSE),VLOOKUP(AB$1,test!$A$3:$F$32,2,FALSE)),0)</f>
        <v>0</v>
      </c>
      <c r="AC4">
        <f>IF(AND(SUM(VLOOKUP($A4,test!$A$3:$F$32,2,FALSE),VLOOKUP(AC$1,test!$A$3:$F$32,2,FALSE))&lt;test!$K$16,$A4&lt;&gt;AC$1,feasible_mat!AC4=1),SUM(VLOOKUP($A4,test!$A$3:$F$32,2,FALSE),VLOOKUP(AC$1,test!$A$3:$F$32,2,FALSE)),0)</f>
        <v>0</v>
      </c>
      <c r="AD4">
        <f>IF(AND(SUM(VLOOKUP($A4,test!$A$3:$F$32,2,FALSE),VLOOKUP(AD$1,test!$A$3:$F$32,2,FALSE))&lt;test!$K$16,$A4&lt;&gt;AD$1,feasible_mat!AD4=1),SUM(VLOOKUP($A4,test!$A$3:$F$32,2,FALSE),VLOOKUP(AD$1,test!$A$3:$F$32,2,FALSE)),0)</f>
        <v>0</v>
      </c>
      <c r="AE4">
        <f>IF(AND(SUM(VLOOKUP($A4,test!$A$3:$F$32,2,FALSE),VLOOKUP(AE$1,test!$A$3:$F$32,2,FALSE))&lt;test!$K$16,$A4&lt;&gt;AE$1,feasible_mat!AE4=1),SUM(VLOOKUP($A4,test!$A$3:$F$32,2,FALSE),VLOOKUP(AE$1,test!$A$3:$F$32,2,FALSE)),0)</f>
        <v>0</v>
      </c>
      <c r="AF4">
        <f>IF(AND(SUM(VLOOKUP($A4,test!$A$3:$F$32,2,FALSE),VLOOKUP(AF$1,test!$A$3:$F$32,2,FALSE))&lt;test!$K$16,$A4&lt;&gt;AF$1,feasible_mat!AF4=1),SUM(VLOOKUP($A4,test!$A$3:$F$32,2,FALSE),VLOOKUP(AF$1,test!$A$3:$F$32,2,FALSE)),0)</f>
        <v>0</v>
      </c>
      <c r="AG4">
        <v>60</v>
      </c>
      <c r="AH4">
        <v>75</v>
      </c>
      <c r="AI4">
        <v>70</v>
      </c>
    </row>
    <row r="5" spans="1:35" x14ac:dyDescent="0.25">
      <c r="A5" t="s">
        <v>10</v>
      </c>
      <c r="B5">
        <v>0</v>
      </c>
      <c r="C5">
        <f>IF(AND(SUM(VLOOKUP($A5,test!$A$3:$F$32,2,FALSE),VLOOKUP(C$1,test!$A$3:$F$32,2,FALSE))&lt;test!$K$16,$A5&lt;&gt;C$1,feasible_mat!C5=1),SUM(VLOOKUP($A5,test!$A$3:$F$32,2,FALSE),VLOOKUP(C$1,test!$A$3:$F$32,2,FALSE)),0)</f>
        <v>0</v>
      </c>
      <c r="D5">
        <f>IF(AND(SUM(VLOOKUP($A5,test!$A$3:$F$32,2,FALSE),VLOOKUP(D$1,test!$A$3:$F$32,2,FALSE))&lt;test!$K$16,$A5&lt;&gt;D$1,feasible_mat!D5=1),SUM(VLOOKUP($A5,test!$A$3:$F$32,2,FALSE),VLOOKUP(D$1,test!$A$3:$F$32,2,FALSE)),0)</f>
        <v>0</v>
      </c>
      <c r="E5">
        <f>IF(AND(SUM(VLOOKUP($A5,test!$A$3:$F$32,2,FALSE),VLOOKUP(E$1,test!$A$3:$F$32,2,FALSE))&lt;test!$K$16,$A5&lt;&gt;E$1,feasible_mat!E5=1),SUM(VLOOKUP($A5,test!$A$3:$F$32,2,FALSE),VLOOKUP(E$1,test!$A$3:$F$32,2,FALSE)),0)</f>
        <v>0</v>
      </c>
      <c r="F5">
        <f>IF(AND(SUM(VLOOKUP($A5,test!$A$3:$F$32,2,FALSE),VLOOKUP(F$1,test!$A$3:$F$32,2,FALSE))&lt;test!$K$16,$A5&lt;&gt;F$1,feasible_mat!F5=1),SUM(VLOOKUP($A5,test!$A$3:$F$32,2,FALSE),VLOOKUP(F$1,test!$A$3:$F$32,2,FALSE)),0)</f>
        <v>0</v>
      </c>
      <c r="G5">
        <f>IF(AND(SUM(VLOOKUP($A5,test!$A$3:$F$32,2,FALSE),VLOOKUP(G$1,test!$A$3:$F$32,2,FALSE))&lt;test!$K$16,$A5&lt;&gt;G$1,feasible_mat!G5=1),SUM(VLOOKUP($A5,test!$A$3:$F$32,2,FALSE),VLOOKUP(G$1,test!$A$3:$F$32,2,FALSE)),0)</f>
        <v>0</v>
      </c>
      <c r="H5">
        <f>IF(AND(SUM(VLOOKUP($A5,test!$A$3:$F$32,2,FALSE),VLOOKUP(H$1,test!$A$3:$F$32,2,FALSE))&lt;test!$K$16,$A5&lt;&gt;H$1,feasible_mat!H5=1),SUM(VLOOKUP($A5,test!$A$3:$F$32,2,FALSE),VLOOKUP(H$1,test!$A$3:$F$32,2,FALSE)),0)</f>
        <v>0</v>
      </c>
      <c r="I5">
        <f>IF(AND(SUM(VLOOKUP($A5,test!$A$3:$F$32,2,FALSE),VLOOKUP(I$1,test!$A$3:$F$32,2,FALSE))&lt;test!$K$16,$A5&lt;&gt;I$1,feasible_mat!I5=1),SUM(VLOOKUP($A5,test!$A$3:$F$32,2,FALSE),VLOOKUP(I$1,test!$A$3:$F$32,2,FALSE)),0)</f>
        <v>0</v>
      </c>
      <c r="J5">
        <f>IF(AND(SUM(VLOOKUP($A5,test!$A$3:$F$32,2,FALSE),VLOOKUP(J$1,test!$A$3:$F$32,2,FALSE))&lt;test!$K$16,$A5&lt;&gt;J$1,feasible_mat!J5=1),SUM(VLOOKUP($A5,test!$A$3:$F$32,2,FALSE),VLOOKUP(J$1,test!$A$3:$F$32,2,FALSE)),0)</f>
        <v>0</v>
      </c>
      <c r="K5">
        <f>IF(AND(SUM(VLOOKUP($A5,test!$A$3:$F$32,2,FALSE),VLOOKUP(K$1,test!$A$3:$F$32,2,FALSE))&lt;test!$K$16,$A5&lt;&gt;K$1,feasible_mat!K5=1),SUM(VLOOKUP($A5,test!$A$3:$F$32,2,FALSE),VLOOKUP(K$1,test!$A$3:$F$32,2,FALSE)),0)</f>
        <v>0</v>
      </c>
      <c r="L5">
        <f>IF(AND(SUM(VLOOKUP($A5,test!$A$3:$F$32,2,FALSE),VLOOKUP(L$1,test!$A$3:$F$32,2,FALSE))&lt;test!$K$16,$A5&lt;&gt;L$1,feasible_mat!L5=1),SUM(VLOOKUP($A5,test!$A$3:$F$32,2,FALSE),VLOOKUP(L$1,test!$A$3:$F$32,2,FALSE)),0)</f>
        <v>0</v>
      </c>
      <c r="M5">
        <f>IF(AND(SUM(VLOOKUP($A5,test!$A$3:$F$32,2,FALSE),VLOOKUP(M$1,test!$A$3:$F$32,2,FALSE))&lt;test!$K$16,$A5&lt;&gt;M$1,feasible_mat!M5=1),SUM(VLOOKUP($A5,test!$A$3:$F$32,2,FALSE),VLOOKUP(M$1,test!$A$3:$F$32,2,FALSE)),0)</f>
        <v>0</v>
      </c>
      <c r="N5">
        <f>IF(AND(SUM(VLOOKUP($A5,test!$A$3:$F$32,2,FALSE),VLOOKUP(N$1,test!$A$3:$F$32,2,FALSE))&lt;test!$K$16,$A5&lt;&gt;N$1,feasible_mat!N5=1),SUM(VLOOKUP($A5,test!$A$3:$F$32,2,FALSE),VLOOKUP(N$1,test!$A$3:$F$32,2,FALSE)),0)</f>
        <v>0</v>
      </c>
      <c r="O5">
        <f>IF(AND(SUM(VLOOKUP($A5,test!$A$3:$F$32,2,FALSE),VLOOKUP(O$1,test!$A$3:$F$32,2,FALSE))&lt;test!$K$16,$A5&lt;&gt;O$1,feasible_mat!O5=1),SUM(VLOOKUP($A5,test!$A$3:$F$32,2,FALSE),VLOOKUP(O$1,test!$A$3:$F$32,2,FALSE)),0)</f>
        <v>0</v>
      </c>
      <c r="P5">
        <f>IF(AND(SUM(VLOOKUP($A5,test!$A$3:$F$32,2,FALSE),VLOOKUP(P$1,test!$A$3:$F$32,2,FALSE))&lt;test!$K$16,$A5&lt;&gt;P$1,feasible_mat!P5=1),SUM(VLOOKUP($A5,test!$A$3:$F$32,2,FALSE),VLOOKUP(P$1,test!$A$3:$F$32,2,FALSE)),0)</f>
        <v>0</v>
      </c>
      <c r="Q5">
        <f>IF(AND(SUM(VLOOKUP($A5,test!$A$3:$F$32,2,FALSE),VLOOKUP(Q$1,test!$A$3:$F$32,2,FALSE))&lt;test!$K$16,$A5&lt;&gt;Q$1,feasible_mat!Q5=1),SUM(VLOOKUP($A5,test!$A$3:$F$32,2,FALSE),VLOOKUP(Q$1,test!$A$3:$F$32,2,FALSE)),0)</f>
        <v>0</v>
      </c>
      <c r="R5">
        <f>IF(AND(SUM(VLOOKUP($A5,test!$A$3:$F$32,2,FALSE),VLOOKUP(R$1,test!$A$3:$F$32,2,FALSE))&lt;test!$K$16,$A5&lt;&gt;R$1,feasible_mat!R5=1),SUM(VLOOKUP($A5,test!$A$3:$F$32,2,FALSE),VLOOKUP(R$1,test!$A$3:$F$32,2,FALSE)),0)</f>
        <v>0</v>
      </c>
      <c r="S5">
        <f>IF(AND(SUM(VLOOKUP($A5,test!$A$3:$F$32,2,FALSE),VLOOKUP(S$1,test!$A$3:$F$32,2,FALSE))&lt;test!$K$16,$A5&lt;&gt;S$1,feasible_mat!S5=1),SUM(VLOOKUP($A5,test!$A$3:$F$32,2,FALSE),VLOOKUP(S$1,test!$A$3:$F$32,2,FALSE)),0)</f>
        <v>0</v>
      </c>
      <c r="T5">
        <f>IF(AND(SUM(VLOOKUP($A5,test!$A$3:$F$32,2,FALSE),VLOOKUP(T$1,test!$A$3:$F$32,2,FALSE))&lt;test!$K$16,$A5&lt;&gt;T$1,feasible_mat!T5=1),SUM(VLOOKUP($A5,test!$A$3:$F$32,2,FALSE),VLOOKUP(T$1,test!$A$3:$F$32,2,FALSE)),0)</f>
        <v>0</v>
      </c>
      <c r="U5">
        <f>IF(AND(SUM(VLOOKUP($A5,test!$A$3:$F$32,2,FALSE),VLOOKUP(U$1,test!$A$3:$F$32,2,FALSE))&lt;test!$K$16,$A5&lt;&gt;U$1,feasible_mat!U5=1),SUM(VLOOKUP($A5,test!$A$3:$F$32,2,FALSE),VLOOKUP(U$1,test!$A$3:$F$32,2,FALSE)),0)</f>
        <v>0</v>
      </c>
      <c r="V5">
        <f>IF(AND(SUM(VLOOKUP($A5,test!$A$3:$F$32,2,FALSE),VLOOKUP(V$1,test!$A$3:$F$32,2,FALSE))&lt;test!$K$16,$A5&lt;&gt;V$1,feasible_mat!V5=1),SUM(VLOOKUP($A5,test!$A$3:$F$32,2,FALSE),VLOOKUP(V$1,test!$A$3:$F$32,2,FALSE)),0)</f>
        <v>270</v>
      </c>
      <c r="W5">
        <f>IF(AND(SUM(VLOOKUP($A5,test!$A$3:$F$32,2,FALSE),VLOOKUP(W$1,test!$A$3:$F$32,2,FALSE))&lt;test!$K$16,$A5&lt;&gt;W$1,feasible_mat!W5=1),SUM(VLOOKUP($A5,test!$A$3:$F$32,2,FALSE),VLOOKUP(W$1,test!$A$3:$F$32,2,FALSE)),0)</f>
        <v>270</v>
      </c>
      <c r="X5">
        <f>IF(AND(SUM(VLOOKUP($A5,test!$A$3:$F$32,2,FALSE),VLOOKUP(X$1,test!$A$3:$F$32,2,FALSE))&lt;test!$K$16,$A5&lt;&gt;X$1,feasible_mat!X5=1),SUM(VLOOKUP($A5,test!$A$3:$F$32,2,FALSE),VLOOKUP(X$1,test!$A$3:$F$32,2,FALSE)),0)</f>
        <v>270</v>
      </c>
      <c r="Y5">
        <f>IF(AND(SUM(VLOOKUP($A5,test!$A$3:$F$32,2,FALSE),VLOOKUP(Y$1,test!$A$3:$F$32,2,FALSE))&lt;test!$K$16,$A5&lt;&gt;Y$1,feasible_mat!Y5=1),SUM(VLOOKUP($A5,test!$A$3:$F$32,2,FALSE),VLOOKUP(Y$1,test!$A$3:$F$32,2,FALSE)),0)</f>
        <v>0</v>
      </c>
      <c r="Z5">
        <f>IF(AND(SUM(VLOOKUP($A5,test!$A$3:$F$32,2,FALSE),VLOOKUP(Z$1,test!$A$3:$F$32,2,FALSE))&lt;test!$K$16,$A5&lt;&gt;Z$1,feasible_mat!Z5=1),SUM(VLOOKUP($A5,test!$A$3:$F$32,2,FALSE),VLOOKUP(Z$1,test!$A$3:$F$32,2,FALSE)),0)</f>
        <v>0</v>
      </c>
      <c r="AA5">
        <f>IF(AND(SUM(VLOOKUP($A5,test!$A$3:$F$32,2,FALSE),VLOOKUP(AA$1,test!$A$3:$F$32,2,FALSE))&lt;test!$K$16,$A5&lt;&gt;AA$1,feasible_mat!AA5=1),SUM(VLOOKUP($A5,test!$A$3:$F$32,2,FALSE),VLOOKUP(AA$1,test!$A$3:$F$32,2,FALSE)),0)</f>
        <v>0</v>
      </c>
      <c r="AB5">
        <f>IF(AND(SUM(VLOOKUP($A5,test!$A$3:$F$32,2,FALSE),VLOOKUP(AB$1,test!$A$3:$F$32,2,FALSE))&lt;test!$K$16,$A5&lt;&gt;AB$1,feasible_mat!AB5=1),SUM(VLOOKUP($A5,test!$A$3:$F$32,2,FALSE),VLOOKUP(AB$1,test!$A$3:$F$32,2,FALSE)),0)</f>
        <v>0</v>
      </c>
      <c r="AC5">
        <f>IF(AND(SUM(VLOOKUP($A5,test!$A$3:$F$32,2,FALSE),VLOOKUP(AC$1,test!$A$3:$F$32,2,FALSE))&lt;test!$K$16,$A5&lt;&gt;AC$1,feasible_mat!AC5=1),SUM(VLOOKUP($A5,test!$A$3:$F$32,2,FALSE),VLOOKUP(AC$1,test!$A$3:$F$32,2,FALSE)),0)</f>
        <v>0</v>
      </c>
      <c r="AD5">
        <f>IF(AND(SUM(VLOOKUP($A5,test!$A$3:$F$32,2,FALSE),VLOOKUP(AD$1,test!$A$3:$F$32,2,FALSE))&lt;test!$K$16,$A5&lt;&gt;AD$1,feasible_mat!AD5=1),SUM(VLOOKUP($A5,test!$A$3:$F$32,2,FALSE),VLOOKUP(AD$1,test!$A$3:$F$32,2,FALSE)),0)</f>
        <v>0</v>
      </c>
      <c r="AE5">
        <f>IF(AND(SUM(VLOOKUP($A5,test!$A$3:$F$32,2,FALSE),VLOOKUP(AE$1,test!$A$3:$F$32,2,FALSE))&lt;test!$K$16,$A5&lt;&gt;AE$1,feasible_mat!AE5=1),SUM(VLOOKUP($A5,test!$A$3:$F$32,2,FALSE),VLOOKUP(AE$1,test!$A$3:$F$32,2,FALSE)),0)</f>
        <v>0</v>
      </c>
      <c r="AF5">
        <f>IF(AND(SUM(VLOOKUP($A5,test!$A$3:$F$32,2,FALSE),VLOOKUP(AF$1,test!$A$3:$F$32,2,FALSE))&lt;test!$K$16,$A5&lt;&gt;AF$1,feasible_mat!AF5=1),SUM(VLOOKUP($A5,test!$A$3:$F$32,2,FALSE),VLOOKUP(AF$1,test!$A$3:$F$32,2,FALSE)),0)</f>
        <v>0</v>
      </c>
      <c r="AG5">
        <v>60</v>
      </c>
      <c r="AH5">
        <v>75</v>
      </c>
      <c r="AI5">
        <v>70</v>
      </c>
    </row>
    <row r="6" spans="1:35" x14ac:dyDescent="0.25">
      <c r="A6" t="s">
        <v>11</v>
      </c>
      <c r="B6">
        <v>0</v>
      </c>
      <c r="C6">
        <f>IF(AND(SUM(VLOOKUP($A6,test!$A$3:$F$32,2,FALSE),VLOOKUP(C$1,test!$A$3:$F$32,2,FALSE))&lt;test!$K$16,$A6&lt;&gt;C$1,feasible_mat!C6=1),SUM(VLOOKUP($A6,test!$A$3:$F$32,2,FALSE),VLOOKUP(C$1,test!$A$3:$F$32,2,FALSE)),0)</f>
        <v>0</v>
      </c>
      <c r="D6">
        <f>IF(AND(SUM(VLOOKUP($A6,test!$A$3:$F$32,2,FALSE),VLOOKUP(D$1,test!$A$3:$F$32,2,FALSE))&lt;test!$K$16,$A6&lt;&gt;D$1,feasible_mat!D6=1),SUM(VLOOKUP($A6,test!$A$3:$F$32,2,FALSE),VLOOKUP(D$1,test!$A$3:$F$32,2,FALSE)),0)</f>
        <v>0</v>
      </c>
      <c r="E6">
        <f>IF(AND(SUM(VLOOKUP($A6,test!$A$3:$F$32,2,FALSE),VLOOKUP(E$1,test!$A$3:$F$32,2,FALSE))&lt;test!$K$16,$A6&lt;&gt;E$1,feasible_mat!E6=1),SUM(VLOOKUP($A6,test!$A$3:$F$32,2,FALSE),VLOOKUP(E$1,test!$A$3:$F$32,2,FALSE)),0)</f>
        <v>0</v>
      </c>
      <c r="F6">
        <f>IF(AND(SUM(VLOOKUP($A6,test!$A$3:$F$32,2,FALSE),VLOOKUP(F$1,test!$A$3:$F$32,2,FALSE))&lt;test!$K$16,$A6&lt;&gt;F$1,feasible_mat!F6=1),SUM(VLOOKUP($A6,test!$A$3:$F$32,2,FALSE),VLOOKUP(F$1,test!$A$3:$F$32,2,FALSE)),0)</f>
        <v>0</v>
      </c>
      <c r="G6">
        <f>IF(AND(SUM(VLOOKUP($A6,test!$A$3:$F$32,2,FALSE),VLOOKUP(G$1,test!$A$3:$F$32,2,FALSE))&lt;test!$K$16,$A6&lt;&gt;G$1,feasible_mat!G6=1),SUM(VLOOKUP($A6,test!$A$3:$F$32,2,FALSE),VLOOKUP(G$1,test!$A$3:$F$32,2,FALSE)),0)</f>
        <v>0</v>
      </c>
      <c r="H6">
        <f>IF(AND(SUM(VLOOKUP($A6,test!$A$3:$F$32,2,FALSE),VLOOKUP(H$1,test!$A$3:$F$32,2,FALSE))&lt;test!$K$16,$A6&lt;&gt;H$1,feasible_mat!H6=1),SUM(VLOOKUP($A6,test!$A$3:$F$32,2,FALSE),VLOOKUP(H$1,test!$A$3:$F$32,2,FALSE)),0)</f>
        <v>0</v>
      </c>
      <c r="I6">
        <f>IF(AND(SUM(VLOOKUP($A6,test!$A$3:$F$32,2,FALSE),VLOOKUP(I$1,test!$A$3:$F$32,2,FALSE))&lt;test!$K$16,$A6&lt;&gt;I$1,feasible_mat!I6=1),SUM(VLOOKUP($A6,test!$A$3:$F$32,2,FALSE),VLOOKUP(I$1,test!$A$3:$F$32,2,FALSE)),0)</f>
        <v>0</v>
      </c>
      <c r="J6">
        <f>IF(AND(SUM(VLOOKUP($A6,test!$A$3:$F$32,2,FALSE),VLOOKUP(J$1,test!$A$3:$F$32,2,FALSE))&lt;test!$K$16,$A6&lt;&gt;J$1,feasible_mat!J6=1),SUM(VLOOKUP($A6,test!$A$3:$F$32,2,FALSE),VLOOKUP(J$1,test!$A$3:$F$32,2,FALSE)),0)</f>
        <v>0</v>
      </c>
      <c r="K6">
        <f>IF(AND(SUM(VLOOKUP($A6,test!$A$3:$F$32,2,FALSE),VLOOKUP(K$1,test!$A$3:$F$32,2,FALSE))&lt;test!$K$16,$A6&lt;&gt;K$1,feasible_mat!K6=1),SUM(VLOOKUP($A6,test!$A$3:$F$32,2,FALSE),VLOOKUP(K$1,test!$A$3:$F$32,2,FALSE)),0)</f>
        <v>0</v>
      </c>
      <c r="L6">
        <f>IF(AND(SUM(VLOOKUP($A6,test!$A$3:$F$32,2,FALSE),VLOOKUP(L$1,test!$A$3:$F$32,2,FALSE))&lt;test!$K$16,$A6&lt;&gt;L$1,feasible_mat!L6=1),SUM(VLOOKUP($A6,test!$A$3:$F$32,2,FALSE),VLOOKUP(L$1,test!$A$3:$F$32,2,FALSE)),0)</f>
        <v>0</v>
      </c>
      <c r="M6">
        <f>IF(AND(SUM(VLOOKUP($A6,test!$A$3:$F$32,2,FALSE),VLOOKUP(M$1,test!$A$3:$F$32,2,FALSE))&lt;test!$K$16,$A6&lt;&gt;M$1,feasible_mat!M6=1),SUM(VLOOKUP($A6,test!$A$3:$F$32,2,FALSE),VLOOKUP(M$1,test!$A$3:$F$32,2,FALSE)),0)</f>
        <v>0</v>
      </c>
      <c r="N6">
        <f>IF(AND(SUM(VLOOKUP($A6,test!$A$3:$F$32,2,FALSE),VLOOKUP(N$1,test!$A$3:$F$32,2,FALSE))&lt;test!$K$16,$A6&lt;&gt;N$1,feasible_mat!N6=1),SUM(VLOOKUP($A6,test!$A$3:$F$32,2,FALSE),VLOOKUP(N$1,test!$A$3:$F$32,2,FALSE)),0)</f>
        <v>0</v>
      </c>
      <c r="O6">
        <f>IF(AND(SUM(VLOOKUP($A6,test!$A$3:$F$32,2,FALSE),VLOOKUP(O$1,test!$A$3:$F$32,2,FALSE))&lt;test!$K$16,$A6&lt;&gt;O$1,feasible_mat!O6=1),SUM(VLOOKUP($A6,test!$A$3:$F$32,2,FALSE),VLOOKUP(O$1,test!$A$3:$F$32,2,FALSE)),0)</f>
        <v>0</v>
      </c>
      <c r="P6">
        <f>IF(AND(SUM(VLOOKUP($A6,test!$A$3:$F$32,2,FALSE),VLOOKUP(P$1,test!$A$3:$F$32,2,FALSE))&lt;test!$K$16,$A6&lt;&gt;P$1,feasible_mat!P6=1),SUM(VLOOKUP($A6,test!$A$3:$F$32,2,FALSE),VLOOKUP(P$1,test!$A$3:$F$32,2,FALSE)),0)</f>
        <v>0</v>
      </c>
      <c r="Q6">
        <f>IF(AND(SUM(VLOOKUP($A6,test!$A$3:$F$32,2,FALSE),VLOOKUP(Q$1,test!$A$3:$F$32,2,FALSE))&lt;test!$K$16,$A6&lt;&gt;Q$1,feasible_mat!Q6=1),SUM(VLOOKUP($A6,test!$A$3:$F$32,2,FALSE),VLOOKUP(Q$1,test!$A$3:$F$32,2,FALSE)),0)</f>
        <v>0</v>
      </c>
      <c r="R6">
        <f>IF(AND(SUM(VLOOKUP($A6,test!$A$3:$F$32,2,FALSE),VLOOKUP(R$1,test!$A$3:$F$32,2,FALSE))&lt;test!$K$16,$A6&lt;&gt;R$1,feasible_mat!R6=1),SUM(VLOOKUP($A6,test!$A$3:$F$32,2,FALSE),VLOOKUP(R$1,test!$A$3:$F$32,2,FALSE)),0)</f>
        <v>0</v>
      </c>
      <c r="S6">
        <f>IF(AND(SUM(VLOOKUP($A6,test!$A$3:$F$32,2,FALSE),VLOOKUP(S$1,test!$A$3:$F$32,2,FALSE))&lt;test!$K$16,$A6&lt;&gt;S$1,feasible_mat!S6=1),SUM(VLOOKUP($A6,test!$A$3:$F$32,2,FALSE),VLOOKUP(S$1,test!$A$3:$F$32,2,FALSE)),0)</f>
        <v>0</v>
      </c>
      <c r="T6">
        <f>IF(AND(SUM(VLOOKUP($A6,test!$A$3:$F$32,2,FALSE),VLOOKUP(T$1,test!$A$3:$F$32,2,FALSE))&lt;test!$K$16,$A6&lt;&gt;T$1,feasible_mat!T6=1),SUM(VLOOKUP($A6,test!$A$3:$F$32,2,FALSE),VLOOKUP(T$1,test!$A$3:$F$32,2,FALSE)),0)</f>
        <v>0</v>
      </c>
      <c r="U6">
        <f>IF(AND(SUM(VLOOKUP($A6,test!$A$3:$F$32,2,FALSE),VLOOKUP(U$1,test!$A$3:$F$32,2,FALSE))&lt;test!$K$16,$A6&lt;&gt;U$1,feasible_mat!U6=1),SUM(VLOOKUP($A6,test!$A$3:$F$32,2,FALSE),VLOOKUP(U$1,test!$A$3:$F$32,2,FALSE)),0)</f>
        <v>0</v>
      </c>
      <c r="V6">
        <f>IF(AND(SUM(VLOOKUP($A6,test!$A$3:$F$32,2,FALSE),VLOOKUP(V$1,test!$A$3:$F$32,2,FALSE))&lt;test!$K$16,$A6&lt;&gt;V$1,feasible_mat!V6=1),SUM(VLOOKUP($A6,test!$A$3:$F$32,2,FALSE),VLOOKUP(V$1,test!$A$3:$F$32,2,FALSE)),0)</f>
        <v>0</v>
      </c>
      <c r="W6">
        <f>IF(AND(SUM(VLOOKUP($A6,test!$A$3:$F$32,2,FALSE),VLOOKUP(W$1,test!$A$3:$F$32,2,FALSE))&lt;test!$K$16,$A6&lt;&gt;W$1,feasible_mat!W6=1),SUM(VLOOKUP($A6,test!$A$3:$F$32,2,FALSE),VLOOKUP(W$1,test!$A$3:$F$32,2,FALSE)),0)</f>
        <v>270</v>
      </c>
      <c r="X6">
        <f>IF(AND(SUM(VLOOKUP($A6,test!$A$3:$F$32,2,FALSE),VLOOKUP(X$1,test!$A$3:$F$32,2,FALSE))&lt;test!$K$16,$A6&lt;&gt;X$1,feasible_mat!X6=1),SUM(VLOOKUP($A6,test!$A$3:$F$32,2,FALSE),VLOOKUP(X$1,test!$A$3:$F$32,2,FALSE)),0)</f>
        <v>270</v>
      </c>
      <c r="Y6">
        <f>IF(AND(SUM(VLOOKUP($A6,test!$A$3:$F$32,2,FALSE),VLOOKUP(Y$1,test!$A$3:$F$32,2,FALSE))&lt;test!$K$16,$A6&lt;&gt;Y$1,feasible_mat!Y6=1),SUM(VLOOKUP($A6,test!$A$3:$F$32,2,FALSE),VLOOKUP(Y$1,test!$A$3:$F$32,2,FALSE)),0)</f>
        <v>0</v>
      </c>
      <c r="Z6">
        <f>IF(AND(SUM(VLOOKUP($A6,test!$A$3:$F$32,2,FALSE),VLOOKUP(Z$1,test!$A$3:$F$32,2,FALSE))&lt;test!$K$16,$A6&lt;&gt;Z$1,feasible_mat!Z6=1),SUM(VLOOKUP($A6,test!$A$3:$F$32,2,FALSE),VLOOKUP(Z$1,test!$A$3:$F$32,2,FALSE)),0)</f>
        <v>0</v>
      </c>
      <c r="AA6">
        <f>IF(AND(SUM(VLOOKUP($A6,test!$A$3:$F$32,2,FALSE),VLOOKUP(AA$1,test!$A$3:$F$32,2,FALSE))&lt;test!$K$16,$A6&lt;&gt;AA$1,feasible_mat!AA6=1),SUM(VLOOKUP($A6,test!$A$3:$F$32,2,FALSE),VLOOKUP(AA$1,test!$A$3:$F$32,2,FALSE)),0)</f>
        <v>0</v>
      </c>
      <c r="AB6">
        <f>IF(AND(SUM(VLOOKUP($A6,test!$A$3:$F$32,2,FALSE),VLOOKUP(AB$1,test!$A$3:$F$32,2,FALSE))&lt;test!$K$16,$A6&lt;&gt;AB$1,feasible_mat!AB6=1),SUM(VLOOKUP($A6,test!$A$3:$F$32,2,FALSE),VLOOKUP(AB$1,test!$A$3:$F$32,2,FALSE)),0)</f>
        <v>0</v>
      </c>
      <c r="AC6">
        <f>IF(AND(SUM(VLOOKUP($A6,test!$A$3:$F$32,2,FALSE),VLOOKUP(AC$1,test!$A$3:$F$32,2,FALSE))&lt;test!$K$16,$A6&lt;&gt;AC$1,feasible_mat!AC6=1),SUM(VLOOKUP($A6,test!$A$3:$F$32,2,FALSE),VLOOKUP(AC$1,test!$A$3:$F$32,2,FALSE)),0)</f>
        <v>0</v>
      </c>
      <c r="AD6">
        <f>IF(AND(SUM(VLOOKUP($A6,test!$A$3:$F$32,2,FALSE),VLOOKUP(AD$1,test!$A$3:$F$32,2,FALSE))&lt;test!$K$16,$A6&lt;&gt;AD$1,feasible_mat!AD6=1),SUM(VLOOKUP($A6,test!$A$3:$F$32,2,FALSE),VLOOKUP(AD$1,test!$A$3:$F$32,2,FALSE)),0)</f>
        <v>0</v>
      </c>
      <c r="AE6">
        <f>IF(AND(SUM(VLOOKUP($A6,test!$A$3:$F$32,2,FALSE),VLOOKUP(AE$1,test!$A$3:$F$32,2,FALSE))&lt;test!$K$16,$A6&lt;&gt;AE$1,feasible_mat!AE6=1),SUM(VLOOKUP($A6,test!$A$3:$F$32,2,FALSE),VLOOKUP(AE$1,test!$A$3:$F$32,2,FALSE)),0)</f>
        <v>0</v>
      </c>
      <c r="AF6">
        <f>IF(AND(SUM(VLOOKUP($A6,test!$A$3:$F$32,2,FALSE),VLOOKUP(AF$1,test!$A$3:$F$32,2,FALSE))&lt;test!$K$16,$A6&lt;&gt;AF$1,feasible_mat!AF6=1),SUM(VLOOKUP($A6,test!$A$3:$F$32,2,FALSE),VLOOKUP(AF$1,test!$A$3:$F$32,2,FALSE)),0)</f>
        <v>0</v>
      </c>
      <c r="AG6">
        <v>60</v>
      </c>
      <c r="AH6">
        <v>75</v>
      </c>
      <c r="AI6">
        <v>70</v>
      </c>
    </row>
    <row r="7" spans="1:35" x14ac:dyDescent="0.25">
      <c r="A7" t="s">
        <v>12</v>
      </c>
      <c r="B7">
        <v>0</v>
      </c>
      <c r="C7">
        <f>IF(AND(SUM(VLOOKUP($A7,test!$A$3:$F$32,2,FALSE),VLOOKUP(C$1,test!$A$3:$F$32,2,FALSE))&lt;test!$K$16,$A7&lt;&gt;C$1,feasible_mat!C7=1),SUM(VLOOKUP($A7,test!$A$3:$F$32,2,FALSE),VLOOKUP(C$1,test!$A$3:$F$32,2,FALSE)),0)</f>
        <v>0</v>
      </c>
      <c r="D7">
        <f>IF(AND(SUM(VLOOKUP($A7,test!$A$3:$F$32,2,FALSE),VLOOKUP(D$1,test!$A$3:$F$32,2,FALSE))&lt;test!$K$16,$A7&lt;&gt;D$1,feasible_mat!D7=1),SUM(VLOOKUP($A7,test!$A$3:$F$32,2,FALSE),VLOOKUP(D$1,test!$A$3:$F$32,2,FALSE)),0)</f>
        <v>0</v>
      </c>
      <c r="E7">
        <f>IF(AND(SUM(VLOOKUP($A7,test!$A$3:$F$32,2,FALSE),VLOOKUP(E$1,test!$A$3:$F$32,2,FALSE))&lt;test!$K$16,$A7&lt;&gt;E$1,feasible_mat!E7=1),SUM(VLOOKUP($A7,test!$A$3:$F$32,2,FALSE),VLOOKUP(E$1,test!$A$3:$F$32,2,FALSE)),0)</f>
        <v>0</v>
      </c>
      <c r="F7">
        <f>IF(AND(SUM(VLOOKUP($A7,test!$A$3:$F$32,2,FALSE),VLOOKUP(F$1,test!$A$3:$F$32,2,FALSE))&lt;test!$K$16,$A7&lt;&gt;F$1,feasible_mat!F7=1),SUM(VLOOKUP($A7,test!$A$3:$F$32,2,FALSE),VLOOKUP(F$1,test!$A$3:$F$32,2,FALSE)),0)</f>
        <v>0</v>
      </c>
      <c r="G7">
        <f>IF(AND(SUM(VLOOKUP($A7,test!$A$3:$F$32,2,FALSE),VLOOKUP(G$1,test!$A$3:$F$32,2,FALSE))&lt;test!$K$16,$A7&lt;&gt;G$1,feasible_mat!G7=1),SUM(VLOOKUP($A7,test!$A$3:$F$32,2,FALSE),VLOOKUP(G$1,test!$A$3:$F$32,2,FALSE)),0)</f>
        <v>0</v>
      </c>
      <c r="H7">
        <f>IF(AND(SUM(VLOOKUP($A7,test!$A$3:$F$32,2,FALSE),VLOOKUP(H$1,test!$A$3:$F$32,2,FALSE))&lt;test!$K$16,$A7&lt;&gt;H$1,feasible_mat!H7=1),SUM(VLOOKUP($A7,test!$A$3:$F$32,2,FALSE),VLOOKUP(H$1,test!$A$3:$F$32,2,FALSE)),0)</f>
        <v>0</v>
      </c>
      <c r="I7">
        <f>IF(AND(SUM(VLOOKUP($A7,test!$A$3:$F$32,2,FALSE),VLOOKUP(I$1,test!$A$3:$F$32,2,FALSE))&lt;test!$K$16,$A7&lt;&gt;I$1,feasible_mat!I7=1),SUM(VLOOKUP($A7,test!$A$3:$F$32,2,FALSE),VLOOKUP(I$1,test!$A$3:$F$32,2,FALSE)),0)</f>
        <v>0</v>
      </c>
      <c r="J7">
        <f>IF(AND(SUM(VLOOKUP($A7,test!$A$3:$F$32,2,FALSE),VLOOKUP(J$1,test!$A$3:$F$32,2,FALSE))&lt;test!$K$16,$A7&lt;&gt;J$1,feasible_mat!J7=1),SUM(VLOOKUP($A7,test!$A$3:$F$32,2,FALSE),VLOOKUP(J$1,test!$A$3:$F$32,2,FALSE)),0)</f>
        <v>0</v>
      </c>
      <c r="K7">
        <f>IF(AND(SUM(VLOOKUP($A7,test!$A$3:$F$32,2,FALSE),VLOOKUP(K$1,test!$A$3:$F$32,2,FALSE))&lt;test!$K$16,$A7&lt;&gt;K$1,feasible_mat!K7=1),SUM(VLOOKUP($A7,test!$A$3:$F$32,2,FALSE),VLOOKUP(K$1,test!$A$3:$F$32,2,FALSE)),0)</f>
        <v>0</v>
      </c>
      <c r="L7">
        <f>IF(AND(SUM(VLOOKUP($A7,test!$A$3:$F$32,2,FALSE),VLOOKUP(L$1,test!$A$3:$F$32,2,FALSE))&lt;test!$K$16,$A7&lt;&gt;L$1,feasible_mat!L7=1),SUM(VLOOKUP($A7,test!$A$3:$F$32,2,FALSE),VLOOKUP(L$1,test!$A$3:$F$32,2,FALSE)),0)</f>
        <v>0</v>
      </c>
      <c r="M7">
        <f>IF(AND(SUM(VLOOKUP($A7,test!$A$3:$F$32,2,FALSE),VLOOKUP(M$1,test!$A$3:$F$32,2,FALSE))&lt;test!$K$16,$A7&lt;&gt;M$1,feasible_mat!M7=1),SUM(VLOOKUP($A7,test!$A$3:$F$32,2,FALSE),VLOOKUP(M$1,test!$A$3:$F$32,2,FALSE)),0)</f>
        <v>0</v>
      </c>
      <c r="N7">
        <f>IF(AND(SUM(VLOOKUP($A7,test!$A$3:$F$32,2,FALSE),VLOOKUP(N$1,test!$A$3:$F$32,2,FALSE))&lt;test!$K$16,$A7&lt;&gt;N$1,feasible_mat!N7=1),SUM(VLOOKUP($A7,test!$A$3:$F$32,2,FALSE),VLOOKUP(N$1,test!$A$3:$F$32,2,FALSE)),0)</f>
        <v>0</v>
      </c>
      <c r="O7">
        <f>IF(AND(SUM(VLOOKUP($A7,test!$A$3:$F$32,2,FALSE),VLOOKUP(O$1,test!$A$3:$F$32,2,FALSE))&lt;test!$K$16,$A7&lt;&gt;O$1,feasible_mat!O7=1),SUM(VLOOKUP($A7,test!$A$3:$F$32,2,FALSE),VLOOKUP(O$1,test!$A$3:$F$32,2,FALSE)),0)</f>
        <v>0</v>
      </c>
      <c r="P7">
        <f>IF(AND(SUM(VLOOKUP($A7,test!$A$3:$F$32,2,FALSE),VLOOKUP(P$1,test!$A$3:$F$32,2,FALSE))&lt;test!$K$16,$A7&lt;&gt;P$1,feasible_mat!P7=1),SUM(VLOOKUP($A7,test!$A$3:$F$32,2,FALSE),VLOOKUP(P$1,test!$A$3:$F$32,2,FALSE)),0)</f>
        <v>0</v>
      </c>
      <c r="Q7">
        <f>IF(AND(SUM(VLOOKUP($A7,test!$A$3:$F$32,2,FALSE),VLOOKUP(Q$1,test!$A$3:$F$32,2,FALSE))&lt;test!$K$16,$A7&lt;&gt;Q$1,feasible_mat!Q7=1),SUM(VLOOKUP($A7,test!$A$3:$F$32,2,FALSE),VLOOKUP(Q$1,test!$A$3:$F$32,2,FALSE)),0)</f>
        <v>0</v>
      </c>
      <c r="R7">
        <f>IF(AND(SUM(VLOOKUP($A7,test!$A$3:$F$32,2,FALSE),VLOOKUP(R$1,test!$A$3:$F$32,2,FALSE))&lt;test!$K$16,$A7&lt;&gt;R$1,feasible_mat!R7=1),SUM(VLOOKUP($A7,test!$A$3:$F$32,2,FALSE),VLOOKUP(R$1,test!$A$3:$F$32,2,FALSE)),0)</f>
        <v>0</v>
      </c>
      <c r="S7">
        <f>IF(AND(SUM(VLOOKUP($A7,test!$A$3:$F$32,2,FALSE),VLOOKUP(S$1,test!$A$3:$F$32,2,FALSE))&lt;test!$K$16,$A7&lt;&gt;S$1,feasible_mat!S7=1),SUM(VLOOKUP($A7,test!$A$3:$F$32,2,FALSE),VLOOKUP(S$1,test!$A$3:$F$32,2,FALSE)),0)</f>
        <v>0</v>
      </c>
      <c r="T7">
        <f>IF(AND(SUM(VLOOKUP($A7,test!$A$3:$F$32,2,FALSE),VLOOKUP(T$1,test!$A$3:$F$32,2,FALSE))&lt;test!$K$16,$A7&lt;&gt;T$1,feasible_mat!T7=1),SUM(VLOOKUP($A7,test!$A$3:$F$32,2,FALSE),VLOOKUP(T$1,test!$A$3:$F$32,2,FALSE)),0)</f>
        <v>0</v>
      </c>
      <c r="U7">
        <f>IF(AND(SUM(VLOOKUP($A7,test!$A$3:$F$32,2,FALSE),VLOOKUP(U$1,test!$A$3:$F$32,2,FALSE))&lt;test!$K$16,$A7&lt;&gt;U$1,feasible_mat!U7=1),SUM(VLOOKUP($A7,test!$A$3:$F$32,2,FALSE),VLOOKUP(U$1,test!$A$3:$F$32,2,FALSE)),0)</f>
        <v>0</v>
      </c>
      <c r="V7">
        <f>IF(AND(SUM(VLOOKUP($A7,test!$A$3:$F$32,2,FALSE),VLOOKUP(V$1,test!$A$3:$F$32,2,FALSE))&lt;test!$K$16,$A7&lt;&gt;V$1,feasible_mat!V7=1),SUM(VLOOKUP($A7,test!$A$3:$F$32,2,FALSE),VLOOKUP(V$1,test!$A$3:$F$32,2,FALSE)),0)</f>
        <v>0</v>
      </c>
      <c r="W7">
        <f>IF(AND(SUM(VLOOKUP($A7,test!$A$3:$F$32,2,FALSE),VLOOKUP(W$1,test!$A$3:$F$32,2,FALSE))&lt;test!$K$16,$A7&lt;&gt;W$1,feasible_mat!W7=1),SUM(VLOOKUP($A7,test!$A$3:$F$32,2,FALSE),VLOOKUP(W$1,test!$A$3:$F$32,2,FALSE)),0)</f>
        <v>0</v>
      </c>
      <c r="X7">
        <f>IF(AND(SUM(VLOOKUP($A7,test!$A$3:$F$32,2,FALSE),VLOOKUP(X$1,test!$A$3:$F$32,2,FALSE))&lt;test!$K$16,$A7&lt;&gt;X$1,feasible_mat!X7=1),SUM(VLOOKUP($A7,test!$A$3:$F$32,2,FALSE),VLOOKUP(X$1,test!$A$3:$F$32,2,FALSE)),0)</f>
        <v>270</v>
      </c>
      <c r="Y7">
        <f>IF(AND(SUM(VLOOKUP($A7,test!$A$3:$F$32,2,FALSE),VLOOKUP(Y$1,test!$A$3:$F$32,2,FALSE))&lt;test!$K$16,$A7&lt;&gt;Y$1,feasible_mat!Y7=1),SUM(VLOOKUP($A7,test!$A$3:$F$32,2,FALSE),VLOOKUP(Y$1,test!$A$3:$F$32,2,FALSE)),0)</f>
        <v>0</v>
      </c>
      <c r="Z7">
        <f>IF(AND(SUM(VLOOKUP($A7,test!$A$3:$F$32,2,FALSE),VLOOKUP(Z$1,test!$A$3:$F$32,2,FALSE))&lt;test!$K$16,$A7&lt;&gt;Z$1,feasible_mat!Z7=1),SUM(VLOOKUP($A7,test!$A$3:$F$32,2,FALSE),VLOOKUP(Z$1,test!$A$3:$F$32,2,FALSE)),0)</f>
        <v>0</v>
      </c>
      <c r="AA7">
        <f>IF(AND(SUM(VLOOKUP($A7,test!$A$3:$F$32,2,FALSE),VLOOKUP(AA$1,test!$A$3:$F$32,2,FALSE))&lt;test!$K$16,$A7&lt;&gt;AA$1,feasible_mat!AA7=1),SUM(VLOOKUP($A7,test!$A$3:$F$32,2,FALSE),VLOOKUP(AA$1,test!$A$3:$F$32,2,FALSE)),0)</f>
        <v>0</v>
      </c>
      <c r="AB7">
        <f>IF(AND(SUM(VLOOKUP($A7,test!$A$3:$F$32,2,FALSE),VLOOKUP(AB$1,test!$A$3:$F$32,2,FALSE))&lt;test!$K$16,$A7&lt;&gt;AB$1,feasible_mat!AB7=1),SUM(VLOOKUP($A7,test!$A$3:$F$32,2,FALSE),VLOOKUP(AB$1,test!$A$3:$F$32,2,FALSE)),0)</f>
        <v>0</v>
      </c>
      <c r="AC7">
        <f>IF(AND(SUM(VLOOKUP($A7,test!$A$3:$F$32,2,FALSE),VLOOKUP(AC$1,test!$A$3:$F$32,2,FALSE))&lt;test!$K$16,$A7&lt;&gt;AC$1,feasible_mat!AC7=1),SUM(VLOOKUP($A7,test!$A$3:$F$32,2,FALSE),VLOOKUP(AC$1,test!$A$3:$F$32,2,FALSE)),0)</f>
        <v>0</v>
      </c>
      <c r="AD7">
        <f>IF(AND(SUM(VLOOKUP($A7,test!$A$3:$F$32,2,FALSE),VLOOKUP(AD$1,test!$A$3:$F$32,2,FALSE))&lt;test!$K$16,$A7&lt;&gt;AD$1,feasible_mat!AD7=1),SUM(VLOOKUP($A7,test!$A$3:$F$32,2,FALSE),VLOOKUP(AD$1,test!$A$3:$F$32,2,FALSE)),0)</f>
        <v>0</v>
      </c>
      <c r="AE7">
        <f>IF(AND(SUM(VLOOKUP($A7,test!$A$3:$F$32,2,FALSE),VLOOKUP(AE$1,test!$A$3:$F$32,2,FALSE))&lt;test!$K$16,$A7&lt;&gt;AE$1,feasible_mat!AE7=1),SUM(VLOOKUP($A7,test!$A$3:$F$32,2,FALSE),VLOOKUP(AE$1,test!$A$3:$F$32,2,FALSE)),0)</f>
        <v>0</v>
      </c>
      <c r="AF7">
        <f>IF(AND(SUM(VLOOKUP($A7,test!$A$3:$F$32,2,FALSE),VLOOKUP(AF$1,test!$A$3:$F$32,2,FALSE))&lt;test!$K$16,$A7&lt;&gt;AF$1,feasible_mat!AF7=1),SUM(VLOOKUP($A7,test!$A$3:$F$32,2,FALSE),VLOOKUP(AF$1,test!$A$3:$F$32,2,FALSE)),0)</f>
        <v>0</v>
      </c>
      <c r="AG7">
        <v>60</v>
      </c>
      <c r="AH7">
        <v>75</v>
      </c>
      <c r="AI7">
        <v>70</v>
      </c>
    </row>
    <row r="8" spans="1:35" x14ac:dyDescent="0.25">
      <c r="A8" t="s">
        <v>13</v>
      </c>
      <c r="B8">
        <v>0</v>
      </c>
      <c r="C8">
        <f>IF(AND(SUM(VLOOKUP($A8,test!$A$3:$F$32,2,FALSE),VLOOKUP(C$1,test!$A$3:$F$32,2,FALSE))&lt;test!$K$16,$A8&lt;&gt;C$1,feasible_mat!C8=1),SUM(VLOOKUP($A8,test!$A$3:$F$32,2,FALSE),VLOOKUP(C$1,test!$A$3:$F$32,2,FALSE)),0)</f>
        <v>0</v>
      </c>
      <c r="D8">
        <f>IF(AND(SUM(VLOOKUP($A8,test!$A$3:$F$32,2,FALSE),VLOOKUP(D$1,test!$A$3:$F$32,2,FALSE))&lt;test!$K$16,$A8&lt;&gt;D$1,feasible_mat!D8=1),SUM(VLOOKUP($A8,test!$A$3:$F$32,2,FALSE),VLOOKUP(D$1,test!$A$3:$F$32,2,FALSE)),0)</f>
        <v>0</v>
      </c>
      <c r="E8">
        <f>IF(AND(SUM(VLOOKUP($A8,test!$A$3:$F$32,2,FALSE),VLOOKUP(E$1,test!$A$3:$F$32,2,FALSE))&lt;test!$K$16,$A8&lt;&gt;E$1,feasible_mat!E8=1),SUM(VLOOKUP($A8,test!$A$3:$F$32,2,FALSE),VLOOKUP(E$1,test!$A$3:$F$32,2,FALSE)),0)</f>
        <v>0</v>
      </c>
      <c r="F8">
        <f>IF(AND(SUM(VLOOKUP($A8,test!$A$3:$F$32,2,FALSE),VLOOKUP(F$1,test!$A$3:$F$32,2,FALSE))&lt;test!$K$16,$A8&lt;&gt;F$1,feasible_mat!F8=1),SUM(VLOOKUP($A8,test!$A$3:$F$32,2,FALSE),VLOOKUP(F$1,test!$A$3:$F$32,2,FALSE)),0)</f>
        <v>0</v>
      </c>
      <c r="G8">
        <f>IF(AND(SUM(VLOOKUP($A8,test!$A$3:$F$32,2,FALSE),VLOOKUP(G$1,test!$A$3:$F$32,2,FALSE))&lt;test!$K$16,$A8&lt;&gt;G$1,feasible_mat!G8=1),SUM(VLOOKUP($A8,test!$A$3:$F$32,2,FALSE),VLOOKUP(G$1,test!$A$3:$F$32,2,FALSE)),0)</f>
        <v>0</v>
      </c>
      <c r="H8">
        <f>IF(AND(SUM(VLOOKUP($A8,test!$A$3:$F$32,2,FALSE),VLOOKUP(H$1,test!$A$3:$F$32,2,FALSE))&lt;test!$K$16,$A8&lt;&gt;H$1,feasible_mat!H8=1),SUM(VLOOKUP($A8,test!$A$3:$F$32,2,FALSE),VLOOKUP(H$1,test!$A$3:$F$32,2,FALSE)),0)</f>
        <v>0</v>
      </c>
      <c r="I8">
        <f>IF(AND(SUM(VLOOKUP($A8,test!$A$3:$F$32,2,FALSE),VLOOKUP(I$1,test!$A$3:$F$32,2,FALSE))&lt;test!$K$16,$A8&lt;&gt;I$1,feasible_mat!I8=1),SUM(VLOOKUP($A8,test!$A$3:$F$32,2,FALSE),VLOOKUP(I$1,test!$A$3:$F$32,2,FALSE)),0)</f>
        <v>0</v>
      </c>
      <c r="J8">
        <f>IF(AND(SUM(VLOOKUP($A8,test!$A$3:$F$32,2,FALSE),VLOOKUP(J$1,test!$A$3:$F$32,2,FALSE))&lt;test!$K$16,$A8&lt;&gt;J$1,feasible_mat!J8=1),SUM(VLOOKUP($A8,test!$A$3:$F$32,2,FALSE),VLOOKUP(J$1,test!$A$3:$F$32,2,FALSE)),0)</f>
        <v>0</v>
      </c>
      <c r="K8">
        <f>IF(AND(SUM(VLOOKUP($A8,test!$A$3:$F$32,2,FALSE),VLOOKUP(K$1,test!$A$3:$F$32,2,FALSE))&lt;test!$K$16,$A8&lt;&gt;K$1,feasible_mat!K8=1),SUM(VLOOKUP($A8,test!$A$3:$F$32,2,FALSE),VLOOKUP(K$1,test!$A$3:$F$32,2,FALSE)),0)</f>
        <v>0</v>
      </c>
      <c r="L8">
        <f>IF(AND(SUM(VLOOKUP($A8,test!$A$3:$F$32,2,FALSE),VLOOKUP(L$1,test!$A$3:$F$32,2,FALSE))&lt;test!$K$16,$A8&lt;&gt;L$1,feasible_mat!L8=1),SUM(VLOOKUP($A8,test!$A$3:$F$32,2,FALSE),VLOOKUP(L$1,test!$A$3:$F$32,2,FALSE)),0)</f>
        <v>0</v>
      </c>
      <c r="M8">
        <f>IF(AND(SUM(VLOOKUP($A8,test!$A$3:$F$32,2,FALSE),VLOOKUP(M$1,test!$A$3:$F$32,2,FALSE))&lt;test!$K$16,$A8&lt;&gt;M$1,feasible_mat!M8=1),SUM(VLOOKUP($A8,test!$A$3:$F$32,2,FALSE),VLOOKUP(M$1,test!$A$3:$F$32,2,FALSE)),0)</f>
        <v>0</v>
      </c>
      <c r="N8">
        <f>IF(AND(SUM(VLOOKUP($A8,test!$A$3:$F$32,2,FALSE),VLOOKUP(N$1,test!$A$3:$F$32,2,FALSE))&lt;test!$K$16,$A8&lt;&gt;N$1,feasible_mat!N8=1),SUM(VLOOKUP($A8,test!$A$3:$F$32,2,FALSE),VLOOKUP(N$1,test!$A$3:$F$32,2,FALSE)),0)</f>
        <v>0</v>
      </c>
      <c r="O8">
        <f>IF(AND(SUM(VLOOKUP($A8,test!$A$3:$F$32,2,FALSE),VLOOKUP(O$1,test!$A$3:$F$32,2,FALSE))&lt;test!$K$16,$A8&lt;&gt;O$1,feasible_mat!O8=1),SUM(VLOOKUP($A8,test!$A$3:$F$32,2,FALSE),VLOOKUP(O$1,test!$A$3:$F$32,2,FALSE)),0)</f>
        <v>0</v>
      </c>
      <c r="P8">
        <f>IF(AND(SUM(VLOOKUP($A8,test!$A$3:$F$32,2,FALSE),VLOOKUP(P$1,test!$A$3:$F$32,2,FALSE))&lt;test!$K$16,$A8&lt;&gt;P$1,feasible_mat!P8=1),SUM(VLOOKUP($A8,test!$A$3:$F$32,2,FALSE),VLOOKUP(P$1,test!$A$3:$F$32,2,FALSE)),0)</f>
        <v>0</v>
      </c>
      <c r="Q8">
        <f>IF(AND(SUM(VLOOKUP($A8,test!$A$3:$F$32,2,FALSE),VLOOKUP(Q$1,test!$A$3:$F$32,2,FALSE))&lt;test!$K$16,$A8&lt;&gt;Q$1,feasible_mat!Q8=1),SUM(VLOOKUP($A8,test!$A$3:$F$32,2,FALSE),VLOOKUP(Q$1,test!$A$3:$F$32,2,FALSE)),0)</f>
        <v>0</v>
      </c>
      <c r="R8">
        <f>IF(AND(SUM(VLOOKUP($A8,test!$A$3:$F$32,2,FALSE),VLOOKUP(R$1,test!$A$3:$F$32,2,FALSE))&lt;test!$K$16,$A8&lt;&gt;R$1,feasible_mat!R8=1),SUM(VLOOKUP($A8,test!$A$3:$F$32,2,FALSE),VLOOKUP(R$1,test!$A$3:$F$32,2,FALSE)),0)</f>
        <v>0</v>
      </c>
      <c r="S8">
        <f>IF(AND(SUM(VLOOKUP($A8,test!$A$3:$F$32,2,FALSE),VLOOKUP(S$1,test!$A$3:$F$32,2,FALSE))&lt;test!$K$16,$A8&lt;&gt;S$1,feasible_mat!S8=1),SUM(VLOOKUP($A8,test!$A$3:$F$32,2,FALSE),VLOOKUP(S$1,test!$A$3:$F$32,2,FALSE)),0)</f>
        <v>0</v>
      </c>
      <c r="T8">
        <f>IF(AND(SUM(VLOOKUP($A8,test!$A$3:$F$32,2,FALSE),VLOOKUP(T$1,test!$A$3:$F$32,2,FALSE))&lt;test!$K$16,$A8&lt;&gt;T$1,feasible_mat!T8=1),SUM(VLOOKUP($A8,test!$A$3:$F$32,2,FALSE),VLOOKUP(T$1,test!$A$3:$F$32,2,FALSE)),0)</f>
        <v>0</v>
      </c>
      <c r="U8">
        <f>IF(AND(SUM(VLOOKUP($A8,test!$A$3:$F$32,2,FALSE),VLOOKUP(U$1,test!$A$3:$F$32,2,FALSE))&lt;test!$K$16,$A8&lt;&gt;U$1,feasible_mat!U8=1),SUM(VLOOKUP($A8,test!$A$3:$F$32,2,FALSE),VLOOKUP(U$1,test!$A$3:$F$32,2,FALSE)),0)</f>
        <v>0</v>
      </c>
      <c r="V8">
        <f>IF(AND(SUM(VLOOKUP($A8,test!$A$3:$F$32,2,FALSE),VLOOKUP(V$1,test!$A$3:$F$32,2,FALSE))&lt;test!$K$16,$A8&lt;&gt;V$1,feasible_mat!V8=1),SUM(VLOOKUP($A8,test!$A$3:$F$32,2,FALSE),VLOOKUP(V$1,test!$A$3:$F$32,2,FALSE)),0)</f>
        <v>0</v>
      </c>
      <c r="W8">
        <f>IF(AND(SUM(VLOOKUP($A8,test!$A$3:$F$32,2,FALSE),VLOOKUP(W$1,test!$A$3:$F$32,2,FALSE))&lt;test!$K$16,$A8&lt;&gt;W$1,feasible_mat!W8=1),SUM(VLOOKUP($A8,test!$A$3:$F$32,2,FALSE),VLOOKUP(W$1,test!$A$3:$F$32,2,FALSE)),0)</f>
        <v>0</v>
      </c>
      <c r="X8">
        <f>IF(AND(SUM(VLOOKUP($A8,test!$A$3:$F$32,2,FALSE),VLOOKUP(X$1,test!$A$3:$F$32,2,FALSE))&lt;test!$K$16,$A8&lt;&gt;X$1,feasible_mat!X8=1),SUM(VLOOKUP($A8,test!$A$3:$F$32,2,FALSE),VLOOKUP(X$1,test!$A$3:$F$32,2,FALSE)),0)</f>
        <v>0</v>
      </c>
      <c r="Y8">
        <f>IF(AND(SUM(VLOOKUP($A8,test!$A$3:$F$32,2,FALSE),VLOOKUP(Y$1,test!$A$3:$F$32,2,FALSE))&lt;test!$K$16,$A8&lt;&gt;Y$1,feasible_mat!Y8=1),SUM(VLOOKUP($A8,test!$A$3:$F$32,2,FALSE),VLOOKUP(Y$1,test!$A$3:$F$32,2,FALSE)),0)</f>
        <v>0</v>
      </c>
      <c r="Z8">
        <f>IF(AND(SUM(VLOOKUP($A8,test!$A$3:$F$32,2,FALSE),VLOOKUP(Z$1,test!$A$3:$F$32,2,FALSE))&lt;test!$K$16,$A8&lt;&gt;Z$1,feasible_mat!Z8=1),SUM(VLOOKUP($A8,test!$A$3:$F$32,2,FALSE),VLOOKUP(Z$1,test!$A$3:$F$32,2,FALSE)),0)</f>
        <v>0</v>
      </c>
      <c r="AA8">
        <f>IF(AND(SUM(VLOOKUP($A8,test!$A$3:$F$32,2,FALSE),VLOOKUP(AA$1,test!$A$3:$F$32,2,FALSE))&lt;test!$K$16,$A8&lt;&gt;AA$1,feasible_mat!AA8=1),SUM(VLOOKUP($A8,test!$A$3:$F$32,2,FALSE),VLOOKUP(AA$1,test!$A$3:$F$32,2,FALSE)),0)</f>
        <v>0</v>
      </c>
      <c r="AB8">
        <f>IF(AND(SUM(VLOOKUP($A8,test!$A$3:$F$32,2,FALSE),VLOOKUP(AB$1,test!$A$3:$F$32,2,FALSE))&lt;test!$K$16,$A8&lt;&gt;AB$1,feasible_mat!AB8=1),SUM(VLOOKUP($A8,test!$A$3:$F$32,2,FALSE),VLOOKUP(AB$1,test!$A$3:$F$32,2,FALSE)),0)</f>
        <v>0</v>
      </c>
      <c r="AC8">
        <f>IF(AND(SUM(VLOOKUP($A8,test!$A$3:$F$32,2,FALSE),VLOOKUP(AC$1,test!$A$3:$F$32,2,FALSE))&lt;test!$K$16,$A8&lt;&gt;AC$1,feasible_mat!AC8=1),SUM(VLOOKUP($A8,test!$A$3:$F$32,2,FALSE),VLOOKUP(AC$1,test!$A$3:$F$32,2,FALSE)),0)</f>
        <v>0</v>
      </c>
      <c r="AD8">
        <f>IF(AND(SUM(VLOOKUP($A8,test!$A$3:$F$32,2,FALSE),VLOOKUP(AD$1,test!$A$3:$F$32,2,FALSE))&lt;test!$K$16,$A8&lt;&gt;AD$1,feasible_mat!AD8=1),SUM(VLOOKUP($A8,test!$A$3:$F$32,2,FALSE),VLOOKUP(AD$1,test!$A$3:$F$32,2,FALSE)),0)</f>
        <v>0</v>
      </c>
      <c r="AE8">
        <f>IF(AND(SUM(VLOOKUP($A8,test!$A$3:$F$32,2,FALSE),VLOOKUP(AE$1,test!$A$3:$F$32,2,FALSE))&lt;test!$K$16,$A8&lt;&gt;AE$1,feasible_mat!AE8=1),SUM(VLOOKUP($A8,test!$A$3:$F$32,2,FALSE),VLOOKUP(AE$1,test!$A$3:$F$32,2,FALSE)),0)</f>
        <v>0</v>
      </c>
      <c r="AF8">
        <f>IF(AND(SUM(VLOOKUP($A8,test!$A$3:$F$32,2,FALSE),VLOOKUP(AF$1,test!$A$3:$F$32,2,FALSE))&lt;test!$K$16,$A8&lt;&gt;AF$1,feasible_mat!AF8=1),SUM(VLOOKUP($A8,test!$A$3:$F$32,2,FALSE),VLOOKUP(AF$1,test!$A$3:$F$32,2,FALSE)),0)</f>
        <v>0</v>
      </c>
      <c r="AG8">
        <v>60</v>
      </c>
      <c r="AH8">
        <v>75</v>
      </c>
      <c r="AI8">
        <v>70</v>
      </c>
    </row>
    <row r="9" spans="1:35" x14ac:dyDescent="0.25">
      <c r="A9" t="s">
        <v>14</v>
      </c>
      <c r="B9">
        <v>0</v>
      </c>
      <c r="C9">
        <f>IF(AND(SUM(VLOOKUP($A9,test!$A$3:$F$32,2,FALSE),VLOOKUP(C$1,test!$A$3:$F$32,2,FALSE))&lt;test!$K$16,$A9&lt;&gt;C$1,feasible_mat!C9=1),SUM(VLOOKUP($A9,test!$A$3:$F$32,2,FALSE),VLOOKUP(C$1,test!$A$3:$F$32,2,FALSE)),0)</f>
        <v>0</v>
      </c>
      <c r="D9">
        <f>IF(AND(SUM(VLOOKUP($A9,test!$A$3:$F$32,2,FALSE),VLOOKUP(D$1,test!$A$3:$F$32,2,FALSE))&lt;test!$K$16,$A9&lt;&gt;D$1,feasible_mat!D9=1),SUM(VLOOKUP($A9,test!$A$3:$F$32,2,FALSE),VLOOKUP(D$1,test!$A$3:$F$32,2,FALSE)),0)</f>
        <v>0</v>
      </c>
      <c r="E9">
        <f>IF(AND(SUM(VLOOKUP($A9,test!$A$3:$F$32,2,FALSE),VLOOKUP(E$1,test!$A$3:$F$32,2,FALSE))&lt;test!$K$16,$A9&lt;&gt;E$1,feasible_mat!E9=1),SUM(VLOOKUP($A9,test!$A$3:$F$32,2,FALSE),VLOOKUP(E$1,test!$A$3:$F$32,2,FALSE)),0)</f>
        <v>0</v>
      </c>
      <c r="F9">
        <f>IF(AND(SUM(VLOOKUP($A9,test!$A$3:$F$32,2,FALSE),VLOOKUP(F$1,test!$A$3:$F$32,2,FALSE))&lt;test!$K$16,$A9&lt;&gt;F$1,feasible_mat!F9=1),SUM(VLOOKUP($A9,test!$A$3:$F$32,2,FALSE),VLOOKUP(F$1,test!$A$3:$F$32,2,FALSE)),0)</f>
        <v>0</v>
      </c>
      <c r="G9">
        <f>IF(AND(SUM(VLOOKUP($A9,test!$A$3:$F$32,2,FALSE),VLOOKUP(G$1,test!$A$3:$F$32,2,FALSE))&lt;test!$K$16,$A9&lt;&gt;G$1,feasible_mat!G9=1),SUM(VLOOKUP($A9,test!$A$3:$F$32,2,FALSE),VLOOKUP(G$1,test!$A$3:$F$32,2,FALSE)),0)</f>
        <v>0</v>
      </c>
      <c r="H9">
        <f>IF(AND(SUM(VLOOKUP($A9,test!$A$3:$F$32,2,FALSE),VLOOKUP(H$1,test!$A$3:$F$32,2,FALSE))&lt;test!$K$16,$A9&lt;&gt;H$1,feasible_mat!H9=1),SUM(VLOOKUP($A9,test!$A$3:$F$32,2,FALSE),VLOOKUP(H$1,test!$A$3:$F$32,2,FALSE)),0)</f>
        <v>0</v>
      </c>
      <c r="I9">
        <f>IF(AND(SUM(VLOOKUP($A9,test!$A$3:$F$32,2,FALSE),VLOOKUP(I$1,test!$A$3:$F$32,2,FALSE))&lt;test!$K$16,$A9&lt;&gt;I$1,feasible_mat!I9=1),SUM(VLOOKUP($A9,test!$A$3:$F$32,2,FALSE),VLOOKUP(I$1,test!$A$3:$F$32,2,FALSE)),0)</f>
        <v>0</v>
      </c>
      <c r="J9">
        <f>IF(AND(SUM(VLOOKUP($A9,test!$A$3:$F$32,2,FALSE),VLOOKUP(J$1,test!$A$3:$F$32,2,FALSE))&lt;test!$K$16,$A9&lt;&gt;J$1,feasible_mat!J9=1),SUM(VLOOKUP($A9,test!$A$3:$F$32,2,FALSE),VLOOKUP(J$1,test!$A$3:$F$32,2,FALSE)),0)</f>
        <v>0</v>
      </c>
      <c r="K9">
        <f>IF(AND(SUM(VLOOKUP($A9,test!$A$3:$F$32,2,FALSE),VLOOKUP(K$1,test!$A$3:$F$32,2,FALSE))&lt;test!$K$16,$A9&lt;&gt;K$1,feasible_mat!K9=1),SUM(VLOOKUP($A9,test!$A$3:$F$32,2,FALSE),VLOOKUP(K$1,test!$A$3:$F$32,2,FALSE)),0)</f>
        <v>0</v>
      </c>
      <c r="L9">
        <f>IF(AND(SUM(VLOOKUP($A9,test!$A$3:$F$32,2,FALSE),VLOOKUP(L$1,test!$A$3:$F$32,2,FALSE))&lt;test!$K$16,$A9&lt;&gt;L$1,feasible_mat!L9=1),SUM(VLOOKUP($A9,test!$A$3:$F$32,2,FALSE),VLOOKUP(L$1,test!$A$3:$F$32,2,FALSE)),0)</f>
        <v>0</v>
      </c>
      <c r="M9">
        <f>IF(AND(SUM(VLOOKUP($A9,test!$A$3:$F$32,2,FALSE),VLOOKUP(M$1,test!$A$3:$F$32,2,FALSE))&lt;test!$K$16,$A9&lt;&gt;M$1,feasible_mat!M9=1),SUM(VLOOKUP($A9,test!$A$3:$F$32,2,FALSE),VLOOKUP(M$1,test!$A$3:$F$32,2,FALSE)),0)</f>
        <v>0</v>
      </c>
      <c r="N9">
        <f>IF(AND(SUM(VLOOKUP($A9,test!$A$3:$F$32,2,FALSE),VLOOKUP(N$1,test!$A$3:$F$32,2,FALSE))&lt;test!$K$16,$A9&lt;&gt;N$1,feasible_mat!N9=1),SUM(VLOOKUP($A9,test!$A$3:$F$32,2,FALSE),VLOOKUP(N$1,test!$A$3:$F$32,2,FALSE)),0)</f>
        <v>0</v>
      </c>
      <c r="O9">
        <f>IF(AND(SUM(VLOOKUP($A9,test!$A$3:$F$32,2,FALSE),VLOOKUP(O$1,test!$A$3:$F$32,2,FALSE))&lt;test!$K$16,$A9&lt;&gt;O$1,feasible_mat!O9=1),SUM(VLOOKUP($A9,test!$A$3:$F$32,2,FALSE),VLOOKUP(O$1,test!$A$3:$F$32,2,FALSE)),0)</f>
        <v>0</v>
      </c>
      <c r="P9">
        <f>IF(AND(SUM(VLOOKUP($A9,test!$A$3:$F$32,2,FALSE),VLOOKUP(P$1,test!$A$3:$F$32,2,FALSE))&lt;test!$K$16,$A9&lt;&gt;P$1,feasible_mat!P9=1),SUM(VLOOKUP($A9,test!$A$3:$F$32,2,FALSE),VLOOKUP(P$1,test!$A$3:$F$32,2,FALSE)),0)</f>
        <v>0</v>
      </c>
      <c r="Q9">
        <f>IF(AND(SUM(VLOOKUP($A9,test!$A$3:$F$32,2,FALSE),VLOOKUP(Q$1,test!$A$3:$F$32,2,FALSE))&lt;test!$K$16,$A9&lt;&gt;Q$1,feasible_mat!Q9=1),SUM(VLOOKUP($A9,test!$A$3:$F$32,2,FALSE),VLOOKUP(Q$1,test!$A$3:$F$32,2,FALSE)),0)</f>
        <v>0</v>
      </c>
      <c r="R9">
        <f>IF(AND(SUM(VLOOKUP($A9,test!$A$3:$F$32,2,FALSE),VLOOKUP(R$1,test!$A$3:$F$32,2,FALSE))&lt;test!$K$16,$A9&lt;&gt;R$1,feasible_mat!R9=1),SUM(VLOOKUP($A9,test!$A$3:$F$32,2,FALSE),VLOOKUP(R$1,test!$A$3:$F$32,2,FALSE)),0)</f>
        <v>0</v>
      </c>
      <c r="S9">
        <f>IF(AND(SUM(VLOOKUP($A9,test!$A$3:$F$32,2,FALSE),VLOOKUP(S$1,test!$A$3:$F$32,2,FALSE))&lt;test!$K$16,$A9&lt;&gt;S$1,feasible_mat!S9=1),SUM(VLOOKUP($A9,test!$A$3:$F$32,2,FALSE),VLOOKUP(S$1,test!$A$3:$F$32,2,FALSE)),0)</f>
        <v>0</v>
      </c>
      <c r="T9">
        <f>IF(AND(SUM(VLOOKUP($A9,test!$A$3:$F$32,2,FALSE),VLOOKUP(T$1,test!$A$3:$F$32,2,FALSE))&lt;test!$K$16,$A9&lt;&gt;T$1,feasible_mat!T9=1),SUM(VLOOKUP($A9,test!$A$3:$F$32,2,FALSE),VLOOKUP(T$1,test!$A$3:$F$32,2,FALSE)),0)</f>
        <v>0</v>
      </c>
      <c r="U9">
        <f>IF(AND(SUM(VLOOKUP($A9,test!$A$3:$F$32,2,FALSE),VLOOKUP(U$1,test!$A$3:$F$32,2,FALSE))&lt;test!$K$16,$A9&lt;&gt;U$1,feasible_mat!U9=1),SUM(VLOOKUP($A9,test!$A$3:$F$32,2,FALSE),VLOOKUP(U$1,test!$A$3:$F$32,2,FALSE)),0)</f>
        <v>0</v>
      </c>
      <c r="V9">
        <f>IF(AND(SUM(VLOOKUP($A9,test!$A$3:$F$32,2,FALSE),VLOOKUP(V$1,test!$A$3:$F$32,2,FALSE))&lt;test!$K$16,$A9&lt;&gt;V$1,feasible_mat!V9=1),SUM(VLOOKUP($A9,test!$A$3:$F$32,2,FALSE),VLOOKUP(V$1,test!$A$3:$F$32,2,FALSE)),0)</f>
        <v>0</v>
      </c>
      <c r="W9">
        <f>IF(AND(SUM(VLOOKUP($A9,test!$A$3:$F$32,2,FALSE),VLOOKUP(W$1,test!$A$3:$F$32,2,FALSE))&lt;test!$K$16,$A9&lt;&gt;W$1,feasible_mat!W9=1),SUM(VLOOKUP($A9,test!$A$3:$F$32,2,FALSE),VLOOKUP(W$1,test!$A$3:$F$32,2,FALSE)),0)</f>
        <v>0</v>
      </c>
      <c r="X9">
        <f>IF(AND(SUM(VLOOKUP($A9,test!$A$3:$F$32,2,FALSE),VLOOKUP(X$1,test!$A$3:$F$32,2,FALSE))&lt;test!$K$16,$A9&lt;&gt;X$1,feasible_mat!X9=1),SUM(VLOOKUP($A9,test!$A$3:$F$32,2,FALSE),VLOOKUP(X$1,test!$A$3:$F$32,2,FALSE)),0)</f>
        <v>0</v>
      </c>
      <c r="Y9">
        <f>IF(AND(SUM(VLOOKUP($A9,test!$A$3:$F$32,2,FALSE),VLOOKUP(Y$1,test!$A$3:$F$32,2,FALSE))&lt;test!$K$16,$A9&lt;&gt;Y$1,feasible_mat!Y9=1),SUM(VLOOKUP($A9,test!$A$3:$F$32,2,FALSE),VLOOKUP(Y$1,test!$A$3:$F$32,2,FALSE)),0)</f>
        <v>0</v>
      </c>
      <c r="Z9">
        <f>IF(AND(SUM(VLOOKUP($A9,test!$A$3:$F$32,2,FALSE),VLOOKUP(Z$1,test!$A$3:$F$32,2,FALSE))&lt;test!$K$16,$A9&lt;&gt;Z$1,feasible_mat!Z9=1),SUM(VLOOKUP($A9,test!$A$3:$F$32,2,FALSE),VLOOKUP(Z$1,test!$A$3:$F$32,2,FALSE)),0)</f>
        <v>0</v>
      </c>
      <c r="AA9">
        <f>IF(AND(SUM(VLOOKUP($A9,test!$A$3:$F$32,2,FALSE),VLOOKUP(AA$1,test!$A$3:$F$32,2,FALSE))&lt;test!$K$16,$A9&lt;&gt;AA$1,feasible_mat!AA9=1),SUM(VLOOKUP($A9,test!$A$3:$F$32,2,FALSE),VLOOKUP(AA$1,test!$A$3:$F$32,2,FALSE)),0)</f>
        <v>0</v>
      </c>
      <c r="AB9">
        <f>IF(AND(SUM(VLOOKUP($A9,test!$A$3:$F$32,2,FALSE),VLOOKUP(AB$1,test!$A$3:$F$32,2,FALSE))&lt;test!$K$16,$A9&lt;&gt;AB$1,feasible_mat!AB9=1),SUM(VLOOKUP($A9,test!$A$3:$F$32,2,FALSE),VLOOKUP(AB$1,test!$A$3:$F$32,2,FALSE)),0)</f>
        <v>0</v>
      </c>
      <c r="AC9">
        <f>IF(AND(SUM(VLOOKUP($A9,test!$A$3:$F$32,2,FALSE),VLOOKUP(AC$1,test!$A$3:$F$32,2,FALSE))&lt;test!$K$16,$A9&lt;&gt;AC$1,feasible_mat!AC9=1),SUM(VLOOKUP($A9,test!$A$3:$F$32,2,FALSE),VLOOKUP(AC$1,test!$A$3:$F$32,2,FALSE)),0)</f>
        <v>0</v>
      </c>
      <c r="AD9">
        <f>IF(AND(SUM(VLOOKUP($A9,test!$A$3:$F$32,2,FALSE),VLOOKUP(AD$1,test!$A$3:$F$32,2,FALSE))&lt;test!$K$16,$A9&lt;&gt;AD$1,feasible_mat!AD9=1),SUM(VLOOKUP($A9,test!$A$3:$F$32,2,FALSE),VLOOKUP(AD$1,test!$A$3:$F$32,2,FALSE)),0)</f>
        <v>0</v>
      </c>
      <c r="AE9">
        <f>IF(AND(SUM(VLOOKUP($A9,test!$A$3:$F$32,2,FALSE),VLOOKUP(AE$1,test!$A$3:$F$32,2,FALSE))&lt;test!$K$16,$A9&lt;&gt;AE$1,feasible_mat!AE9=1),SUM(VLOOKUP($A9,test!$A$3:$F$32,2,FALSE),VLOOKUP(AE$1,test!$A$3:$F$32,2,FALSE)),0)</f>
        <v>0</v>
      </c>
      <c r="AF9">
        <f>IF(AND(SUM(VLOOKUP($A9,test!$A$3:$F$32,2,FALSE),VLOOKUP(AF$1,test!$A$3:$F$32,2,FALSE))&lt;test!$K$16,$A9&lt;&gt;AF$1,feasible_mat!AF9=1),SUM(VLOOKUP($A9,test!$A$3:$F$32,2,FALSE),VLOOKUP(AF$1,test!$A$3:$F$32,2,FALSE)),0)</f>
        <v>0</v>
      </c>
      <c r="AG9">
        <v>60</v>
      </c>
      <c r="AH9">
        <v>75</v>
      </c>
      <c r="AI9">
        <v>70</v>
      </c>
    </row>
    <row r="10" spans="1:35" x14ac:dyDescent="0.25">
      <c r="A10" t="s">
        <v>15</v>
      </c>
      <c r="B10">
        <v>0</v>
      </c>
      <c r="C10">
        <f>IF(AND(SUM(VLOOKUP($A10,test!$A$3:$F$32,2,FALSE),VLOOKUP(C$1,test!$A$3:$F$32,2,FALSE))&lt;test!$K$16,$A10&lt;&gt;C$1,feasible_mat!C10=1),SUM(VLOOKUP($A10,test!$A$3:$F$32,2,FALSE),VLOOKUP(C$1,test!$A$3:$F$32,2,FALSE)),0)</f>
        <v>0</v>
      </c>
      <c r="D10">
        <f>IF(AND(SUM(VLOOKUP($A10,test!$A$3:$F$32,2,FALSE),VLOOKUP(D$1,test!$A$3:$F$32,2,FALSE))&lt;test!$K$16,$A10&lt;&gt;D$1,feasible_mat!D10=1),SUM(VLOOKUP($A10,test!$A$3:$F$32,2,FALSE),VLOOKUP(D$1,test!$A$3:$F$32,2,FALSE)),0)</f>
        <v>0</v>
      </c>
      <c r="E10">
        <f>IF(AND(SUM(VLOOKUP($A10,test!$A$3:$F$32,2,FALSE),VLOOKUP(E$1,test!$A$3:$F$32,2,FALSE))&lt;test!$K$16,$A10&lt;&gt;E$1,feasible_mat!E10=1),SUM(VLOOKUP($A10,test!$A$3:$F$32,2,FALSE),VLOOKUP(E$1,test!$A$3:$F$32,2,FALSE)),0)</f>
        <v>0</v>
      </c>
      <c r="F10">
        <f>IF(AND(SUM(VLOOKUP($A10,test!$A$3:$F$32,2,FALSE),VLOOKUP(F$1,test!$A$3:$F$32,2,FALSE))&lt;test!$K$16,$A10&lt;&gt;F$1,feasible_mat!F10=1),SUM(VLOOKUP($A10,test!$A$3:$F$32,2,FALSE),VLOOKUP(F$1,test!$A$3:$F$32,2,FALSE)),0)</f>
        <v>0</v>
      </c>
      <c r="G10">
        <f>IF(AND(SUM(VLOOKUP($A10,test!$A$3:$F$32,2,FALSE),VLOOKUP(G$1,test!$A$3:$F$32,2,FALSE))&lt;test!$K$16,$A10&lt;&gt;G$1,feasible_mat!G10=1),SUM(VLOOKUP($A10,test!$A$3:$F$32,2,FALSE),VLOOKUP(G$1,test!$A$3:$F$32,2,FALSE)),0)</f>
        <v>0</v>
      </c>
      <c r="H10">
        <f>IF(AND(SUM(VLOOKUP($A10,test!$A$3:$F$32,2,FALSE),VLOOKUP(H$1,test!$A$3:$F$32,2,FALSE))&lt;test!$K$16,$A10&lt;&gt;H$1,feasible_mat!H10=1),SUM(VLOOKUP($A10,test!$A$3:$F$32,2,FALSE),VLOOKUP(H$1,test!$A$3:$F$32,2,FALSE)),0)</f>
        <v>0</v>
      </c>
      <c r="I10">
        <f>IF(AND(SUM(VLOOKUP($A10,test!$A$3:$F$32,2,FALSE),VLOOKUP(I$1,test!$A$3:$F$32,2,FALSE))&lt;test!$K$16,$A10&lt;&gt;I$1,feasible_mat!I10=1),SUM(VLOOKUP($A10,test!$A$3:$F$32,2,FALSE),VLOOKUP(I$1,test!$A$3:$F$32,2,FALSE)),0)</f>
        <v>0</v>
      </c>
      <c r="J10">
        <f>IF(AND(SUM(VLOOKUP($A10,test!$A$3:$F$32,2,FALSE),VLOOKUP(J$1,test!$A$3:$F$32,2,FALSE))&lt;test!$K$16,$A10&lt;&gt;J$1,feasible_mat!J10=1),SUM(VLOOKUP($A10,test!$A$3:$F$32,2,FALSE),VLOOKUP(J$1,test!$A$3:$F$32,2,FALSE)),0)</f>
        <v>0</v>
      </c>
      <c r="K10">
        <f>IF(AND(SUM(VLOOKUP($A10,test!$A$3:$F$32,2,FALSE),VLOOKUP(K$1,test!$A$3:$F$32,2,FALSE))&lt;test!$K$16,$A10&lt;&gt;K$1,feasible_mat!K10=1),SUM(VLOOKUP($A10,test!$A$3:$F$32,2,FALSE),VLOOKUP(K$1,test!$A$3:$F$32,2,FALSE)),0)</f>
        <v>0</v>
      </c>
      <c r="L10">
        <f>IF(AND(SUM(VLOOKUP($A10,test!$A$3:$F$32,2,FALSE),VLOOKUP(L$1,test!$A$3:$F$32,2,FALSE))&lt;test!$K$16,$A10&lt;&gt;L$1,feasible_mat!L10=1),SUM(VLOOKUP($A10,test!$A$3:$F$32,2,FALSE),VLOOKUP(L$1,test!$A$3:$F$32,2,FALSE)),0)</f>
        <v>0</v>
      </c>
      <c r="M10">
        <f>IF(AND(SUM(VLOOKUP($A10,test!$A$3:$F$32,2,FALSE),VLOOKUP(M$1,test!$A$3:$F$32,2,FALSE))&lt;test!$K$16,$A10&lt;&gt;M$1,feasible_mat!M10=1),SUM(VLOOKUP($A10,test!$A$3:$F$32,2,FALSE),VLOOKUP(M$1,test!$A$3:$F$32,2,FALSE)),0)</f>
        <v>0</v>
      </c>
      <c r="N10">
        <f>IF(AND(SUM(VLOOKUP($A10,test!$A$3:$F$32,2,FALSE),VLOOKUP(N$1,test!$A$3:$F$32,2,FALSE))&lt;test!$K$16,$A10&lt;&gt;N$1,feasible_mat!N10=1),SUM(VLOOKUP($A10,test!$A$3:$F$32,2,FALSE),VLOOKUP(N$1,test!$A$3:$F$32,2,FALSE)),0)</f>
        <v>0</v>
      </c>
      <c r="O10">
        <f>IF(AND(SUM(VLOOKUP($A10,test!$A$3:$F$32,2,FALSE),VLOOKUP(O$1,test!$A$3:$F$32,2,FALSE))&lt;test!$K$16,$A10&lt;&gt;O$1,feasible_mat!O10=1),SUM(VLOOKUP($A10,test!$A$3:$F$32,2,FALSE),VLOOKUP(O$1,test!$A$3:$F$32,2,FALSE)),0)</f>
        <v>0</v>
      </c>
      <c r="P10">
        <f>IF(AND(SUM(VLOOKUP($A10,test!$A$3:$F$32,2,FALSE),VLOOKUP(P$1,test!$A$3:$F$32,2,FALSE))&lt;test!$K$16,$A10&lt;&gt;P$1,feasible_mat!P10=1),SUM(VLOOKUP($A10,test!$A$3:$F$32,2,FALSE),VLOOKUP(P$1,test!$A$3:$F$32,2,FALSE)),0)</f>
        <v>0</v>
      </c>
      <c r="Q10">
        <f>IF(AND(SUM(VLOOKUP($A10,test!$A$3:$F$32,2,FALSE),VLOOKUP(Q$1,test!$A$3:$F$32,2,FALSE))&lt;test!$K$16,$A10&lt;&gt;Q$1,feasible_mat!Q10=1),SUM(VLOOKUP($A10,test!$A$3:$F$32,2,FALSE),VLOOKUP(Q$1,test!$A$3:$F$32,2,FALSE)),0)</f>
        <v>0</v>
      </c>
      <c r="R10">
        <f>IF(AND(SUM(VLOOKUP($A10,test!$A$3:$F$32,2,FALSE),VLOOKUP(R$1,test!$A$3:$F$32,2,FALSE))&lt;test!$K$16,$A10&lt;&gt;R$1,feasible_mat!R10=1),SUM(VLOOKUP($A10,test!$A$3:$F$32,2,FALSE),VLOOKUP(R$1,test!$A$3:$F$32,2,FALSE)),0)</f>
        <v>0</v>
      </c>
      <c r="S10">
        <f>IF(AND(SUM(VLOOKUP($A10,test!$A$3:$F$32,2,FALSE),VLOOKUP(S$1,test!$A$3:$F$32,2,FALSE))&lt;test!$K$16,$A10&lt;&gt;S$1,feasible_mat!S10=1),SUM(VLOOKUP($A10,test!$A$3:$F$32,2,FALSE),VLOOKUP(S$1,test!$A$3:$F$32,2,FALSE)),0)</f>
        <v>0</v>
      </c>
      <c r="T10">
        <f>IF(AND(SUM(VLOOKUP($A10,test!$A$3:$F$32,2,FALSE),VLOOKUP(T$1,test!$A$3:$F$32,2,FALSE))&lt;test!$K$16,$A10&lt;&gt;T$1,feasible_mat!T10=1),SUM(VLOOKUP($A10,test!$A$3:$F$32,2,FALSE),VLOOKUP(T$1,test!$A$3:$F$32,2,FALSE)),0)</f>
        <v>0</v>
      </c>
      <c r="U10">
        <f>IF(AND(SUM(VLOOKUP($A10,test!$A$3:$F$32,2,FALSE),VLOOKUP(U$1,test!$A$3:$F$32,2,FALSE))&lt;test!$K$16,$A10&lt;&gt;U$1,feasible_mat!U10=1),SUM(VLOOKUP($A10,test!$A$3:$F$32,2,FALSE),VLOOKUP(U$1,test!$A$3:$F$32,2,FALSE)),0)</f>
        <v>0</v>
      </c>
      <c r="V10">
        <f>IF(AND(SUM(VLOOKUP($A10,test!$A$3:$F$32,2,FALSE),VLOOKUP(V$1,test!$A$3:$F$32,2,FALSE))&lt;test!$K$16,$A10&lt;&gt;V$1,feasible_mat!V10=1),SUM(VLOOKUP($A10,test!$A$3:$F$32,2,FALSE),VLOOKUP(V$1,test!$A$3:$F$32,2,FALSE)),0)</f>
        <v>0</v>
      </c>
      <c r="W10">
        <f>IF(AND(SUM(VLOOKUP($A10,test!$A$3:$F$32,2,FALSE),VLOOKUP(W$1,test!$A$3:$F$32,2,FALSE))&lt;test!$K$16,$A10&lt;&gt;W$1,feasible_mat!W10=1),SUM(VLOOKUP($A10,test!$A$3:$F$32,2,FALSE),VLOOKUP(W$1,test!$A$3:$F$32,2,FALSE)),0)</f>
        <v>0</v>
      </c>
      <c r="X10">
        <f>IF(AND(SUM(VLOOKUP($A10,test!$A$3:$F$32,2,FALSE),VLOOKUP(X$1,test!$A$3:$F$32,2,FALSE))&lt;test!$K$16,$A10&lt;&gt;X$1,feasible_mat!X10=1),SUM(VLOOKUP($A10,test!$A$3:$F$32,2,FALSE),VLOOKUP(X$1,test!$A$3:$F$32,2,FALSE)),0)</f>
        <v>0</v>
      </c>
      <c r="Y10">
        <f>IF(AND(SUM(VLOOKUP($A10,test!$A$3:$F$32,2,FALSE),VLOOKUP(Y$1,test!$A$3:$F$32,2,FALSE))&lt;test!$K$16,$A10&lt;&gt;Y$1,feasible_mat!Y10=1),SUM(VLOOKUP($A10,test!$A$3:$F$32,2,FALSE),VLOOKUP(Y$1,test!$A$3:$F$32,2,FALSE)),0)</f>
        <v>0</v>
      </c>
      <c r="Z10">
        <f>IF(AND(SUM(VLOOKUP($A10,test!$A$3:$F$32,2,FALSE),VLOOKUP(Z$1,test!$A$3:$F$32,2,FALSE))&lt;test!$K$16,$A10&lt;&gt;Z$1,feasible_mat!Z10=1),SUM(VLOOKUP($A10,test!$A$3:$F$32,2,FALSE),VLOOKUP(Z$1,test!$A$3:$F$32,2,FALSE)),0)</f>
        <v>0</v>
      </c>
      <c r="AA10">
        <f>IF(AND(SUM(VLOOKUP($A10,test!$A$3:$F$32,2,FALSE),VLOOKUP(AA$1,test!$A$3:$F$32,2,FALSE))&lt;test!$K$16,$A10&lt;&gt;AA$1,feasible_mat!AA10=1),SUM(VLOOKUP($A10,test!$A$3:$F$32,2,FALSE),VLOOKUP(AA$1,test!$A$3:$F$32,2,FALSE)),0)</f>
        <v>0</v>
      </c>
      <c r="AB10">
        <f>IF(AND(SUM(VLOOKUP($A10,test!$A$3:$F$32,2,FALSE),VLOOKUP(AB$1,test!$A$3:$F$32,2,FALSE))&lt;test!$K$16,$A10&lt;&gt;AB$1,feasible_mat!AB10=1),SUM(VLOOKUP($A10,test!$A$3:$F$32,2,FALSE),VLOOKUP(AB$1,test!$A$3:$F$32,2,FALSE)),0)</f>
        <v>0</v>
      </c>
      <c r="AC10">
        <f>IF(AND(SUM(VLOOKUP($A10,test!$A$3:$F$32,2,FALSE),VLOOKUP(AC$1,test!$A$3:$F$32,2,FALSE))&lt;test!$K$16,$A10&lt;&gt;AC$1,feasible_mat!AC10=1),SUM(VLOOKUP($A10,test!$A$3:$F$32,2,FALSE),VLOOKUP(AC$1,test!$A$3:$F$32,2,FALSE)),0)</f>
        <v>0</v>
      </c>
      <c r="AD10">
        <f>IF(AND(SUM(VLOOKUP($A10,test!$A$3:$F$32,2,FALSE),VLOOKUP(AD$1,test!$A$3:$F$32,2,FALSE))&lt;test!$K$16,$A10&lt;&gt;AD$1,feasible_mat!AD10=1),SUM(VLOOKUP($A10,test!$A$3:$F$32,2,FALSE),VLOOKUP(AD$1,test!$A$3:$F$32,2,FALSE)),0)</f>
        <v>0</v>
      </c>
      <c r="AE10">
        <f>IF(AND(SUM(VLOOKUP($A10,test!$A$3:$F$32,2,FALSE),VLOOKUP(AE$1,test!$A$3:$F$32,2,FALSE))&lt;test!$K$16,$A10&lt;&gt;AE$1,feasible_mat!AE10=1),SUM(VLOOKUP($A10,test!$A$3:$F$32,2,FALSE),VLOOKUP(AE$1,test!$A$3:$F$32,2,FALSE)),0)</f>
        <v>0</v>
      </c>
      <c r="AF10">
        <f>IF(AND(SUM(VLOOKUP($A10,test!$A$3:$F$32,2,FALSE),VLOOKUP(AF$1,test!$A$3:$F$32,2,FALSE))&lt;test!$K$16,$A10&lt;&gt;AF$1,feasible_mat!AF10=1),SUM(VLOOKUP($A10,test!$A$3:$F$32,2,FALSE),VLOOKUP(AF$1,test!$A$3:$F$32,2,FALSE)),0)</f>
        <v>0</v>
      </c>
      <c r="AG10">
        <v>60</v>
      </c>
      <c r="AH10">
        <v>75</v>
      </c>
      <c r="AI10">
        <v>70</v>
      </c>
    </row>
    <row r="11" spans="1:35" x14ac:dyDescent="0.25">
      <c r="A11" t="s">
        <v>18</v>
      </c>
      <c r="B11">
        <v>0</v>
      </c>
      <c r="C11">
        <f>IF(AND(SUM(VLOOKUP($A11,test!$A$3:$F$32,2,FALSE),VLOOKUP(C$1,test!$A$3:$F$32,2,FALSE))&lt;test!$K$16,$A11&lt;&gt;C$1,feasible_mat!C11=1),SUM(VLOOKUP($A11,test!$A$3:$F$32,2,FALSE),VLOOKUP(C$1,test!$A$3:$F$32,2,FALSE)),0)</f>
        <v>0</v>
      </c>
      <c r="D11">
        <f>IF(AND(SUM(VLOOKUP($A11,test!$A$3:$F$32,2,FALSE),VLOOKUP(D$1,test!$A$3:$F$32,2,FALSE))&lt;test!$K$16,$A11&lt;&gt;D$1,feasible_mat!D11=1),SUM(VLOOKUP($A11,test!$A$3:$F$32,2,FALSE),VLOOKUP(D$1,test!$A$3:$F$32,2,FALSE)),0)</f>
        <v>0</v>
      </c>
      <c r="E11">
        <f>IF(AND(SUM(VLOOKUP($A11,test!$A$3:$F$32,2,FALSE),VLOOKUP(E$1,test!$A$3:$F$32,2,FALSE))&lt;test!$K$16,$A11&lt;&gt;E$1,feasible_mat!E11=1),SUM(VLOOKUP($A11,test!$A$3:$F$32,2,FALSE),VLOOKUP(E$1,test!$A$3:$F$32,2,FALSE)),0)</f>
        <v>0</v>
      </c>
      <c r="F11">
        <f>IF(AND(SUM(VLOOKUP($A11,test!$A$3:$F$32,2,FALSE),VLOOKUP(F$1,test!$A$3:$F$32,2,FALSE))&lt;test!$K$16,$A11&lt;&gt;F$1,feasible_mat!F11=1),SUM(VLOOKUP($A11,test!$A$3:$F$32,2,FALSE),VLOOKUP(F$1,test!$A$3:$F$32,2,FALSE)),0)</f>
        <v>0</v>
      </c>
      <c r="G11">
        <f>IF(AND(SUM(VLOOKUP($A11,test!$A$3:$F$32,2,FALSE),VLOOKUP(G$1,test!$A$3:$F$32,2,FALSE))&lt;test!$K$16,$A11&lt;&gt;G$1,feasible_mat!G11=1),SUM(VLOOKUP($A11,test!$A$3:$F$32,2,FALSE),VLOOKUP(G$1,test!$A$3:$F$32,2,FALSE)),0)</f>
        <v>0</v>
      </c>
      <c r="H11">
        <f>IF(AND(SUM(VLOOKUP($A11,test!$A$3:$F$32,2,FALSE),VLOOKUP(H$1,test!$A$3:$F$32,2,FALSE))&lt;test!$K$16,$A11&lt;&gt;H$1,feasible_mat!H11=1),SUM(VLOOKUP($A11,test!$A$3:$F$32,2,FALSE),VLOOKUP(H$1,test!$A$3:$F$32,2,FALSE)),0)</f>
        <v>0</v>
      </c>
      <c r="I11">
        <f>IF(AND(SUM(VLOOKUP($A11,test!$A$3:$F$32,2,FALSE),VLOOKUP(I$1,test!$A$3:$F$32,2,FALSE))&lt;test!$K$16,$A11&lt;&gt;I$1,feasible_mat!I11=1),SUM(VLOOKUP($A11,test!$A$3:$F$32,2,FALSE),VLOOKUP(I$1,test!$A$3:$F$32,2,FALSE)),0)</f>
        <v>0</v>
      </c>
      <c r="J11">
        <f>IF(AND(SUM(VLOOKUP($A11,test!$A$3:$F$32,2,FALSE),VLOOKUP(J$1,test!$A$3:$F$32,2,FALSE))&lt;test!$K$16,$A11&lt;&gt;J$1,feasible_mat!J11=1),SUM(VLOOKUP($A11,test!$A$3:$F$32,2,FALSE),VLOOKUP(J$1,test!$A$3:$F$32,2,FALSE)),0)</f>
        <v>0</v>
      </c>
      <c r="K11">
        <f>IF(AND(SUM(VLOOKUP($A11,test!$A$3:$F$32,2,FALSE),VLOOKUP(K$1,test!$A$3:$F$32,2,FALSE))&lt;test!$K$16,$A11&lt;&gt;K$1,feasible_mat!K11=1),SUM(VLOOKUP($A11,test!$A$3:$F$32,2,FALSE),VLOOKUP(K$1,test!$A$3:$F$32,2,FALSE)),0)</f>
        <v>0</v>
      </c>
      <c r="L11">
        <f>IF(AND(SUM(VLOOKUP($A11,test!$A$3:$F$32,2,FALSE),VLOOKUP(L$1,test!$A$3:$F$32,2,FALSE))&lt;test!$K$16,$A11&lt;&gt;L$1,feasible_mat!L11=1),SUM(VLOOKUP($A11,test!$A$3:$F$32,2,FALSE),VLOOKUP(L$1,test!$A$3:$F$32,2,FALSE)),0)</f>
        <v>0</v>
      </c>
      <c r="M11">
        <f>IF(AND(SUM(VLOOKUP($A11,test!$A$3:$F$32,2,FALSE),VLOOKUP(M$1,test!$A$3:$F$32,2,FALSE))&lt;test!$K$16,$A11&lt;&gt;M$1,feasible_mat!M11=1),SUM(VLOOKUP($A11,test!$A$3:$F$32,2,FALSE),VLOOKUP(M$1,test!$A$3:$F$32,2,FALSE)),0)</f>
        <v>0</v>
      </c>
      <c r="N11">
        <f>IF(AND(SUM(VLOOKUP($A11,test!$A$3:$F$32,2,FALSE),VLOOKUP(N$1,test!$A$3:$F$32,2,FALSE))&lt;test!$K$16,$A11&lt;&gt;N$1,feasible_mat!N11=1),SUM(VLOOKUP($A11,test!$A$3:$F$32,2,FALSE),VLOOKUP(N$1,test!$A$3:$F$32,2,FALSE)),0)</f>
        <v>0</v>
      </c>
      <c r="O11">
        <f>IF(AND(SUM(VLOOKUP($A11,test!$A$3:$F$32,2,FALSE),VLOOKUP(O$1,test!$A$3:$F$32,2,FALSE))&lt;test!$K$16,$A11&lt;&gt;O$1,feasible_mat!O11=1),SUM(VLOOKUP($A11,test!$A$3:$F$32,2,FALSE),VLOOKUP(O$1,test!$A$3:$F$32,2,FALSE)),0)</f>
        <v>0</v>
      </c>
      <c r="P11">
        <f>IF(AND(SUM(VLOOKUP($A11,test!$A$3:$F$32,2,FALSE),VLOOKUP(P$1,test!$A$3:$F$32,2,FALSE))&lt;test!$K$16,$A11&lt;&gt;P$1,feasible_mat!P11=1),SUM(VLOOKUP($A11,test!$A$3:$F$32,2,FALSE),VLOOKUP(P$1,test!$A$3:$F$32,2,FALSE)),0)</f>
        <v>0</v>
      </c>
      <c r="Q11">
        <f>IF(AND(SUM(VLOOKUP($A11,test!$A$3:$F$32,2,FALSE),VLOOKUP(Q$1,test!$A$3:$F$32,2,FALSE))&lt;test!$K$16,$A11&lt;&gt;Q$1,feasible_mat!Q11=1),SUM(VLOOKUP($A11,test!$A$3:$F$32,2,FALSE),VLOOKUP(Q$1,test!$A$3:$F$32,2,FALSE)),0)</f>
        <v>0</v>
      </c>
      <c r="R11">
        <f>IF(AND(SUM(VLOOKUP($A11,test!$A$3:$F$32,2,FALSE),VLOOKUP(R$1,test!$A$3:$F$32,2,FALSE))&lt;test!$K$16,$A11&lt;&gt;R$1,feasible_mat!R11=1),SUM(VLOOKUP($A11,test!$A$3:$F$32,2,FALSE),VLOOKUP(R$1,test!$A$3:$F$32,2,FALSE)),0)</f>
        <v>0</v>
      </c>
      <c r="S11">
        <f>IF(AND(SUM(VLOOKUP($A11,test!$A$3:$F$32,2,FALSE),VLOOKUP(S$1,test!$A$3:$F$32,2,FALSE))&lt;test!$K$16,$A11&lt;&gt;S$1,feasible_mat!S11=1),SUM(VLOOKUP($A11,test!$A$3:$F$32,2,FALSE),VLOOKUP(S$1,test!$A$3:$F$32,2,FALSE)),0)</f>
        <v>0</v>
      </c>
      <c r="T11">
        <f>IF(AND(SUM(VLOOKUP($A11,test!$A$3:$F$32,2,FALSE),VLOOKUP(T$1,test!$A$3:$F$32,2,FALSE))&lt;test!$K$16,$A11&lt;&gt;T$1,feasible_mat!T11=1),SUM(VLOOKUP($A11,test!$A$3:$F$32,2,FALSE),VLOOKUP(T$1,test!$A$3:$F$32,2,FALSE)),0)</f>
        <v>0</v>
      </c>
      <c r="U11">
        <f>IF(AND(SUM(VLOOKUP($A11,test!$A$3:$F$32,2,FALSE),VLOOKUP(U$1,test!$A$3:$F$32,2,FALSE))&lt;test!$K$16,$A11&lt;&gt;U$1,feasible_mat!U11=1),SUM(VLOOKUP($A11,test!$A$3:$F$32,2,FALSE),VLOOKUP(U$1,test!$A$3:$F$32,2,FALSE)),0)</f>
        <v>0</v>
      </c>
      <c r="V11">
        <f>IF(AND(SUM(VLOOKUP($A11,test!$A$3:$F$32,2,FALSE),VLOOKUP(V$1,test!$A$3:$F$32,2,FALSE))&lt;test!$K$16,$A11&lt;&gt;V$1,feasible_mat!V11=1),SUM(VLOOKUP($A11,test!$A$3:$F$32,2,FALSE),VLOOKUP(V$1,test!$A$3:$F$32,2,FALSE)),0)</f>
        <v>0</v>
      </c>
      <c r="W11">
        <f>IF(AND(SUM(VLOOKUP($A11,test!$A$3:$F$32,2,FALSE),VLOOKUP(W$1,test!$A$3:$F$32,2,FALSE))&lt;test!$K$16,$A11&lt;&gt;W$1,feasible_mat!W11=1),SUM(VLOOKUP($A11,test!$A$3:$F$32,2,FALSE),VLOOKUP(W$1,test!$A$3:$F$32,2,FALSE)),0)</f>
        <v>0</v>
      </c>
      <c r="X11">
        <f>IF(AND(SUM(VLOOKUP($A11,test!$A$3:$F$32,2,FALSE),VLOOKUP(X$1,test!$A$3:$F$32,2,FALSE))&lt;test!$K$16,$A11&lt;&gt;X$1,feasible_mat!X11=1),SUM(VLOOKUP($A11,test!$A$3:$F$32,2,FALSE),VLOOKUP(X$1,test!$A$3:$F$32,2,FALSE)),0)</f>
        <v>0</v>
      </c>
      <c r="Y11">
        <f>IF(AND(SUM(VLOOKUP($A11,test!$A$3:$F$32,2,FALSE),VLOOKUP(Y$1,test!$A$3:$F$32,2,FALSE))&lt;test!$K$16,$A11&lt;&gt;Y$1,feasible_mat!Y11=1),SUM(VLOOKUP($A11,test!$A$3:$F$32,2,FALSE),VLOOKUP(Y$1,test!$A$3:$F$32,2,FALSE)),0)</f>
        <v>0</v>
      </c>
      <c r="Z11">
        <f>IF(AND(SUM(VLOOKUP($A11,test!$A$3:$F$32,2,FALSE),VLOOKUP(Z$1,test!$A$3:$F$32,2,FALSE))&lt;test!$K$16,$A11&lt;&gt;Z$1,feasible_mat!Z11=1),SUM(VLOOKUP($A11,test!$A$3:$F$32,2,FALSE),VLOOKUP(Z$1,test!$A$3:$F$32,2,FALSE)),0)</f>
        <v>280</v>
      </c>
      <c r="AA11">
        <f>IF(AND(SUM(VLOOKUP($A11,test!$A$3:$F$32,2,FALSE),VLOOKUP(AA$1,test!$A$3:$F$32,2,FALSE))&lt;test!$K$16,$A11&lt;&gt;AA$1,feasible_mat!AA11=1),SUM(VLOOKUP($A11,test!$A$3:$F$32,2,FALSE),VLOOKUP(AA$1,test!$A$3:$F$32,2,FALSE)),0)</f>
        <v>280</v>
      </c>
      <c r="AB11">
        <f>IF(AND(SUM(VLOOKUP($A11,test!$A$3:$F$32,2,FALSE),VLOOKUP(AB$1,test!$A$3:$F$32,2,FALSE))&lt;test!$K$16,$A11&lt;&gt;AB$1,feasible_mat!AB11=1),SUM(VLOOKUP($A11,test!$A$3:$F$32,2,FALSE),VLOOKUP(AB$1,test!$A$3:$F$32,2,FALSE)),0)</f>
        <v>280</v>
      </c>
      <c r="AC11">
        <f>IF(AND(SUM(VLOOKUP($A11,test!$A$3:$F$32,2,FALSE),VLOOKUP(AC$1,test!$A$3:$F$32,2,FALSE))&lt;test!$K$16,$A11&lt;&gt;AC$1,feasible_mat!AC11=1),SUM(VLOOKUP($A11,test!$A$3:$F$32,2,FALSE),VLOOKUP(AC$1,test!$A$3:$F$32,2,FALSE)),0)</f>
        <v>280</v>
      </c>
      <c r="AD11">
        <f>IF(AND(SUM(VLOOKUP($A11,test!$A$3:$F$32,2,FALSE),VLOOKUP(AD$1,test!$A$3:$F$32,2,FALSE))&lt;test!$K$16,$A11&lt;&gt;AD$1,feasible_mat!AD11=1),SUM(VLOOKUP($A11,test!$A$3:$F$32,2,FALSE),VLOOKUP(AD$1,test!$A$3:$F$32,2,FALSE)),0)</f>
        <v>0</v>
      </c>
      <c r="AE11">
        <f>IF(AND(SUM(VLOOKUP($A11,test!$A$3:$F$32,2,FALSE),VLOOKUP(AE$1,test!$A$3:$F$32,2,FALSE))&lt;test!$K$16,$A11&lt;&gt;AE$1,feasible_mat!AE11=1),SUM(VLOOKUP($A11,test!$A$3:$F$32,2,FALSE),VLOOKUP(AE$1,test!$A$3:$F$32,2,FALSE)),0)</f>
        <v>0</v>
      </c>
      <c r="AF11">
        <f>IF(AND(SUM(VLOOKUP($A11,test!$A$3:$F$32,2,FALSE),VLOOKUP(AF$1,test!$A$3:$F$32,2,FALSE))&lt;test!$K$16,$A11&lt;&gt;AF$1,feasible_mat!AF11=1),SUM(VLOOKUP($A11,test!$A$3:$F$32,2,FALSE),VLOOKUP(AF$1,test!$A$3:$F$32,2,FALSE)),0)</f>
        <v>0</v>
      </c>
      <c r="AG11">
        <v>60</v>
      </c>
      <c r="AH11">
        <v>75</v>
      </c>
      <c r="AI11">
        <v>70</v>
      </c>
    </row>
    <row r="12" spans="1:35" x14ac:dyDescent="0.25">
      <c r="A12" t="s">
        <v>20</v>
      </c>
      <c r="B12">
        <v>0</v>
      </c>
      <c r="C12">
        <f>IF(AND(SUM(VLOOKUP($A12,test!$A$3:$F$32,2,FALSE),VLOOKUP(C$1,test!$A$3:$F$32,2,FALSE))&lt;test!$K$16,$A12&lt;&gt;C$1,feasible_mat!C12=1),SUM(VLOOKUP($A12,test!$A$3:$F$32,2,FALSE),VLOOKUP(C$1,test!$A$3:$F$32,2,FALSE)),0)</f>
        <v>0</v>
      </c>
      <c r="D12">
        <f>IF(AND(SUM(VLOOKUP($A12,test!$A$3:$F$32,2,FALSE),VLOOKUP(D$1,test!$A$3:$F$32,2,FALSE))&lt;test!$K$16,$A12&lt;&gt;D$1,feasible_mat!D12=1),SUM(VLOOKUP($A12,test!$A$3:$F$32,2,FALSE),VLOOKUP(D$1,test!$A$3:$F$32,2,FALSE)),0)</f>
        <v>0</v>
      </c>
      <c r="E12">
        <f>IF(AND(SUM(VLOOKUP($A12,test!$A$3:$F$32,2,FALSE),VLOOKUP(E$1,test!$A$3:$F$32,2,FALSE))&lt;test!$K$16,$A12&lt;&gt;E$1,feasible_mat!E12=1),SUM(VLOOKUP($A12,test!$A$3:$F$32,2,FALSE),VLOOKUP(E$1,test!$A$3:$F$32,2,FALSE)),0)</f>
        <v>0</v>
      </c>
      <c r="F12">
        <f>IF(AND(SUM(VLOOKUP($A12,test!$A$3:$F$32,2,FALSE),VLOOKUP(F$1,test!$A$3:$F$32,2,FALSE))&lt;test!$K$16,$A12&lt;&gt;F$1,feasible_mat!F12=1),SUM(VLOOKUP($A12,test!$A$3:$F$32,2,FALSE),VLOOKUP(F$1,test!$A$3:$F$32,2,FALSE)),0)</f>
        <v>0</v>
      </c>
      <c r="G12">
        <f>IF(AND(SUM(VLOOKUP($A12,test!$A$3:$F$32,2,FALSE),VLOOKUP(G$1,test!$A$3:$F$32,2,FALSE))&lt;test!$K$16,$A12&lt;&gt;G$1,feasible_mat!G12=1),SUM(VLOOKUP($A12,test!$A$3:$F$32,2,FALSE),VLOOKUP(G$1,test!$A$3:$F$32,2,FALSE)),0)</f>
        <v>0</v>
      </c>
      <c r="H12">
        <f>IF(AND(SUM(VLOOKUP($A12,test!$A$3:$F$32,2,FALSE),VLOOKUP(H$1,test!$A$3:$F$32,2,FALSE))&lt;test!$K$16,$A12&lt;&gt;H$1,feasible_mat!H12=1),SUM(VLOOKUP($A12,test!$A$3:$F$32,2,FALSE),VLOOKUP(H$1,test!$A$3:$F$32,2,FALSE)),0)</f>
        <v>0</v>
      </c>
      <c r="I12">
        <f>IF(AND(SUM(VLOOKUP($A12,test!$A$3:$F$32,2,FALSE),VLOOKUP(I$1,test!$A$3:$F$32,2,FALSE))&lt;test!$K$16,$A12&lt;&gt;I$1,feasible_mat!I12=1),SUM(VLOOKUP($A12,test!$A$3:$F$32,2,FALSE),VLOOKUP(I$1,test!$A$3:$F$32,2,FALSE)),0)</f>
        <v>0</v>
      </c>
      <c r="J12">
        <f>IF(AND(SUM(VLOOKUP($A12,test!$A$3:$F$32,2,FALSE),VLOOKUP(J$1,test!$A$3:$F$32,2,FALSE))&lt;test!$K$16,$A12&lt;&gt;J$1,feasible_mat!J12=1),SUM(VLOOKUP($A12,test!$A$3:$F$32,2,FALSE),VLOOKUP(J$1,test!$A$3:$F$32,2,FALSE)),0)</f>
        <v>0</v>
      </c>
      <c r="K12">
        <f>IF(AND(SUM(VLOOKUP($A12,test!$A$3:$F$32,2,FALSE),VLOOKUP(K$1,test!$A$3:$F$32,2,FALSE))&lt;test!$K$16,$A12&lt;&gt;K$1,feasible_mat!K12=1),SUM(VLOOKUP($A12,test!$A$3:$F$32,2,FALSE),VLOOKUP(K$1,test!$A$3:$F$32,2,FALSE)),0)</f>
        <v>0</v>
      </c>
      <c r="L12">
        <f>IF(AND(SUM(VLOOKUP($A12,test!$A$3:$F$32,2,FALSE),VLOOKUP(L$1,test!$A$3:$F$32,2,FALSE))&lt;test!$K$16,$A12&lt;&gt;L$1,feasible_mat!L12=1),SUM(VLOOKUP($A12,test!$A$3:$F$32,2,FALSE),VLOOKUP(L$1,test!$A$3:$F$32,2,FALSE)),0)</f>
        <v>0</v>
      </c>
      <c r="M12">
        <f>IF(AND(SUM(VLOOKUP($A12,test!$A$3:$F$32,2,FALSE),VLOOKUP(M$1,test!$A$3:$F$32,2,FALSE))&lt;test!$K$16,$A12&lt;&gt;M$1,feasible_mat!M12=1),SUM(VLOOKUP($A12,test!$A$3:$F$32,2,FALSE),VLOOKUP(M$1,test!$A$3:$F$32,2,FALSE)),0)</f>
        <v>0</v>
      </c>
      <c r="N12">
        <f>IF(AND(SUM(VLOOKUP($A12,test!$A$3:$F$32,2,FALSE),VLOOKUP(N$1,test!$A$3:$F$32,2,FALSE))&lt;test!$K$16,$A12&lt;&gt;N$1,feasible_mat!N12=1),SUM(VLOOKUP($A12,test!$A$3:$F$32,2,FALSE),VLOOKUP(N$1,test!$A$3:$F$32,2,FALSE)),0)</f>
        <v>0</v>
      </c>
      <c r="O12">
        <f>IF(AND(SUM(VLOOKUP($A12,test!$A$3:$F$32,2,FALSE),VLOOKUP(O$1,test!$A$3:$F$32,2,FALSE))&lt;test!$K$16,$A12&lt;&gt;O$1,feasible_mat!O12=1),SUM(VLOOKUP($A12,test!$A$3:$F$32,2,FALSE),VLOOKUP(O$1,test!$A$3:$F$32,2,FALSE)),0)</f>
        <v>0</v>
      </c>
      <c r="P12">
        <f>IF(AND(SUM(VLOOKUP($A12,test!$A$3:$F$32,2,FALSE),VLOOKUP(P$1,test!$A$3:$F$32,2,FALSE))&lt;test!$K$16,$A12&lt;&gt;P$1,feasible_mat!P12=1),SUM(VLOOKUP($A12,test!$A$3:$F$32,2,FALSE),VLOOKUP(P$1,test!$A$3:$F$32,2,FALSE)),0)</f>
        <v>0</v>
      </c>
      <c r="Q12">
        <f>IF(AND(SUM(VLOOKUP($A12,test!$A$3:$F$32,2,FALSE),VLOOKUP(Q$1,test!$A$3:$F$32,2,FALSE))&lt;test!$K$16,$A12&lt;&gt;Q$1,feasible_mat!Q12=1),SUM(VLOOKUP($A12,test!$A$3:$F$32,2,FALSE),VLOOKUP(Q$1,test!$A$3:$F$32,2,FALSE)),0)</f>
        <v>0</v>
      </c>
      <c r="R12">
        <f>IF(AND(SUM(VLOOKUP($A12,test!$A$3:$F$32,2,FALSE),VLOOKUP(R$1,test!$A$3:$F$32,2,FALSE))&lt;test!$K$16,$A12&lt;&gt;R$1,feasible_mat!R12=1),SUM(VLOOKUP($A12,test!$A$3:$F$32,2,FALSE),VLOOKUP(R$1,test!$A$3:$F$32,2,FALSE)),0)</f>
        <v>0</v>
      </c>
      <c r="S12">
        <f>IF(AND(SUM(VLOOKUP($A12,test!$A$3:$F$32,2,FALSE),VLOOKUP(S$1,test!$A$3:$F$32,2,FALSE))&lt;test!$K$16,$A12&lt;&gt;S$1,feasible_mat!S12=1),SUM(VLOOKUP($A12,test!$A$3:$F$32,2,FALSE),VLOOKUP(S$1,test!$A$3:$F$32,2,FALSE)),0)</f>
        <v>0</v>
      </c>
      <c r="T12">
        <f>IF(AND(SUM(VLOOKUP($A12,test!$A$3:$F$32,2,FALSE),VLOOKUP(T$1,test!$A$3:$F$32,2,FALSE))&lt;test!$K$16,$A12&lt;&gt;T$1,feasible_mat!T12=1),SUM(VLOOKUP($A12,test!$A$3:$F$32,2,FALSE),VLOOKUP(T$1,test!$A$3:$F$32,2,FALSE)),0)</f>
        <v>0</v>
      </c>
      <c r="U12">
        <f>IF(AND(SUM(VLOOKUP($A12,test!$A$3:$F$32,2,FALSE),VLOOKUP(U$1,test!$A$3:$F$32,2,FALSE))&lt;test!$K$16,$A12&lt;&gt;U$1,feasible_mat!U12=1),SUM(VLOOKUP($A12,test!$A$3:$F$32,2,FALSE),VLOOKUP(U$1,test!$A$3:$F$32,2,FALSE)),0)</f>
        <v>0</v>
      </c>
      <c r="V12">
        <f>IF(AND(SUM(VLOOKUP($A12,test!$A$3:$F$32,2,FALSE),VLOOKUP(V$1,test!$A$3:$F$32,2,FALSE))&lt;test!$K$16,$A12&lt;&gt;V$1,feasible_mat!V12=1),SUM(VLOOKUP($A12,test!$A$3:$F$32,2,FALSE),VLOOKUP(V$1,test!$A$3:$F$32,2,FALSE)),0)</f>
        <v>0</v>
      </c>
      <c r="W12">
        <f>IF(AND(SUM(VLOOKUP($A12,test!$A$3:$F$32,2,FALSE),VLOOKUP(W$1,test!$A$3:$F$32,2,FALSE))&lt;test!$K$16,$A12&lt;&gt;W$1,feasible_mat!W12=1),SUM(VLOOKUP($A12,test!$A$3:$F$32,2,FALSE),VLOOKUP(W$1,test!$A$3:$F$32,2,FALSE)),0)</f>
        <v>0</v>
      </c>
      <c r="X12">
        <f>IF(AND(SUM(VLOOKUP($A12,test!$A$3:$F$32,2,FALSE),VLOOKUP(X$1,test!$A$3:$F$32,2,FALSE))&lt;test!$K$16,$A12&lt;&gt;X$1,feasible_mat!X12=1),SUM(VLOOKUP($A12,test!$A$3:$F$32,2,FALSE),VLOOKUP(X$1,test!$A$3:$F$32,2,FALSE)),0)</f>
        <v>0</v>
      </c>
      <c r="Y12">
        <f>IF(AND(SUM(VLOOKUP($A12,test!$A$3:$F$32,2,FALSE),VLOOKUP(Y$1,test!$A$3:$F$32,2,FALSE))&lt;test!$K$16,$A12&lt;&gt;Y$1,feasible_mat!Y12=1),SUM(VLOOKUP($A12,test!$A$3:$F$32,2,FALSE),VLOOKUP(Y$1,test!$A$3:$F$32,2,FALSE)),0)</f>
        <v>0</v>
      </c>
      <c r="Z12">
        <f>IF(AND(SUM(VLOOKUP($A12,test!$A$3:$F$32,2,FALSE),VLOOKUP(Z$1,test!$A$3:$F$32,2,FALSE))&lt;test!$K$16,$A12&lt;&gt;Z$1,feasible_mat!Z12=1),SUM(VLOOKUP($A12,test!$A$3:$F$32,2,FALSE),VLOOKUP(Z$1,test!$A$3:$F$32,2,FALSE)),0)</f>
        <v>0</v>
      </c>
      <c r="AA12">
        <f>IF(AND(SUM(VLOOKUP($A12,test!$A$3:$F$32,2,FALSE),VLOOKUP(AA$1,test!$A$3:$F$32,2,FALSE))&lt;test!$K$16,$A12&lt;&gt;AA$1,feasible_mat!AA12=1),SUM(VLOOKUP($A12,test!$A$3:$F$32,2,FALSE),VLOOKUP(AA$1,test!$A$3:$F$32,2,FALSE)),0)</f>
        <v>280</v>
      </c>
      <c r="AB12">
        <f>IF(AND(SUM(VLOOKUP($A12,test!$A$3:$F$32,2,FALSE),VLOOKUP(AB$1,test!$A$3:$F$32,2,FALSE))&lt;test!$K$16,$A12&lt;&gt;AB$1,feasible_mat!AB12=1),SUM(VLOOKUP($A12,test!$A$3:$F$32,2,FALSE),VLOOKUP(AB$1,test!$A$3:$F$32,2,FALSE)),0)</f>
        <v>280</v>
      </c>
      <c r="AC12">
        <f>IF(AND(SUM(VLOOKUP($A12,test!$A$3:$F$32,2,FALSE),VLOOKUP(AC$1,test!$A$3:$F$32,2,FALSE))&lt;test!$K$16,$A12&lt;&gt;AC$1,feasible_mat!AC12=1),SUM(VLOOKUP($A12,test!$A$3:$F$32,2,FALSE),VLOOKUP(AC$1,test!$A$3:$F$32,2,FALSE)),0)</f>
        <v>280</v>
      </c>
      <c r="AD12">
        <f>IF(AND(SUM(VLOOKUP($A12,test!$A$3:$F$32,2,FALSE),VLOOKUP(AD$1,test!$A$3:$F$32,2,FALSE))&lt;test!$K$16,$A12&lt;&gt;AD$1,feasible_mat!AD12=1),SUM(VLOOKUP($A12,test!$A$3:$F$32,2,FALSE),VLOOKUP(AD$1,test!$A$3:$F$32,2,FALSE)),0)</f>
        <v>0</v>
      </c>
      <c r="AE12">
        <f>IF(AND(SUM(VLOOKUP($A12,test!$A$3:$F$32,2,FALSE),VLOOKUP(AE$1,test!$A$3:$F$32,2,FALSE))&lt;test!$K$16,$A12&lt;&gt;AE$1,feasible_mat!AE12=1),SUM(VLOOKUP($A12,test!$A$3:$F$32,2,FALSE),VLOOKUP(AE$1,test!$A$3:$F$32,2,FALSE)),0)</f>
        <v>0</v>
      </c>
      <c r="AF12">
        <f>IF(AND(SUM(VLOOKUP($A12,test!$A$3:$F$32,2,FALSE),VLOOKUP(AF$1,test!$A$3:$F$32,2,FALSE))&lt;test!$K$16,$A12&lt;&gt;AF$1,feasible_mat!AF12=1),SUM(VLOOKUP($A12,test!$A$3:$F$32,2,FALSE),VLOOKUP(AF$1,test!$A$3:$F$32,2,FALSE)),0)</f>
        <v>0</v>
      </c>
      <c r="AG12">
        <v>60</v>
      </c>
      <c r="AH12">
        <v>75</v>
      </c>
      <c r="AI12">
        <v>70</v>
      </c>
    </row>
    <row r="13" spans="1:35" x14ac:dyDescent="0.25">
      <c r="A13" t="s">
        <v>21</v>
      </c>
      <c r="B13">
        <v>0</v>
      </c>
      <c r="C13">
        <f>IF(AND(SUM(VLOOKUP($A13,test!$A$3:$F$32,2,FALSE),VLOOKUP(C$1,test!$A$3:$F$32,2,FALSE))&lt;test!$K$16,$A13&lt;&gt;C$1,feasible_mat!C13=1),SUM(VLOOKUP($A13,test!$A$3:$F$32,2,FALSE),VLOOKUP(C$1,test!$A$3:$F$32,2,FALSE)),0)</f>
        <v>0</v>
      </c>
      <c r="D13">
        <f>IF(AND(SUM(VLOOKUP($A13,test!$A$3:$F$32,2,FALSE),VLOOKUP(D$1,test!$A$3:$F$32,2,FALSE))&lt;test!$K$16,$A13&lt;&gt;D$1,feasible_mat!D13=1),SUM(VLOOKUP($A13,test!$A$3:$F$32,2,FALSE),VLOOKUP(D$1,test!$A$3:$F$32,2,FALSE)),0)</f>
        <v>0</v>
      </c>
      <c r="E13">
        <f>IF(AND(SUM(VLOOKUP($A13,test!$A$3:$F$32,2,FALSE),VLOOKUP(E$1,test!$A$3:$F$32,2,FALSE))&lt;test!$K$16,$A13&lt;&gt;E$1,feasible_mat!E13=1),SUM(VLOOKUP($A13,test!$A$3:$F$32,2,FALSE),VLOOKUP(E$1,test!$A$3:$F$32,2,FALSE)),0)</f>
        <v>0</v>
      </c>
      <c r="F13">
        <f>IF(AND(SUM(VLOOKUP($A13,test!$A$3:$F$32,2,FALSE),VLOOKUP(F$1,test!$A$3:$F$32,2,FALSE))&lt;test!$K$16,$A13&lt;&gt;F$1,feasible_mat!F13=1),SUM(VLOOKUP($A13,test!$A$3:$F$32,2,FALSE),VLOOKUP(F$1,test!$A$3:$F$32,2,FALSE)),0)</f>
        <v>0</v>
      </c>
      <c r="G13">
        <f>IF(AND(SUM(VLOOKUP($A13,test!$A$3:$F$32,2,FALSE),VLOOKUP(G$1,test!$A$3:$F$32,2,FALSE))&lt;test!$K$16,$A13&lt;&gt;G$1,feasible_mat!G13=1),SUM(VLOOKUP($A13,test!$A$3:$F$32,2,FALSE),VLOOKUP(G$1,test!$A$3:$F$32,2,FALSE)),0)</f>
        <v>0</v>
      </c>
      <c r="H13">
        <f>IF(AND(SUM(VLOOKUP($A13,test!$A$3:$F$32,2,FALSE),VLOOKUP(H$1,test!$A$3:$F$32,2,FALSE))&lt;test!$K$16,$A13&lt;&gt;H$1,feasible_mat!H13=1),SUM(VLOOKUP($A13,test!$A$3:$F$32,2,FALSE),VLOOKUP(H$1,test!$A$3:$F$32,2,FALSE)),0)</f>
        <v>0</v>
      </c>
      <c r="I13">
        <f>IF(AND(SUM(VLOOKUP($A13,test!$A$3:$F$32,2,FALSE),VLOOKUP(I$1,test!$A$3:$F$32,2,FALSE))&lt;test!$K$16,$A13&lt;&gt;I$1,feasible_mat!I13=1),SUM(VLOOKUP($A13,test!$A$3:$F$32,2,FALSE),VLOOKUP(I$1,test!$A$3:$F$32,2,FALSE)),0)</f>
        <v>0</v>
      </c>
      <c r="J13">
        <f>IF(AND(SUM(VLOOKUP($A13,test!$A$3:$F$32,2,FALSE),VLOOKUP(J$1,test!$A$3:$F$32,2,FALSE))&lt;test!$K$16,$A13&lt;&gt;J$1,feasible_mat!J13=1),SUM(VLOOKUP($A13,test!$A$3:$F$32,2,FALSE),VLOOKUP(J$1,test!$A$3:$F$32,2,FALSE)),0)</f>
        <v>0</v>
      </c>
      <c r="K13">
        <f>IF(AND(SUM(VLOOKUP($A13,test!$A$3:$F$32,2,FALSE),VLOOKUP(K$1,test!$A$3:$F$32,2,FALSE))&lt;test!$K$16,$A13&lt;&gt;K$1,feasible_mat!K13=1),SUM(VLOOKUP($A13,test!$A$3:$F$32,2,FALSE),VLOOKUP(K$1,test!$A$3:$F$32,2,FALSE)),0)</f>
        <v>0</v>
      </c>
      <c r="L13">
        <f>IF(AND(SUM(VLOOKUP($A13,test!$A$3:$F$32,2,FALSE),VLOOKUP(L$1,test!$A$3:$F$32,2,FALSE))&lt;test!$K$16,$A13&lt;&gt;L$1,feasible_mat!L13=1),SUM(VLOOKUP($A13,test!$A$3:$F$32,2,FALSE),VLOOKUP(L$1,test!$A$3:$F$32,2,FALSE)),0)</f>
        <v>0</v>
      </c>
      <c r="M13">
        <f>IF(AND(SUM(VLOOKUP($A13,test!$A$3:$F$32,2,FALSE),VLOOKUP(M$1,test!$A$3:$F$32,2,FALSE))&lt;test!$K$16,$A13&lt;&gt;M$1,feasible_mat!M13=1),SUM(VLOOKUP($A13,test!$A$3:$F$32,2,FALSE),VLOOKUP(M$1,test!$A$3:$F$32,2,FALSE)),0)</f>
        <v>0</v>
      </c>
      <c r="N13">
        <f>IF(AND(SUM(VLOOKUP($A13,test!$A$3:$F$32,2,FALSE),VLOOKUP(N$1,test!$A$3:$F$32,2,FALSE))&lt;test!$K$16,$A13&lt;&gt;N$1,feasible_mat!N13=1),SUM(VLOOKUP($A13,test!$A$3:$F$32,2,FALSE),VLOOKUP(N$1,test!$A$3:$F$32,2,FALSE)),0)</f>
        <v>0</v>
      </c>
      <c r="O13">
        <f>IF(AND(SUM(VLOOKUP($A13,test!$A$3:$F$32,2,FALSE),VLOOKUP(O$1,test!$A$3:$F$32,2,FALSE))&lt;test!$K$16,$A13&lt;&gt;O$1,feasible_mat!O13=1),SUM(VLOOKUP($A13,test!$A$3:$F$32,2,FALSE),VLOOKUP(O$1,test!$A$3:$F$32,2,FALSE)),0)</f>
        <v>0</v>
      </c>
      <c r="P13">
        <f>IF(AND(SUM(VLOOKUP($A13,test!$A$3:$F$32,2,FALSE),VLOOKUP(P$1,test!$A$3:$F$32,2,FALSE))&lt;test!$K$16,$A13&lt;&gt;P$1,feasible_mat!P13=1),SUM(VLOOKUP($A13,test!$A$3:$F$32,2,FALSE),VLOOKUP(P$1,test!$A$3:$F$32,2,FALSE)),0)</f>
        <v>0</v>
      </c>
      <c r="Q13">
        <f>IF(AND(SUM(VLOOKUP($A13,test!$A$3:$F$32,2,FALSE),VLOOKUP(Q$1,test!$A$3:$F$32,2,FALSE))&lt;test!$K$16,$A13&lt;&gt;Q$1,feasible_mat!Q13=1),SUM(VLOOKUP($A13,test!$A$3:$F$32,2,FALSE),VLOOKUP(Q$1,test!$A$3:$F$32,2,FALSE)),0)</f>
        <v>0</v>
      </c>
      <c r="R13">
        <f>IF(AND(SUM(VLOOKUP($A13,test!$A$3:$F$32,2,FALSE),VLOOKUP(R$1,test!$A$3:$F$32,2,FALSE))&lt;test!$K$16,$A13&lt;&gt;R$1,feasible_mat!R13=1),SUM(VLOOKUP($A13,test!$A$3:$F$32,2,FALSE),VLOOKUP(R$1,test!$A$3:$F$32,2,FALSE)),0)</f>
        <v>0</v>
      </c>
      <c r="S13">
        <f>IF(AND(SUM(VLOOKUP($A13,test!$A$3:$F$32,2,FALSE),VLOOKUP(S$1,test!$A$3:$F$32,2,FALSE))&lt;test!$K$16,$A13&lt;&gt;S$1,feasible_mat!S13=1),SUM(VLOOKUP($A13,test!$A$3:$F$32,2,FALSE),VLOOKUP(S$1,test!$A$3:$F$32,2,FALSE)),0)</f>
        <v>0</v>
      </c>
      <c r="T13">
        <f>IF(AND(SUM(VLOOKUP($A13,test!$A$3:$F$32,2,FALSE),VLOOKUP(T$1,test!$A$3:$F$32,2,FALSE))&lt;test!$K$16,$A13&lt;&gt;T$1,feasible_mat!T13=1),SUM(VLOOKUP($A13,test!$A$3:$F$32,2,FALSE),VLOOKUP(T$1,test!$A$3:$F$32,2,FALSE)),0)</f>
        <v>0</v>
      </c>
      <c r="U13">
        <f>IF(AND(SUM(VLOOKUP($A13,test!$A$3:$F$32,2,FALSE),VLOOKUP(U$1,test!$A$3:$F$32,2,FALSE))&lt;test!$K$16,$A13&lt;&gt;U$1,feasible_mat!U13=1),SUM(VLOOKUP($A13,test!$A$3:$F$32,2,FALSE),VLOOKUP(U$1,test!$A$3:$F$32,2,FALSE)),0)</f>
        <v>0</v>
      </c>
      <c r="V13">
        <f>IF(AND(SUM(VLOOKUP($A13,test!$A$3:$F$32,2,FALSE),VLOOKUP(V$1,test!$A$3:$F$32,2,FALSE))&lt;test!$K$16,$A13&lt;&gt;V$1,feasible_mat!V13=1),SUM(VLOOKUP($A13,test!$A$3:$F$32,2,FALSE),VLOOKUP(V$1,test!$A$3:$F$32,2,FALSE)),0)</f>
        <v>0</v>
      </c>
      <c r="W13">
        <f>IF(AND(SUM(VLOOKUP($A13,test!$A$3:$F$32,2,FALSE),VLOOKUP(W$1,test!$A$3:$F$32,2,FALSE))&lt;test!$K$16,$A13&lt;&gt;W$1,feasible_mat!W13=1),SUM(VLOOKUP($A13,test!$A$3:$F$32,2,FALSE),VLOOKUP(W$1,test!$A$3:$F$32,2,FALSE)),0)</f>
        <v>0</v>
      </c>
      <c r="X13">
        <f>IF(AND(SUM(VLOOKUP($A13,test!$A$3:$F$32,2,FALSE),VLOOKUP(X$1,test!$A$3:$F$32,2,FALSE))&lt;test!$K$16,$A13&lt;&gt;X$1,feasible_mat!X13=1),SUM(VLOOKUP($A13,test!$A$3:$F$32,2,FALSE),VLOOKUP(X$1,test!$A$3:$F$32,2,FALSE)),0)</f>
        <v>0</v>
      </c>
      <c r="Y13">
        <f>IF(AND(SUM(VLOOKUP($A13,test!$A$3:$F$32,2,FALSE),VLOOKUP(Y$1,test!$A$3:$F$32,2,FALSE))&lt;test!$K$16,$A13&lt;&gt;Y$1,feasible_mat!Y13=1),SUM(VLOOKUP($A13,test!$A$3:$F$32,2,FALSE),VLOOKUP(Y$1,test!$A$3:$F$32,2,FALSE)),0)</f>
        <v>0</v>
      </c>
      <c r="Z13">
        <f>IF(AND(SUM(VLOOKUP($A13,test!$A$3:$F$32,2,FALSE),VLOOKUP(Z$1,test!$A$3:$F$32,2,FALSE))&lt;test!$K$16,$A13&lt;&gt;Z$1,feasible_mat!Z13=1),SUM(VLOOKUP($A13,test!$A$3:$F$32,2,FALSE),VLOOKUP(Z$1,test!$A$3:$F$32,2,FALSE)),0)</f>
        <v>0</v>
      </c>
      <c r="AA13">
        <f>IF(AND(SUM(VLOOKUP($A13,test!$A$3:$F$32,2,FALSE),VLOOKUP(AA$1,test!$A$3:$F$32,2,FALSE))&lt;test!$K$16,$A13&lt;&gt;AA$1,feasible_mat!AA13=1),SUM(VLOOKUP($A13,test!$A$3:$F$32,2,FALSE),VLOOKUP(AA$1,test!$A$3:$F$32,2,FALSE)),0)</f>
        <v>0</v>
      </c>
      <c r="AB13">
        <f>IF(AND(SUM(VLOOKUP($A13,test!$A$3:$F$32,2,FALSE),VLOOKUP(AB$1,test!$A$3:$F$32,2,FALSE))&lt;test!$K$16,$A13&lt;&gt;AB$1,feasible_mat!AB13=1),SUM(VLOOKUP($A13,test!$A$3:$F$32,2,FALSE),VLOOKUP(AB$1,test!$A$3:$F$32,2,FALSE)),0)</f>
        <v>0</v>
      </c>
      <c r="AC13">
        <f>IF(AND(SUM(VLOOKUP($A13,test!$A$3:$F$32,2,FALSE),VLOOKUP(AC$1,test!$A$3:$F$32,2,FALSE))&lt;test!$K$16,$A13&lt;&gt;AC$1,feasible_mat!AC13=1),SUM(VLOOKUP($A13,test!$A$3:$F$32,2,FALSE),VLOOKUP(AC$1,test!$A$3:$F$32,2,FALSE)),0)</f>
        <v>280</v>
      </c>
      <c r="AD13">
        <f>IF(AND(SUM(VLOOKUP($A13,test!$A$3:$F$32,2,FALSE),VLOOKUP(AD$1,test!$A$3:$F$32,2,FALSE))&lt;test!$K$16,$A13&lt;&gt;AD$1,feasible_mat!AD13=1),SUM(VLOOKUP($A13,test!$A$3:$F$32,2,FALSE),VLOOKUP(AD$1,test!$A$3:$F$32,2,FALSE)),0)</f>
        <v>0</v>
      </c>
      <c r="AE13">
        <f>IF(AND(SUM(VLOOKUP($A13,test!$A$3:$F$32,2,FALSE),VLOOKUP(AE$1,test!$A$3:$F$32,2,FALSE))&lt;test!$K$16,$A13&lt;&gt;AE$1,feasible_mat!AE13=1),SUM(VLOOKUP($A13,test!$A$3:$F$32,2,FALSE),VLOOKUP(AE$1,test!$A$3:$F$32,2,FALSE)),0)</f>
        <v>0</v>
      </c>
      <c r="AF13">
        <f>IF(AND(SUM(VLOOKUP($A13,test!$A$3:$F$32,2,FALSE),VLOOKUP(AF$1,test!$A$3:$F$32,2,FALSE))&lt;test!$K$16,$A13&lt;&gt;AF$1,feasible_mat!AF13=1),SUM(VLOOKUP($A13,test!$A$3:$F$32,2,FALSE),VLOOKUP(AF$1,test!$A$3:$F$32,2,FALSE)),0)</f>
        <v>0</v>
      </c>
      <c r="AG13">
        <v>60</v>
      </c>
      <c r="AH13">
        <v>75</v>
      </c>
      <c r="AI13">
        <v>70</v>
      </c>
    </row>
    <row r="14" spans="1:35" x14ac:dyDescent="0.25">
      <c r="A14" t="s">
        <v>22</v>
      </c>
      <c r="B14">
        <v>0</v>
      </c>
      <c r="C14">
        <f>IF(AND(SUM(VLOOKUP($A14,test!$A$3:$F$32,2,FALSE),VLOOKUP(C$1,test!$A$3:$F$32,2,FALSE))&lt;test!$K$16,$A14&lt;&gt;C$1,feasible_mat!C14=1),SUM(VLOOKUP($A14,test!$A$3:$F$32,2,FALSE),VLOOKUP(C$1,test!$A$3:$F$32,2,FALSE)),0)</f>
        <v>0</v>
      </c>
      <c r="D14">
        <f>IF(AND(SUM(VLOOKUP($A14,test!$A$3:$F$32,2,FALSE),VLOOKUP(D$1,test!$A$3:$F$32,2,FALSE))&lt;test!$K$16,$A14&lt;&gt;D$1,feasible_mat!D14=1),SUM(VLOOKUP($A14,test!$A$3:$F$32,2,FALSE),VLOOKUP(D$1,test!$A$3:$F$32,2,FALSE)),0)</f>
        <v>0</v>
      </c>
      <c r="E14">
        <f>IF(AND(SUM(VLOOKUP($A14,test!$A$3:$F$32,2,FALSE),VLOOKUP(E$1,test!$A$3:$F$32,2,FALSE))&lt;test!$K$16,$A14&lt;&gt;E$1,feasible_mat!E14=1),SUM(VLOOKUP($A14,test!$A$3:$F$32,2,FALSE),VLOOKUP(E$1,test!$A$3:$F$32,2,FALSE)),0)</f>
        <v>0</v>
      </c>
      <c r="F14">
        <f>IF(AND(SUM(VLOOKUP($A14,test!$A$3:$F$32,2,FALSE),VLOOKUP(F$1,test!$A$3:$F$32,2,FALSE))&lt;test!$K$16,$A14&lt;&gt;F$1,feasible_mat!F14=1),SUM(VLOOKUP($A14,test!$A$3:$F$32,2,FALSE),VLOOKUP(F$1,test!$A$3:$F$32,2,FALSE)),0)</f>
        <v>0</v>
      </c>
      <c r="G14">
        <f>IF(AND(SUM(VLOOKUP($A14,test!$A$3:$F$32,2,FALSE),VLOOKUP(G$1,test!$A$3:$F$32,2,FALSE))&lt;test!$K$16,$A14&lt;&gt;G$1,feasible_mat!G14=1),SUM(VLOOKUP($A14,test!$A$3:$F$32,2,FALSE),VLOOKUP(G$1,test!$A$3:$F$32,2,FALSE)),0)</f>
        <v>0</v>
      </c>
      <c r="H14">
        <f>IF(AND(SUM(VLOOKUP($A14,test!$A$3:$F$32,2,FALSE),VLOOKUP(H$1,test!$A$3:$F$32,2,FALSE))&lt;test!$K$16,$A14&lt;&gt;H$1,feasible_mat!H14=1),SUM(VLOOKUP($A14,test!$A$3:$F$32,2,FALSE),VLOOKUP(H$1,test!$A$3:$F$32,2,FALSE)),0)</f>
        <v>0</v>
      </c>
      <c r="I14">
        <f>IF(AND(SUM(VLOOKUP($A14,test!$A$3:$F$32,2,FALSE),VLOOKUP(I$1,test!$A$3:$F$32,2,FALSE))&lt;test!$K$16,$A14&lt;&gt;I$1,feasible_mat!I14=1),SUM(VLOOKUP($A14,test!$A$3:$F$32,2,FALSE),VLOOKUP(I$1,test!$A$3:$F$32,2,FALSE)),0)</f>
        <v>0</v>
      </c>
      <c r="J14">
        <f>IF(AND(SUM(VLOOKUP($A14,test!$A$3:$F$32,2,FALSE),VLOOKUP(J$1,test!$A$3:$F$32,2,FALSE))&lt;test!$K$16,$A14&lt;&gt;J$1,feasible_mat!J14=1),SUM(VLOOKUP($A14,test!$A$3:$F$32,2,FALSE),VLOOKUP(J$1,test!$A$3:$F$32,2,FALSE)),0)</f>
        <v>0</v>
      </c>
      <c r="K14">
        <f>IF(AND(SUM(VLOOKUP($A14,test!$A$3:$F$32,2,FALSE),VLOOKUP(K$1,test!$A$3:$F$32,2,FALSE))&lt;test!$K$16,$A14&lt;&gt;K$1,feasible_mat!K14=1),SUM(VLOOKUP($A14,test!$A$3:$F$32,2,FALSE),VLOOKUP(K$1,test!$A$3:$F$32,2,FALSE)),0)</f>
        <v>0</v>
      </c>
      <c r="L14">
        <f>IF(AND(SUM(VLOOKUP($A14,test!$A$3:$F$32,2,FALSE),VLOOKUP(L$1,test!$A$3:$F$32,2,FALSE))&lt;test!$K$16,$A14&lt;&gt;L$1,feasible_mat!L14=1),SUM(VLOOKUP($A14,test!$A$3:$F$32,2,FALSE),VLOOKUP(L$1,test!$A$3:$F$32,2,FALSE)),0)</f>
        <v>0</v>
      </c>
      <c r="M14">
        <f>IF(AND(SUM(VLOOKUP($A14,test!$A$3:$F$32,2,FALSE),VLOOKUP(M$1,test!$A$3:$F$32,2,FALSE))&lt;test!$K$16,$A14&lt;&gt;M$1,feasible_mat!M14=1),SUM(VLOOKUP($A14,test!$A$3:$F$32,2,FALSE),VLOOKUP(M$1,test!$A$3:$F$32,2,FALSE)),0)</f>
        <v>0</v>
      </c>
      <c r="N14">
        <f>IF(AND(SUM(VLOOKUP($A14,test!$A$3:$F$32,2,FALSE),VLOOKUP(N$1,test!$A$3:$F$32,2,FALSE))&lt;test!$K$16,$A14&lt;&gt;N$1,feasible_mat!N14=1),SUM(VLOOKUP($A14,test!$A$3:$F$32,2,FALSE),VLOOKUP(N$1,test!$A$3:$F$32,2,FALSE)),0)</f>
        <v>0</v>
      </c>
      <c r="O14">
        <f>IF(AND(SUM(VLOOKUP($A14,test!$A$3:$F$32,2,FALSE),VLOOKUP(O$1,test!$A$3:$F$32,2,FALSE))&lt;test!$K$16,$A14&lt;&gt;O$1,feasible_mat!O14=1),SUM(VLOOKUP($A14,test!$A$3:$F$32,2,FALSE),VLOOKUP(O$1,test!$A$3:$F$32,2,FALSE)),0)</f>
        <v>0</v>
      </c>
      <c r="P14">
        <f>IF(AND(SUM(VLOOKUP($A14,test!$A$3:$F$32,2,FALSE),VLOOKUP(P$1,test!$A$3:$F$32,2,FALSE))&lt;test!$K$16,$A14&lt;&gt;P$1,feasible_mat!P14=1),SUM(VLOOKUP($A14,test!$A$3:$F$32,2,FALSE),VLOOKUP(P$1,test!$A$3:$F$32,2,FALSE)),0)</f>
        <v>0</v>
      </c>
      <c r="Q14">
        <f>IF(AND(SUM(VLOOKUP($A14,test!$A$3:$F$32,2,FALSE),VLOOKUP(Q$1,test!$A$3:$F$32,2,FALSE))&lt;test!$K$16,$A14&lt;&gt;Q$1,feasible_mat!Q14=1),SUM(VLOOKUP($A14,test!$A$3:$F$32,2,FALSE),VLOOKUP(Q$1,test!$A$3:$F$32,2,FALSE)),0)</f>
        <v>0</v>
      </c>
      <c r="R14">
        <f>IF(AND(SUM(VLOOKUP($A14,test!$A$3:$F$32,2,FALSE),VLOOKUP(R$1,test!$A$3:$F$32,2,FALSE))&lt;test!$K$16,$A14&lt;&gt;R$1,feasible_mat!R14=1),SUM(VLOOKUP($A14,test!$A$3:$F$32,2,FALSE),VLOOKUP(R$1,test!$A$3:$F$32,2,FALSE)),0)</f>
        <v>0</v>
      </c>
      <c r="S14">
        <f>IF(AND(SUM(VLOOKUP($A14,test!$A$3:$F$32,2,FALSE),VLOOKUP(S$1,test!$A$3:$F$32,2,FALSE))&lt;test!$K$16,$A14&lt;&gt;S$1,feasible_mat!S14=1),SUM(VLOOKUP($A14,test!$A$3:$F$32,2,FALSE),VLOOKUP(S$1,test!$A$3:$F$32,2,FALSE)),0)</f>
        <v>0</v>
      </c>
      <c r="T14">
        <f>IF(AND(SUM(VLOOKUP($A14,test!$A$3:$F$32,2,FALSE),VLOOKUP(T$1,test!$A$3:$F$32,2,FALSE))&lt;test!$K$16,$A14&lt;&gt;T$1,feasible_mat!T14=1),SUM(VLOOKUP($A14,test!$A$3:$F$32,2,FALSE),VLOOKUP(T$1,test!$A$3:$F$32,2,FALSE)),0)</f>
        <v>0</v>
      </c>
      <c r="U14">
        <f>IF(AND(SUM(VLOOKUP($A14,test!$A$3:$F$32,2,FALSE),VLOOKUP(U$1,test!$A$3:$F$32,2,FALSE))&lt;test!$K$16,$A14&lt;&gt;U$1,feasible_mat!U14=1),SUM(VLOOKUP($A14,test!$A$3:$F$32,2,FALSE),VLOOKUP(U$1,test!$A$3:$F$32,2,FALSE)),0)</f>
        <v>0</v>
      </c>
      <c r="V14">
        <f>IF(AND(SUM(VLOOKUP($A14,test!$A$3:$F$32,2,FALSE),VLOOKUP(V$1,test!$A$3:$F$32,2,FALSE))&lt;test!$K$16,$A14&lt;&gt;V$1,feasible_mat!V14=1),SUM(VLOOKUP($A14,test!$A$3:$F$32,2,FALSE),VLOOKUP(V$1,test!$A$3:$F$32,2,FALSE)),0)</f>
        <v>0</v>
      </c>
      <c r="W14">
        <f>IF(AND(SUM(VLOOKUP($A14,test!$A$3:$F$32,2,FALSE),VLOOKUP(W$1,test!$A$3:$F$32,2,FALSE))&lt;test!$K$16,$A14&lt;&gt;W$1,feasible_mat!W14=1),SUM(VLOOKUP($A14,test!$A$3:$F$32,2,FALSE),VLOOKUP(W$1,test!$A$3:$F$32,2,FALSE)),0)</f>
        <v>0</v>
      </c>
      <c r="X14">
        <f>IF(AND(SUM(VLOOKUP($A14,test!$A$3:$F$32,2,FALSE),VLOOKUP(X$1,test!$A$3:$F$32,2,FALSE))&lt;test!$K$16,$A14&lt;&gt;X$1,feasible_mat!X14=1),SUM(VLOOKUP($A14,test!$A$3:$F$32,2,FALSE),VLOOKUP(X$1,test!$A$3:$F$32,2,FALSE)),0)</f>
        <v>0</v>
      </c>
      <c r="Y14">
        <f>IF(AND(SUM(VLOOKUP($A14,test!$A$3:$F$32,2,FALSE),VLOOKUP(Y$1,test!$A$3:$F$32,2,FALSE))&lt;test!$K$16,$A14&lt;&gt;Y$1,feasible_mat!Y14=1),SUM(VLOOKUP($A14,test!$A$3:$F$32,2,FALSE),VLOOKUP(Y$1,test!$A$3:$F$32,2,FALSE)),0)</f>
        <v>0</v>
      </c>
      <c r="Z14">
        <f>IF(AND(SUM(VLOOKUP($A14,test!$A$3:$F$32,2,FALSE),VLOOKUP(Z$1,test!$A$3:$F$32,2,FALSE))&lt;test!$K$16,$A14&lt;&gt;Z$1,feasible_mat!Z14=1),SUM(VLOOKUP($A14,test!$A$3:$F$32,2,FALSE),VLOOKUP(Z$1,test!$A$3:$F$32,2,FALSE)),0)</f>
        <v>0</v>
      </c>
      <c r="AA14">
        <f>IF(AND(SUM(VLOOKUP($A14,test!$A$3:$F$32,2,FALSE),VLOOKUP(AA$1,test!$A$3:$F$32,2,FALSE))&lt;test!$K$16,$A14&lt;&gt;AA$1,feasible_mat!AA14=1),SUM(VLOOKUP($A14,test!$A$3:$F$32,2,FALSE),VLOOKUP(AA$1,test!$A$3:$F$32,2,FALSE)),0)</f>
        <v>0</v>
      </c>
      <c r="AB14">
        <f>IF(AND(SUM(VLOOKUP($A14,test!$A$3:$F$32,2,FALSE),VLOOKUP(AB$1,test!$A$3:$F$32,2,FALSE))&lt;test!$K$16,$A14&lt;&gt;AB$1,feasible_mat!AB14=1),SUM(VLOOKUP($A14,test!$A$3:$F$32,2,FALSE),VLOOKUP(AB$1,test!$A$3:$F$32,2,FALSE)),0)</f>
        <v>0</v>
      </c>
      <c r="AC14">
        <f>IF(AND(SUM(VLOOKUP($A14,test!$A$3:$F$32,2,FALSE),VLOOKUP(AC$1,test!$A$3:$F$32,2,FALSE))&lt;test!$K$16,$A14&lt;&gt;AC$1,feasible_mat!AC14=1),SUM(VLOOKUP($A14,test!$A$3:$F$32,2,FALSE),VLOOKUP(AC$1,test!$A$3:$F$32,2,FALSE)),0)</f>
        <v>0</v>
      </c>
      <c r="AD14">
        <f>IF(AND(SUM(VLOOKUP($A14,test!$A$3:$F$32,2,FALSE),VLOOKUP(AD$1,test!$A$3:$F$32,2,FALSE))&lt;test!$K$16,$A14&lt;&gt;AD$1,feasible_mat!AD14=1),SUM(VLOOKUP($A14,test!$A$3:$F$32,2,FALSE),VLOOKUP(AD$1,test!$A$3:$F$32,2,FALSE)),0)</f>
        <v>0</v>
      </c>
      <c r="AE14">
        <f>IF(AND(SUM(VLOOKUP($A14,test!$A$3:$F$32,2,FALSE),VLOOKUP(AE$1,test!$A$3:$F$32,2,FALSE))&lt;test!$K$16,$A14&lt;&gt;AE$1,feasible_mat!AE14=1),SUM(VLOOKUP($A14,test!$A$3:$F$32,2,FALSE),VLOOKUP(AE$1,test!$A$3:$F$32,2,FALSE)),0)</f>
        <v>0</v>
      </c>
      <c r="AF14">
        <f>IF(AND(SUM(VLOOKUP($A14,test!$A$3:$F$32,2,FALSE),VLOOKUP(AF$1,test!$A$3:$F$32,2,FALSE))&lt;test!$K$16,$A14&lt;&gt;AF$1,feasible_mat!AF14=1),SUM(VLOOKUP($A14,test!$A$3:$F$32,2,FALSE),VLOOKUP(AF$1,test!$A$3:$F$32,2,FALSE)),0)</f>
        <v>0</v>
      </c>
      <c r="AG14">
        <v>60</v>
      </c>
      <c r="AH14">
        <v>75</v>
      </c>
      <c r="AI14">
        <v>70</v>
      </c>
    </row>
    <row r="15" spans="1:35" x14ac:dyDescent="0.25">
      <c r="A15" t="s">
        <v>23</v>
      </c>
      <c r="B15">
        <v>0</v>
      </c>
      <c r="C15">
        <f>IF(AND(SUM(VLOOKUP($A15,test!$A$3:$F$32,2,FALSE),VLOOKUP(C$1,test!$A$3:$F$32,2,FALSE))&lt;test!$K$16,$A15&lt;&gt;C$1,feasible_mat!C15=1),SUM(VLOOKUP($A15,test!$A$3:$F$32,2,FALSE),VLOOKUP(C$1,test!$A$3:$F$32,2,FALSE)),0)</f>
        <v>0</v>
      </c>
      <c r="D15">
        <f>IF(AND(SUM(VLOOKUP($A15,test!$A$3:$F$32,2,FALSE),VLOOKUP(D$1,test!$A$3:$F$32,2,FALSE))&lt;test!$K$16,$A15&lt;&gt;D$1,feasible_mat!D15=1),SUM(VLOOKUP($A15,test!$A$3:$F$32,2,FALSE),VLOOKUP(D$1,test!$A$3:$F$32,2,FALSE)),0)</f>
        <v>0</v>
      </c>
      <c r="E15">
        <f>IF(AND(SUM(VLOOKUP($A15,test!$A$3:$F$32,2,FALSE),VLOOKUP(E$1,test!$A$3:$F$32,2,FALSE))&lt;test!$K$16,$A15&lt;&gt;E$1,feasible_mat!E15=1),SUM(VLOOKUP($A15,test!$A$3:$F$32,2,FALSE),VLOOKUP(E$1,test!$A$3:$F$32,2,FALSE)),0)</f>
        <v>0</v>
      </c>
      <c r="F15">
        <f>IF(AND(SUM(VLOOKUP($A15,test!$A$3:$F$32,2,FALSE),VLOOKUP(F$1,test!$A$3:$F$32,2,FALSE))&lt;test!$K$16,$A15&lt;&gt;F$1,feasible_mat!F15=1),SUM(VLOOKUP($A15,test!$A$3:$F$32,2,FALSE),VLOOKUP(F$1,test!$A$3:$F$32,2,FALSE)),0)</f>
        <v>0</v>
      </c>
      <c r="G15">
        <f>IF(AND(SUM(VLOOKUP($A15,test!$A$3:$F$32,2,FALSE),VLOOKUP(G$1,test!$A$3:$F$32,2,FALSE))&lt;test!$K$16,$A15&lt;&gt;G$1,feasible_mat!G15=1),SUM(VLOOKUP($A15,test!$A$3:$F$32,2,FALSE),VLOOKUP(G$1,test!$A$3:$F$32,2,FALSE)),0)</f>
        <v>0</v>
      </c>
      <c r="H15">
        <f>IF(AND(SUM(VLOOKUP($A15,test!$A$3:$F$32,2,FALSE),VLOOKUP(H$1,test!$A$3:$F$32,2,FALSE))&lt;test!$K$16,$A15&lt;&gt;H$1,feasible_mat!H15=1),SUM(VLOOKUP($A15,test!$A$3:$F$32,2,FALSE),VLOOKUP(H$1,test!$A$3:$F$32,2,FALSE)),0)</f>
        <v>0</v>
      </c>
      <c r="I15">
        <f>IF(AND(SUM(VLOOKUP($A15,test!$A$3:$F$32,2,FALSE),VLOOKUP(I$1,test!$A$3:$F$32,2,FALSE))&lt;test!$K$16,$A15&lt;&gt;I$1,feasible_mat!I15=1),SUM(VLOOKUP($A15,test!$A$3:$F$32,2,FALSE),VLOOKUP(I$1,test!$A$3:$F$32,2,FALSE)),0)</f>
        <v>0</v>
      </c>
      <c r="J15">
        <f>IF(AND(SUM(VLOOKUP($A15,test!$A$3:$F$32,2,FALSE),VLOOKUP(J$1,test!$A$3:$F$32,2,FALSE))&lt;test!$K$16,$A15&lt;&gt;J$1,feasible_mat!J15=1),SUM(VLOOKUP($A15,test!$A$3:$F$32,2,FALSE),VLOOKUP(J$1,test!$A$3:$F$32,2,FALSE)),0)</f>
        <v>0</v>
      </c>
      <c r="K15">
        <f>IF(AND(SUM(VLOOKUP($A15,test!$A$3:$F$32,2,FALSE),VLOOKUP(K$1,test!$A$3:$F$32,2,FALSE))&lt;test!$K$16,$A15&lt;&gt;K$1,feasible_mat!K15=1),SUM(VLOOKUP($A15,test!$A$3:$F$32,2,FALSE),VLOOKUP(K$1,test!$A$3:$F$32,2,FALSE)),0)</f>
        <v>0</v>
      </c>
      <c r="L15">
        <f>IF(AND(SUM(VLOOKUP($A15,test!$A$3:$F$32,2,FALSE),VLOOKUP(L$1,test!$A$3:$F$32,2,FALSE))&lt;test!$K$16,$A15&lt;&gt;L$1,feasible_mat!L15=1),SUM(VLOOKUP($A15,test!$A$3:$F$32,2,FALSE),VLOOKUP(L$1,test!$A$3:$F$32,2,FALSE)),0)</f>
        <v>0</v>
      </c>
      <c r="M15">
        <f>IF(AND(SUM(VLOOKUP($A15,test!$A$3:$F$32,2,FALSE),VLOOKUP(M$1,test!$A$3:$F$32,2,FALSE))&lt;test!$K$16,$A15&lt;&gt;M$1,feasible_mat!M15=1),SUM(VLOOKUP($A15,test!$A$3:$F$32,2,FALSE),VLOOKUP(M$1,test!$A$3:$F$32,2,FALSE)),0)</f>
        <v>0</v>
      </c>
      <c r="N15">
        <f>IF(AND(SUM(VLOOKUP($A15,test!$A$3:$F$32,2,FALSE),VLOOKUP(N$1,test!$A$3:$F$32,2,FALSE))&lt;test!$K$16,$A15&lt;&gt;N$1,feasible_mat!N15=1),SUM(VLOOKUP($A15,test!$A$3:$F$32,2,FALSE),VLOOKUP(N$1,test!$A$3:$F$32,2,FALSE)),0)</f>
        <v>0</v>
      </c>
      <c r="O15">
        <f>IF(AND(SUM(VLOOKUP($A15,test!$A$3:$F$32,2,FALSE),VLOOKUP(O$1,test!$A$3:$F$32,2,FALSE))&lt;test!$K$16,$A15&lt;&gt;O$1,feasible_mat!O15=1),SUM(VLOOKUP($A15,test!$A$3:$F$32,2,FALSE),VLOOKUP(O$1,test!$A$3:$F$32,2,FALSE)),0)</f>
        <v>0</v>
      </c>
      <c r="P15">
        <f>IF(AND(SUM(VLOOKUP($A15,test!$A$3:$F$32,2,FALSE),VLOOKUP(P$1,test!$A$3:$F$32,2,FALSE))&lt;test!$K$16,$A15&lt;&gt;P$1,feasible_mat!P15=1),SUM(VLOOKUP($A15,test!$A$3:$F$32,2,FALSE),VLOOKUP(P$1,test!$A$3:$F$32,2,FALSE)),0)</f>
        <v>0</v>
      </c>
      <c r="Q15">
        <f>IF(AND(SUM(VLOOKUP($A15,test!$A$3:$F$32,2,FALSE),VLOOKUP(Q$1,test!$A$3:$F$32,2,FALSE))&lt;test!$K$16,$A15&lt;&gt;Q$1,feasible_mat!Q15=1),SUM(VLOOKUP($A15,test!$A$3:$F$32,2,FALSE),VLOOKUP(Q$1,test!$A$3:$F$32,2,FALSE)),0)</f>
        <v>0</v>
      </c>
      <c r="R15">
        <f>IF(AND(SUM(VLOOKUP($A15,test!$A$3:$F$32,2,FALSE),VLOOKUP(R$1,test!$A$3:$F$32,2,FALSE))&lt;test!$K$16,$A15&lt;&gt;R$1,feasible_mat!R15=1),SUM(VLOOKUP($A15,test!$A$3:$F$32,2,FALSE),VLOOKUP(R$1,test!$A$3:$F$32,2,FALSE)),0)</f>
        <v>0</v>
      </c>
      <c r="S15">
        <f>IF(AND(SUM(VLOOKUP($A15,test!$A$3:$F$32,2,FALSE),VLOOKUP(S$1,test!$A$3:$F$32,2,FALSE))&lt;test!$K$16,$A15&lt;&gt;S$1,feasible_mat!S15=1),SUM(VLOOKUP($A15,test!$A$3:$F$32,2,FALSE),VLOOKUP(S$1,test!$A$3:$F$32,2,FALSE)),0)</f>
        <v>0</v>
      </c>
      <c r="T15">
        <f>IF(AND(SUM(VLOOKUP($A15,test!$A$3:$F$32,2,FALSE),VLOOKUP(T$1,test!$A$3:$F$32,2,FALSE))&lt;test!$K$16,$A15&lt;&gt;T$1,feasible_mat!T15=1),SUM(VLOOKUP($A15,test!$A$3:$F$32,2,FALSE),VLOOKUP(T$1,test!$A$3:$F$32,2,FALSE)),0)</f>
        <v>0</v>
      </c>
      <c r="U15">
        <f>IF(AND(SUM(VLOOKUP($A15,test!$A$3:$F$32,2,FALSE),VLOOKUP(U$1,test!$A$3:$F$32,2,FALSE))&lt;test!$K$16,$A15&lt;&gt;U$1,feasible_mat!U15=1),SUM(VLOOKUP($A15,test!$A$3:$F$32,2,FALSE),VLOOKUP(U$1,test!$A$3:$F$32,2,FALSE)),0)</f>
        <v>0</v>
      </c>
      <c r="V15">
        <f>IF(AND(SUM(VLOOKUP($A15,test!$A$3:$F$32,2,FALSE),VLOOKUP(V$1,test!$A$3:$F$32,2,FALSE))&lt;test!$K$16,$A15&lt;&gt;V$1,feasible_mat!V15=1),SUM(VLOOKUP($A15,test!$A$3:$F$32,2,FALSE),VLOOKUP(V$1,test!$A$3:$F$32,2,FALSE)),0)</f>
        <v>0</v>
      </c>
      <c r="W15">
        <f>IF(AND(SUM(VLOOKUP($A15,test!$A$3:$F$32,2,FALSE),VLOOKUP(W$1,test!$A$3:$F$32,2,FALSE))&lt;test!$K$16,$A15&lt;&gt;W$1,feasible_mat!W15=1),SUM(VLOOKUP($A15,test!$A$3:$F$32,2,FALSE),VLOOKUP(W$1,test!$A$3:$F$32,2,FALSE)),0)</f>
        <v>0</v>
      </c>
      <c r="X15">
        <f>IF(AND(SUM(VLOOKUP($A15,test!$A$3:$F$32,2,FALSE),VLOOKUP(X$1,test!$A$3:$F$32,2,FALSE))&lt;test!$K$16,$A15&lt;&gt;X$1,feasible_mat!X15=1),SUM(VLOOKUP($A15,test!$A$3:$F$32,2,FALSE),VLOOKUP(X$1,test!$A$3:$F$32,2,FALSE)),0)</f>
        <v>0</v>
      </c>
      <c r="Y15">
        <f>IF(AND(SUM(VLOOKUP($A15,test!$A$3:$F$32,2,FALSE),VLOOKUP(Y$1,test!$A$3:$F$32,2,FALSE))&lt;test!$K$16,$A15&lt;&gt;Y$1,feasible_mat!Y15=1),SUM(VLOOKUP($A15,test!$A$3:$F$32,2,FALSE),VLOOKUP(Y$1,test!$A$3:$F$32,2,FALSE)),0)</f>
        <v>0</v>
      </c>
      <c r="Z15">
        <f>IF(AND(SUM(VLOOKUP($A15,test!$A$3:$F$32,2,FALSE),VLOOKUP(Z$1,test!$A$3:$F$32,2,FALSE))&lt;test!$K$16,$A15&lt;&gt;Z$1,feasible_mat!Z15=1),SUM(VLOOKUP($A15,test!$A$3:$F$32,2,FALSE),VLOOKUP(Z$1,test!$A$3:$F$32,2,FALSE)),0)</f>
        <v>0</v>
      </c>
      <c r="AA15">
        <f>IF(AND(SUM(VLOOKUP($A15,test!$A$3:$F$32,2,FALSE),VLOOKUP(AA$1,test!$A$3:$F$32,2,FALSE))&lt;test!$K$16,$A15&lt;&gt;AA$1,feasible_mat!AA15=1),SUM(VLOOKUP($A15,test!$A$3:$F$32,2,FALSE),VLOOKUP(AA$1,test!$A$3:$F$32,2,FALSE)),0)</f>
        <v>0</v>
      </c>
      <c r="AB15">
        <f>IF(AND(SUM(VLOOKUP($A15,test!$A$3:$F$32,2,FALSE),VLOOKUP(AB$1,test!$A$3:$F$32,2,FALSE))&lt;test!$K$16,$A15&lt;&gt;AB$1,feasible_mat!AB15=1),SUM(VLOOKUP($A15,test!$A$3:$F$32,2,FALSE),VLOOKUP(AB$1,test!$A$3:$F$32,2,FALSE)),0)</f>
        <v>0</v>
      </c>
      <c r="AC15">
        <f>IF(AND(SUM(VLOOKUP($A15,test!$A$3:$F$32,2,FALSE),VLOOKUP(AC$1,test!$A$3:$F$32,2,FALSE))&lt;test!$K$16,$A15&lt;&gt;AC$1,feasible_mat!AC15=1),SUM(VLOOKUP($A15,test!$A$3:$F$32,2,FALSE),VLOOKUP(AC$1,test!$A$3:$F$32,2,FALSE)),0)</f>
        <v>0</v>
      </c>
      <c r="AD15">
        <f>IF(AND(SUM(VLOOKUP($A15,test!$A$3:$F$32,2,FALSE),VLOOKUP(AD$1,test!$A$3:$F$32,2,FALSE))&lt;test!$K$16,$A15&lt;&gt;AD$1,feasible_mat!AD15=1),SUM(VLOOKUP($A15,test!$A$3:$F$32,2,FALSE),VLOOKUP(AD$1,test!$A$3:$F$32,2,FALSE)),0)</f>
        <v>0</v>
      </c>
      <c r="AE15">
        <f>IF(AND(SUM(VLOOKUP($A15,test!$A$3:$F$32,2,FALSE),VLOOKUP(AE$1,test!$A$3:$F$32,2,FALSE))&lt;test!$K$16,$A15&lt;&gt;AE$1,feasible_mat!AE15=1),SUM(VLOOKUP($A15,test!$A$3:$F$32,2,FALSE),VLOOKUP(AE$1,test!$A$3:$F$32,2,FALSE)),0)</f>
        <v>0</v>
      </c>
      <c r="AF15">
        <f>IF(AND(SUM(VLOOKUP($A15,test!$A$3:$F$32,2,FALSE),VLOOKUP(AF$1,test!$A$3:$F$32,2,FALSE))&lt;test!$K$16,$A15&lt;&gt;AF$1,feasible_mat!AF15=1),SUM(VLOOKUP($A15,test!$A$3:$F$32,2,FALSE),VLOOKUP(AF$1,test!$A$3:$F$32,2,FALSE)),0)</f>
        <v>0</v>
      </c>
      <c r="AG15">
        <v>60</v>
      </c>
      <c r="AH15">
        <v>75</v>
      </c>
      <c r="AI15">
        <v>70</v>
      </c>
    </row>
    <row r="16" spans="1:35" x14ac:dyDescent="0.25">
      <c r="A16" t="s">
        <v>24</v>
      </c>
      <c r="B16">
        <v>0</v>
      </c>
      <c r="C16">
        <f>IF(AND(SUM(VLOOKUP($A16,test!$A$3:$F$32,2,FALSE),VLOOKUP(C$1,test!$A$3:$F$32,2,FALSE))&lt;test!$K$16,$A16&lt;&gt;C$1,feasible_mat!C16=1),SUM(VLOOKUP($A16,test!$A$3:$F$32,2,FALSE),VLOOKUP(C$1,test!$A$3:$F$32,2,FALSE)),0)</f>
        <v>0</v>
      </c>
      <c r="D16">
        <f>IF(AND(SUM(VLOOKUP($A16,test!$A$3:$F$32,2,FALSE),VLOOKUP(D$1,test!$A$3:$F$32,2,FALSE))&lt;test!$K$16,$A16&lt;&gt;D$1,feasible_mat!D16=1),SUM(VLOOKUP($A16,test!$A$3:$F$32,2,FALSE),VLOOKUP(D$1,test!$A$3:$F$32,2,FALSE)),0)</f>
        <v>0</v>
      </c>
      <c r="E16">
        <f>IF(AND(SUM(VLOOKUP($A16,test!$A$3:$F$32,2,FALSE),VLOOKUP(E$1,test!$A$3:$F$32,2,FALSE))&lt;test!$K$16,$A16&lt;&gt;E$1,feasible_mat!E16=1),SUM(VLOOKUP($A16,test!$A$3:$F$32,2,FALSE),VLOOKUP(E$1,test!$A$3:$F$32,2,FALSE)),0)</f>
        <v>0</v>
      </c>
      <c r="F16">
        <f>IF(AND(SUM(VLOOKUP($A16,test!$A$3:$F$32,2,FALSE),VLOOKUP(F$1,test!$A$3:$F$32,2,FALSE))&lt;test!$K$16,$A16&lt;&gt;F$1,feasible_mat!F16=1),SUM(VLOOKUP($A16,test!$A$3:$F$32,2,FALSE),VLOOKUP(F$1,test!$A$3:$F$32,2,FALSE)),0)</f>
        <v>0</v>
      </c>
      <c r="G16">
        <f>IF(AND(SUM(VLOOKUP($A16,test!$A$3:$F$32,2,FALSE),VLOOKUP(G$1,test!$A$3:$F$32,2,FALSE))&lt;test!$K$16,$A16&lt;&gt;G$1,feasible_mat!G16=1),SUM(VLOOKUP($A16,test!$A$3:$F$32,2,FALSE),VLOOKUP(G$1,test!$A$3:$F$32,2,FALSE)),0)</f>
        <v>0</v>
      </c>
      <c r="H16">
        <f>IF(AND(SUM(VLOOKUP($A16,test!$A$3:$F$32,2,FALSE),VLOOKUP(H$1,test!$A$3:$F$32,2,FALSE))&lt;test!$K$16,$A16&lt;&gt;H$1,feasible_mat!H16=1),SUM(VLOOKUP($A16,test!$A$3:$F$32,2,FALSE),VLOOKUP(H$1,test!$A$3:$F$32,2,FALSE)),0)</f>
        <v>0</v>
      </c>
      <c r="I16">
        <f>IF(AND(SUM(VLOOKUP($A16,test!$A$3:$F$32,2,FALSE),VLOOKUP(I$1,test!$A$3:$F$32,2,FALSE))&lt;test!$K$16,$A16&lt;&gt;I$1,feasible_mat!I16=1),SUM(VLOOKUP($A16,test!$A$3:$F$32,2,FALSE),VLOOKUP(I$1,test!$A$3:$F$32,2,FALSE)),0)</f>
        <v>0</v>
      </c>
      <c r="J16">
        <f>IF(AND(SUM(VLOOKUP($A16,test!$A$3:$F$32,2,FALSE),VLOOKUP(J$1,test!$A$3:$F$32,2,FALSE))&lt;test!$K$16,$A16&lt;&gt;J$1,feasible_mat!J16=1),SUM(VLOOKUP($A16,test!$A$3:$F$32,2,FALSE),VLOOKUP(J$1,test!$A$3:$F$32,2,FALSE)),0)</f>
        <v>0</v>
      </c>
      <c r="K16">
        <f>IF(AND(SUM(VLOOKUP($A16,test!$A$3:$F$32,2,FALSE),VLOOKUP(K$1,test!$A$3:$F$32,2,FALSE))&lt;test!$K$16,$A16&lt;&gt;K$1,feasible_mat!K16=1),SUM(VLOOKUP($A16,test!$A$3:$F$32,2,FALSE),VLOOKUP(K$1,test!$A$3:$F$32,2,FALSE)),0)</f>
        <v>0</v>
      </c>
      <c r="L16">
        <f>IF(AND(SUM(VLOOKUP($A16,test!$A$3:$F$32,2,FALSE),VLOOKUP(L$1,test!$A$3:$F$32,2,FALSE))&lt;test!$K$16,$A16&lt;&gt;L$1,feasible_mat!L16=1),SUM(VLOOKUP($A16,test!$A$3:$F$32,2,FALSE),VLOOKUP(L$1,test!$A$3:$F$32,2,FALSE)),0)</f>
        <v>0</v>
      </c>
      <c r="M16">
        <f>IF(AND(SUM(VLOOKUP($A16,test!$A$3:$F$32,2,FALSE),VLOOKUP(M$1,test!$A$3:$F$32,2,FALSE))&lt;test!$K$16,$A16&lt;&gt;M$1,feasible_mat!M16=1),SUM(VLOOKUP($A16,test!$A$3:$F$32,2,FALSE),VLOOKUP(M$1,test!$A$3:$F$32,2,FALSE)),0)</f>
        <v>0</v>
      </c>
      <c r="N16">
        <f>IF(AND(SUM(VLOOKUP($A16,test!$A$3:$F$32,2,FALSE),VLOOKUP(N$1,test!$A$3:$F$32,2,FALSE))&lt;test!$K$16,$A16&lt;&gt;N$1,feasible_mat!N16=1),SUM(VLOOKUP($A16,test!$A$3:$F$32,2,FALSE),VLOOKUP(N$1,test!$A$3:$F$32,2,FALSE)),0)</f>
        <v>0</v>
      </c>
      <c r="O16">
        <f>IF(AND(SUM(VLOOKUP($A16,test!$A$3:$F$32,2,FALSE),VLOOKUP(O$1,test!$A$3:$F$32,2,FALSE))&lt;test!$K$16,$A16&lt;&gt;O$1,feasible_mat!O16=1),SUM(VLOOKUP($A16,test!$A$3:$F$32,2,FALSE),VLOOKUP(O$1,test!$A$3:$F$32,2,FALSE)),0)</f>
        <v>0</v>
      </c>
      <c r="P16">
        <f>IF(AND(SUM(VLOOKUP($A16,test!$A$3:$F$32,2,FALSE),VLOOKUP(P$1,test!$A$3:$F$32,2,FALSE))&lt;test!$K$16,$A16&lt;&gt;P$1,feasible_mat!P16=1),SUM(VLOOKUP($A16,test!$A$3:$F$32,2,FALSE),VLOOKUP(P$1,test!$A$3:$F$32,2,FALSE)),0)</f>
        <v>0</v>
      </c>
      <c r="Q16">
        <f>IF(AND(SUM(VLOOKUP($A16,test!$A$3:$F$32,2,FALSE),VLOOKUP(Q$1,test!$A$3:$F$32,2,FALSE))&lt;test!$K$16,$A16&lt;&gt;Q$1,feasible_mat!Q16=1),SUM(VLOOKUP($A16,test!$A$3:$F$32,2,FALSE),VLOOKUP(Q$1,test!$A$3:$F$32,2,FALSE)),0)</f>
        <v>0</v>
      </c>
      <c r="R16">
        <f>IF(AND(SUM(VLOOKUP($A16,test!$A$3:$F$32,2,FALSE),VLOOKUP(R$1,test!$A$3:$F$32,2,FALSE))&lt;test!$K$16,$A16&lt;&gt;R$1,feasible_mat!R16=1),SUM(VLOOKUP($A16,test!$A$3:$F$32,2,FALSE),VLOOKUP(R$1,test!$A$3:$F$32,2,FALSE)),0)</f>
        <v>0</v>
      </c>
      <c r="S16">
        <f>IF(AND(SUM(VLOOKUP($A16,test!$A$3:$F$32,2,FALSE),VLOOKUP(S$1,test!$A$3:$F$32,2,FALSE))&lt;test!$K$16,$A16&lt;&gt;S$1,feasible_mat!S16=1),SUM(VLOOKUP($A16,test!$A$3:$F$32,2,FALSE),VLOOKUP(S$1,test!$A$3:$F$32,2,FALSE)),0)</f>
        <v>0</v>
      </c>
      <c r="T16">
        <f>IF(AND(SUM(VLOOKUP($A16,test!$A$3:$F$32,2,FALSE),VLOOKUP(T$1,test!$A$3:$F$32,2,FALSE))&lt;test!$K$16,$A16&lt;&gt;T$1,feasible_mat!T16=1),SUM(VLOOKUP($A16,test!$A$3:$F$32,2,FALSE),VLOOKUP(T$1,test!$A$3:$F$32,2,FALSE)),0)</f>
        <v>0</v>
      </c>
      <c r="U16">
        <f>IF(AND(SUM(VLOOKUP($A16,test!$A$3:$F$32,2,FALSE),VLOOKUP(U$1,test!$A$3:$F$32,2,FALSE))&lt;test!$K$16,$A16&lt;&gt;U$1,feasible_mat!U16=1),SUM(VLOOKUP($A16,test!$A$3:$F$32,2,FALSE),VLOOKUP(U$1,test!$A$3:$F$32,2,FALSE)),0)</f>
        <v>0</v>
      </c>
      <c r="V16">
        <f>IF(AND(SUM(VLOOKUP($A16,test!$A$3:$F$32,2,FALSE),VLOOKUP(V$1,test!$A$3:$F$32,2,FALSE))&lt;test!$K$16,$A16&lt;&gt;V$1,feasible_mat!V16=1),SUM(VLOOKUP($A16,test!$A$3:$F$32,2,FALSE),VLOOKUP(V$1,test!$A$3:$F$32,2,FALSE)),0)</f>
        <v>0</v>
      </c>
      <c r="W16">
        <f>IF(AND(SUM(VLOOKUP($A16,test!$A$3:$F$32,2,FALSE),VLOOKUP(W$1,test!$A$3:$F$32,2,FALSE))&lt;test!$K$16,$A16&lt;&gt;W$1,feasible_mat!W16=1),SUM(VLOOKUP($A16,test!$A$3:$F$32,2,FALSE),VLOOKUP(W$1,test!$A$3:$F$32,2,FALSE)),0)</f>
        <v>0</v>
      </c>
      <c r="X16">
        <f>IF(AND(SUM(VLOOKUP($A16,test!$A$3:$F$32,2,FALSE),VLOOKUP(X$1,test!$A$3:$F$32,2,FALSE))&lt;test!$K$16,$A16&lt;&gt;X$1,feasible_mat!X16=1),SUM(VLOOKUP($A16,test!$A$3:$F$32,2,FALSE),VLOOKUP(X$1,test!$A$3:$F$32,2,FALSE)),0)</f>
        <v>0</v>
      </c>
      <c r="Y16">
        <f>IF(AND(SUM(VLOOKUP($A16,test!$A$3:$F$32,2,FALSE),VLOOKUP(Y$1,test!$A$3:$F$32,2,FALSE))&lt;test!$K$16,$A16&lt;&gt;Y$1,feasible_mat!Y16=1),SUM(VLOOKUP($A16,test!$A$3:$F$32,2,FALSE),VLOOKUP(Y$1,test!$A$3:$F$32,2,FALSE)),0)</f>
        <v>0</v>
      </c>
      <c r="Z16">
        <f>IF(AND(SUM(VLOOKUP($A16,test!$A$3:$F$32,2,FALSE),VLOOKUP(Z$1,test!$A$3:$F$32,2,FALSE))&lt;test!$K$16,$A16&lt;&gt;Z$1,feasible_mat!Z16=1),SUM(VLOOKUP($A16,test!$A$3:$F$32,2,FALSE),VLOOKUP(Z$1,test!$A$3:$F$32,2,FALSE)),0)</f>
        <v>0</v>
      </c>
      <c r="AA16">
        <f>IF(AND(SUM(VLOOKUP($A16,test!$A$3:$F$32,2,FALSE),VLOOKUP(AA$1,test!$A$3:$F$32,2,FALSE))&lt;test!$K$16,$A16&lt;&gt;AA$1,feasible_mat!AA16=1),SUM(VLOOKUP($A16,test!$A$3:$F$32,2,FALSE),VLOOKUP(AA$1,test!$A$3:$F$32,2,FALSE)),0)</f>
        <v>0</v>
      </c>
      <c r="AB16">
        <f>IF(AND(SUM(VLOOKUP($A16,test!$A$3:$F$32,2,FALSE),VLOOKUP(AB$1,test!$A$3:$F$32,2,FALSE))&lt;test!$K$16,$A16&lt;&gt;AB$1,feasible_mat!AB16=1),SUM(VLOOKUP($A16,test!$A$3:$F$32,2,FALSE),VLOOKUP(AB$1,test!$A$3:$F$32,2,FALSE)),0)</f>
        <v>0</v>
      </c>
      <c r="AC16">
        <f>IF(AND(SUM(VLOOKUP($A16,test!$A$3:$F$32,2,FALSE),VLOOKUP(AC$1,test!$A$3:$F$32,2,FALSE))&lt;test!$K$16,$A16&lt;&gt;AC$1,feasible_mat!AC16=1),SUM(VLOOKUP($A16,test!$A$3:$F$32,2,FALSE),VLOOKUP(AC$1,test!$A$3:$F$32,2,FALSE)),0)</f>
        <v>0</v>
      </c>
      <c r="AD16">
        <f>IF(AND(SUM(VLOOKUP($A16,test!$A$3:$F$32,2,FALSE),VLOOKUP(AD$1,test!$A$3:$F$32,2,FALSE))&lt;test!$K$16,$A16&lt;&gt;AD$1,feasible_mat!AD16=1),SUM(VLOOKUP($A16,test!$A$3:$F$32,2,FALSE),VLOOKUP(AD$1,test!$A$3:$F$32,2,FALSE)),0)</f>
        <v>0</v>
      </c>
      <c r="AE16">
        <f>IF(AND(SUM(VLOOKUP($A16,test!$A$3:$F$32,2,FALSE),VLOOKUP(AE$1,test!$A$3:$F$32,2,FALSE))&lt;test!$K$16,$A16&lt;&gt;AE$1,feasible_mat!AE16=1),SUM(VLOOKUP($A16,test!$A$3:$F$32,2,FALSE),VLOOKUP(AE$1,test!$A$3:$F$32,2,FALSE)),0)</f>
        <v>0</v>
      </c>
      <c r="AF16">
        <f>IF(AND(SUM(VLOOKUP($A16,test!$A$3:$F$32,2,FALSE),VLOOKUP(AF$1,test!$A$3:$F$32,2,FALSE))&lt;test!$K$16,$A16&lt;&gt;AF$1,feasible_mat!AF16=1),SUM(VLOOKUP($A16,test!$A$3:$F$32,2,FALSE),VLOOKUP(AF$1,test!$A$3:$F$32,2,FALSE)),0)</f>
        <v>0</v>
      </c>
      <c r="AG16">
        <v>60</v>
      </c>
      <c r="AH16">
        <v>75</v>
      </c>
      <c r="AI16">
        <v>70</v>
      </c>
    </row>
    <row r="17" spans="1:35" x14ac:dyDescent="0.25">
      <c r="A17" t="s">
        <v>26</v>
      </c>
      <c r="B17">
        <v>0</v>
      </c>
      <c r="C17">
        <f>IF(AND(SUM(VLOOKUP($A17,test!$A$3:$F$32,2,FALSE),VLOOKUP(C$1,test!$A$3:$F$32,2,FALSE))&lt;test!$K$16,$A17&lt;&gt;C$1,feasible_mat!C17=1),SUM(VLOOKUP($A17,test!$A$3:$F$32,2,FALSE),VLOOKUP(C$1,test!$A$3:$F$32,2,FALSE)),0)</f>
        <v>0</v>
      </c>
      <c r="D17">
        <f>IF(AND(SUM(VLOOKUP($A17,test!$A$3:$F$32,2,FALSE),VLOOKUP(D$1,test!$A$3:$F$32,2,FALSE))&lt;test!$K$16,$A17&lt;&gt;D$1,feasible_mat!D17=1),SUM(VLOOKUP($A17,test!$A$3:$F$32,2,FALSE),VLOOKUP(D$1,test!$A$3:$F$32,2,FALSE)),0)</f>
        <v>270</v>
      </c>
      <c r="E17">
        <f>IF(AND(SUM(VLOOKUP($A17,test!$A$3:$F$32,2,FALSE),VLOOKUP(E$1,test!$A$3:$F$32,2,FALSE))&lt;test!$K$16,$A17&lt;&gt;E$1,feasible_mat!E17=1),SUM(VLOOKUP($A17,test!$A$3:$F$32,2,FALSE),VLOOKUP(E$1,test!$A$3:$F$32,2,FALSE)),0)</f>
        <v>270</v>
      </c>
      <c r="F17">
        <f>IF(AND(SUM(VLOOKUP($A17,test!$A$3:$F$32,2,FALSE),VLOOKUP(F$1,test!$A$3:$F$32,2,FALSE))&lt;test!$K$16,$A17&lt;&gt;F$1,feasible_mat!F17=1),SUM(VLOOKUP($A17,test!$A$3:$F$32,2,FALSE),VLOOKUP(F$1,test!$A$3:$F$32,2,FALSE)),0)</f>
        <v>270</v>
      </c>
      <c r="G17">
        <f>IF(AND(SUM(VLOOKUP($A17,test!$A$3:$F$32,2,FALSE),VLOOKUP(G$1,test!$A$3:$F$32,2,FALSE))&lt;test!$K$16,$A17&lt;&gt;G$1,feasible_mat!G17=1),SUM(VLOOKUP($A17,test!$A$3:$F$32,2,FALSE),VLOOKUP(G$1,test!$A$3:$F$32,2,FALSE)),0)</f>
        <v>270</v>
      </c>
      <c r="H17">
        <f>IF(AND(SUM(VLOOKUP($A17,test!$A$3:$F$32,2,FALSE),VLOOKUP(H$1,test!$A$3:$F$32,2,FALSE))&lt;test!$K$16,$A17&lt;&gt;H$1,feasible_mat!H17=1),SUM(VLOOKUP($A17,test!$A$3:$F$32,2,FALSE),VLOOKUP(H$1,test!$A$3:$F$32,2,FALSE)),0)</f>
        <v>270</v>
      </c>
      <c r="I17">
        <f>IF(AND(SUM(VLOOKUP($A17,test!$A$3:$F$32,2,FALSE),VLOOKUP(I$1,test!$A$3:$F$32,2,FALSE))&lt;test!$K$16,$A17&lt;&gt;I$1,feasible_mat!I17=1),SUM(VLOOKUP($A17,test!$A$3:$F$32,2,FALSE),VLOOKUP(I$1,test!$A$3:$F$32,2,FALSE)),0)</f>
        <v>270</v>
      </c>
      <c r="J17">
        <f>IF(AND(SUM(VLOOKUP($A17,test!$A$3:$F$32,2,FALSE),VLOOKUP(J$1,test!$A$3:$F$32,2,FALSE))&lt;test!$K$16,$A17&lt;&gt;J$1,feasible_mat!J17=1),SUM(VLOOKUP($A17,test!$A$3:$F$32,2,FALSE),VLOOKUP(J$1,test!$A$3:$F$32,2,FALSE)),0)</f>
        <v>270</v>
      </c>
      <c r="K17">
        <f>IF(AND(SUM(VLOOKUP($A17,test!$A$3:$F$32,2,FALSE),VLOOKUP(K$1,test!$A$3:$F$32,2,FALSE))&lt;test!$K$16,$A17&lt;&gt;K$1,feasible_mat!K17=1),SUM(VLOOKUP($A17,test!$A$3:$F$32,2,FALSE),VLOOKUP(K$1,test!$A$3:$F$32,2,FALSE)),0)</f>
        <v>0</v>
      </c>
      <c r="L17">
        <f>IF(AND(SUM(VLOOKUP($A17,test!$A$3:$F$32,2,FALSE),VLOOKUP(L$1,test!$A$3:$F$32,2,FALSE))&lt;test!$K$16,$A17&lt;&gt;L$1,feasible_mat!L17=1),SUM(VLOOKUP($A17,test!$A$3:$F$32,2,FALSE),VLOOKUP(L$1,test!$A$3:$F$32,2,FALSE)),0)</f>
        <v>0</v>
      </c>
      <c r="M17">
        <f>IF(AND(SUM(VLOOKUP($A17,test!$A$3:$F$32,2,FALSE),VLOOKUP(M$1,test!$A$3:$F$32,2,FALSE))&lt;test!$K$16,$A17&lt;&gt;M$1,feasible_mat!M17=1),SUM(VLOOKUP($A17,test!$A$3:$F$32,2,FALSE),VLOOKUP(M$1,test!$A$3:$F$32,2,FALSE)),0)</f>
        <v>275</v>
      </c>
      <c r="N17">
        <f>IF(AND(SUM(VLOOKUP($A17,test!$A$3:$F$32,2,FALSE),VLOOKUP(N$1,test!$A$3:$F$32,2,FALSE))&lt;test!$K$16,$A17&lt;&gt;N$1,feasible_mat!N17=1),SUM(VLOOKUP($A17,test!$A$3:$F$32,2,FALSE),VLOOKUP(N$1,test!$A$3:$F$32,2,FALSE)),0)</f>
        <v>275</v>
      </c>
      <c r="O17">
        <f>IF(AND(SUM(VLOOKUP($A17,test!$A$3:$F$32,2,FALSE),VLOOKUP(O$1,test!$A$3:$F$32,2,FALSE))&lt;test!$K$16,$A17&lt;&gt;O$1,feasible_mat!O17=1),SUM(VLOOKUP($A17,test!$A$3:$F$32,2,FALSE),VLOOKUP(O$1,test!$A$3:$F$32,2,FALSE)),0)</f>
        <v>275</v>
      </c>
      <c r="P17">
        <f>IF(AND(SUM(VLOOKUP($A17,test!$A$3:$F$32,2,FALSE),VLOOKUP(P$1,test!$A$3:$F$32,2,FALSE))&lt;test!$K$16,$A17&lt;&gt;P$1,feasible_mat!P17=1),SUM(VLOOKUP($A17,test!$A$3:$F$32,2,FALSE),VLOOKUP(P$1,test!$A$3:$F$32,2,FALSE)),0)</f>
        <v>0</v>
      </c>
      <c r="Q17">
        <f>IF(AND(SUM(VLOOKUP($A17,test!$A$3:$F$32,2,FALSE),VLOOKUP(Q$1,test!$A$3:$F$32,2,FALSE))&lt;test!$K$16,$A17&lt;&gt;Q$1,feasible_mat!Q17=1),SUM(VLOOKUP($A17,test!$A$3:$F$32,2,FALSE),VLOOKUP(Q$1,test!$A$3:$F$32,2,FALSE)),0)</f>
        <v>0</v>
      </c>
      <c r="R17">
        <f>IF(AND(SUM(VLOOKUP($A17,test!$A$3:$F$32,2,FALSE),VLOOKUP(R$1,test!$A$3:$F$32,2,FALSE))&lt;test!$K$16,$A17&lt;&gt;R$1,feasible_mat!R17=1),SUM(VLOOKUP($A17,test!$A$3:$F$32,2,FALSE),VLOOKUP(R$1,test!$A$3:$F$32,2,FALSE)),0)</f>
        <v>0</v>
      </c>
      <c r="S17">
        <f>IF(AND(SUM(VLOOKUP($A17,test!$A$3:$F$32,2,FALSE),VLOOKUP(S$1,test!$A$3:$F$32,2,FALSE))&lt;test!$K$16,$A17&lt;&gt;S$1,feasible_mat!S17=1),SUM(VLOOKUP($A17,test!$A$3:$F$32,2,FALSE),VLOOKUP(S$1,test!$A$3:$F$32,2,FALSE)),0)</f>
        <v>0</v>
      </c>
      <c r="T17">
        <f>IF(AND(SUM(VLOOKUP($A17,test!$A$3:$F$32,2,FALSE),VLOOKUP(T$1,test!$A$3:$F$32,2,FALSE))&lt;test!$K$16,$A17&lt;&gt;T$1,feasible_mat!T17=1),SUM(VLOOKUP($A17,test!$A$3:$F$32,2,FALSE),VLOOKUP(T$1,test!$A$3:$F$32,2,FALSE)),0)</f>
        <v>0</v>
      </c>
      <c r="U17">
        <f>IF(AND(SUM(VLOOKUP($A17,test!$A$3:$F$32,2,FALSE),VLOOKUP(U$1,test!$A$3:$F$32,2,FALSE))&lt;test!$K$16,$A17&lt;&gt;U$1,feasible_mat!U17=1),SUM(VLOOKUP($A17,test!$A$3:$F$32,2,FALSE),VLOOKUP(U$1,test!$A$3:$F$32,2,FALSE)),0)</f>
        <v>0</v>
      </c>
      <c r="V17">
        <f>IF(AND(SUM(VLOOKUP($A17,test!$A$3:$F$32,2,FALSE),VLOOKUP(V$1,test!$A$3:$F$32,2,FALSE))&lt;test!$K$16,$A17&lt;&gt;V$1,feasible_mat!V17=1),SUM(VLOOKUP($A17,test!$A$3:$F$32,2,FALSE),VLOOKUP(V$1,test!$A$3:$F$32,2,FALSE)),0)</f>
        <v>0</v>
      </c>
      <c r="W17">
        <f>IF(AND(SUM(VLOOKUP($A17,test!$A$3:$F$32,2,FALSE),VLOOKUP(W$1,test!$A$3:$F$32,2,FALSE))&lt;test!$K$16,$A17&lt;&gt;W$1,feasible_mat!W17=1),SUM(VLOOKUP($A17,test!$A$3:$F$32,2,FALSE),VLOOKUP(W$1,test!$A$3:$F$32,2,FALSE)),0)</f>
        <v>0</v>
      </c>
      <c r="X17">
        <f>IF(AND(SUM(VLOOKUP($A17,test!$A$3:$F$32,2,FALSE),VLOOKUP(X$1,test!$A$3:$F$32,2,FALSE))&lt;test!$K$16,$A17&lt;&gt;X$1,feasible_mat!X17=1),SUM(VLOOKUP($A17,test!$A$3:$F$32,2,FALSE),VLOOKUP(X$1,test!$A$3:$F$32,2,FALSE)),0)</f>
        <v>0</v>
      </c>
      <c r="Y17">
        <f>IF(AND(SUM(VLOOKUP($A17,test!$A$3:$F$32,2,FALSE),VLOOKUP(Y$1,test!$A$3:$F$32,2,FALSE))&lt;test!$K$16,$A17&lt;&gt;Y$1,feasible_mat!Y17=1),SUM(VLOOKUP($A17,test!$A$3:$F$32,2,FALSE),VLOOKUP(Y$1,test!$A$3:$F$32,2,FALSE)),0)</f>
        <v>0</v>
      </c>
      <c r="Z17">
        <f>IF(AND(SUM(VLOOKUP($A17,test!$A$3:$F$32,2,FALSE),VLOOKUP(Z$1,test!$A$3:$F$32,2,FALSE))&lt;test!$K$16,$A17&lt;&gt;Z$1,feasible_mat!Z17=1),SUM(VLOOKUP($A17,test!$A$3:$F$32,2,FALSE),VLOOKUP(Z$1,test!$A$3:$F$32,2,FALSE)),0)</f>
        <v>0</v>
      </c>
      <c r="AA17">
        <f>IF(AND(SUM(VLOOKUP($A17,test!$A$3:$F$32,2,FALSE),VLOOKUP(AA$1,test!$A$3:$F$32,2,FALSE))&lt;test!$K$16,$A17&lt;&gt;AA$1,feasible_mat!AA17=1),SUM(VLOOKUP($A17,test!$A$3:$F$32,2,FALSE),VLOOKUP(AA$1,test!$A$3:$F$32,2,FALSE)),0)</f>
        <v>0</v>
      </c>
      <c r="AB17">
        <f>IF(AND(SUM(VLOOKUP($A17,test!$A$3:$F$32,2,FALSE),VLOOKUP(AB$1,test!$A$3:$F$32,2,FALSE))&lt;test!$K$16,$A17&lt;&gt;AB$1,feasible_mat!AB17=1),SUM(VLOOKUP($A17,test!$A$3:$F$32,2,FALSE),VLOOKUP(AB$1,test!$A$3:$F$32,2,FALSE)),0)</f>
        <v>0</v>
      </c>
      <c r="AC17">
        <f>IF(AND(SUM(VLOOKUP($A17,test!$A$3:$F$32,2,FALSE),VLOOKUP(AC$1,test!$A$3:$F$32,2,FALSE))&lt;test!$K$16,$A17&lt;&gt;AC$1,feasible_mat!AC17=1),SUM(VLOOKUP($A17,test!$A$3:$F$32,2,FALSE),VLOOKUP(AC$1,test!$A$3:$F$32,2,FALSE)),0)</f>
        <v>0</v>
      </c>
      <c r="AD17">
        <f>IF(AND(SUM(VLOOKUP($A17,test!$A$3:$F$32,2,FALSE),VLOOKUP(AD$1,test!$A$3:$F$32,2,FALSE))&lt;test!$K$16,$A17&lt;&gt;AD$1,feasible_mat!AD17=1),SUM(VLOOKUP($A17,test!$A$3:$F$32,2,FALSE),VLOOKUP(AD$1,test!$A$3:$F$32,2,FALSE)),0)</f>
        <v>0</v>
      </c>
      <c r="AE17">
        <f>IF(AND(SUM(VLOOKUP($A17,test!$A$3:$F$32,2,FALSE),VLOOKUP(AE$1,test!$A$3:$F$32,2,FALSE))&lt;test!$K$16,$A17&lt;&gt;AE$1,feasible_mat!AE17=1),SUM(VLOOKUP($A17,test!$A$3:$F$32,2,FALSE),VLOOKUP(AE$1,test!$A$3:$F$32,2,FALSE)),0)</f>
        <v>0</v>
      </c>
      <c r="AF17">
        <f>IF(AND(SUM(VLOOKUP($A17,test!$A$3:$F$32,2,FALSE),VLOOKUP(AF$1,test!$A$3:$F$32,2,FALSE))&lt;test!$K$16,$A17&lt;&gt;AF$1,feasible_mat!AF17=1),SUM(VLOOKUP($A17,test!$A$3:$F$32,2,FALSE),VLOOKUP(AF$1,test!$A$3:$F$32,2,FALSE)),0)</f>
        <v>0</v>
      </c>
      <c r="AG17">
        <v>60</v>
      </c>
      <c r="AH17">
        <v>75</v>
      </c>
      <c r="AI17">
        <v>70</v>
      </c>
    </row>
    <row r="18" spans="1:35" x14ac:dyDescent="0.25">
      <c r="A18" t="s">
        <v>27</v>
      </c>
      <c r="B18">
        <v>0</v>
      </c>
      <c r="C18">
        <f>IF(AND(SUM(VLOOKUP($A18,test!$A$3:$F$32,2,FALSE),VLOOKUP(C$1,test!$A$3:$F$32,2,FALSE))&lt;test!$K$16,$A18&lt;&gt;C$1,feasible_mat!C18=1),SUM(VLOOKUP($A18,test!$A$3:$F$32,2,FALSE),VLOOKUP(C$1,test!$A$3:$F$32,2,FALSE)),0)</f>
        <v>0</v>
      </c>
      <c r="D18">
        <f>IF(AND(SUM(VLOOKUP($A18,test!$A$3:$F$32,2,FALSE),VLOOKUP(D$1,test!$A$3:$F$32,2,FALSE))&lt;test!$K$16,$A18&lt;&gt;D$1,feasible_mat!D18=1),SUM(VLOOKUP($A18,test!$A$3:$F$32,2,FALSE),VLOOKUP(D$1,test!$A$3:$F$32,2,FALSE)),0)</f>
        <v>0</v>
      </c>
      <c r="E18">
        <f>IF(AND(SUM(VLOOKUP($A18,test!$A$3:$F$32,2,FALSE),VLOOKUP(E$1,test!$A$3:$F$32,2,FALSE))&lt;test!$K$16,$A18&lt;&gt;E$1,feasible_mat!E18=1),SUM(VLOOKUP($A18,test!$A$3:$F$32,2,FALSE),VLOOKUP(E$1,test!$A$3:$F$32,2,FALSE)),0)</f>
        <v>270</v>
      </c>
      <c r="F18">
        <f>IF(AND(SUM(VLOOKUP($A18,test!$A$3:$F$32,2,FALSE),VLOOKUP(F$1,test!$A$3:$F$32,2,FALSE))&lt;test!$K$16,$A18&lt;&gt;F$1,feasible_mat!F18=1),SUM(VLOOKUP($A18,test!$A$3:$F$32,2,FALSE),VLOOKUP(F$1,test!$A$3:$F$32,2,FALSE)),0)</f>
        <v>270</v>
      </c>
      <c r="G18">
        <f>IF(AND(SUM(VLOOKUP($A18,test!$A$3:$F$32,2,FALSE),VLOOKUP(G$1,test!$A$3:$F$32,2,FALSE))&lt;test!$K$16,$A18&lt;&gt;G$1,feasible_mat!G18=1),SUM(VLOOKUP($A18,test!$A$3:$F$32,2,FALSE),VLOOKUP(G$1,test!$A$3:$F$32,2,FALSE)),0)</f>
        <v>270</v>
      </c>
      <c r="H18">
        <f>IF(AND(SUM(VLOOKUP($A18,test!$A$3:$F$32,2,FALSE),VLOOKUP(H$1,test!$A$3:$F$32,2,FALSE))&lt;test!$K$16,$A18&lt;&gt;H$1,feasible_mat!H18=1),SUM(VLOOKUP($A18,test!$A$3:$F$32,2,FALSE),VLOOKUP(H$1,test!$A$3:$F$32,2,FALSE)),0)</f>
        <v>270</v>
      </c>
      <c r="I18">
        <f>IF(AND(SUM(VLOOKUP($A18,test!$A$3:$F$32,2,FALSE),VLOOKUP(I$1,test!$A$3:$F$32,2,FALSE))&lt;test!$K$16,$A18&lt;&gt;I$1,feasible_mat!I18=1),SUM(VLOOKUP($A18,test!$A$3:$F$32,2,FALSE),VLOOKUP(I$1,test!$A$3:$F$32,2,FALSE)),0)</f>
        <v>270</v>
      </c>
      <c r="J18">
        <f>IF(AND(SUM(VLOOKUP($A18,test!$A$3:$F$32,2,FALSE),VLOOKUP(J$1,test!$A$3:$F$32,2,FALSE))&lt;test!$K$16,$A18&lt;&gt;J$1,feasible_mat!J18=1),SUM(VLOOKUP($A18,test!$A$3:$F$32,2,FALSE),VLOOKUP(J$1,test!$A$3:$F$32,2,FALSE)),0)</f>
        <v>270</v>
      </c>
      <c r="K18">
        <f>IF(AND(SUM(VLOOKUP($A18,test!$A$3:$F$32,2,FALSE),VLOOKUP(K$1,test!$A$3:$F$32,2,FALSE))&lt;test!$K$16,$A18&lt;&gt;K$1,feasible_mat!K18=1),SUM(VLOOKUP($A18,test!$A$3:$F$32,2,FALSE),VLOOKUP(K$1,test!$A$3:$F$32,2,FALSE)),0)</f>
        <v>0</v>
      </c>
      <c r="L18">
        <f>IF(AND(SUM(VLOOKUP($A18,test!$A$3:$F$32,2,FALSE),VLOOKUP(L$1,test!$A$3:$F$32,2,FALSE))&lt;test!$K$16,$A18&lt;&gt;L$1,feasible_mat!L18=1),SUM(VLOOKUP($A18,test!$A$3:$F$32,2,FALSE),VLOOKUP(L$1,test!$A$3:$F$32,2,FALSE)),0)</f>
        <v>0</v>
      </c>
      <c r="M18">
        <f>IF(AND(SUM(VLOOKUP($A18,test!$A$3:$F$32,2,FALSE),VLOOKUP(M$1,test!$A$3:$F$32,2,FALSE))&lt;test!$K$16,$A18&lt;&gt;M$1,feasible_mat!M18=1),SUM(VLOOKUP($A18,test!$A$3:$F$32,2,FALSE),VLOOKUP(M$1,test!$A$3:$F$32,2,FALSE)),0)</f>
        <v>275</v>
      </c>
      <c r="N18">
        <f>IF(AND(SUM(VLOOKUP($A18,test!$A$3:$F$32,2,FALSE),VLOOKUP(N$1,test!$A$3:$F$32,2,FALSE))&lt;test!$K$16,$A18&lt;&gt;N$1,feasible_mat!N18=1),SUM(VLOOKUP($A18,test!$A$3:$F$32,2,FALSE),VLOOKUP(N$1,test!$A$3:$F$32,2,FALSE)),0)</f>
        <v>275</v>
      </c>
      <c r="O18">
        <f>IF(AND(SUM(VLOOKUP($A18,test!$A$3:$F$32,2,FALSE),VLOOKUP(O$1,test!$A$3:$F$32,2,FALSE))&lt;test!$K$16,$A18&lt;&gt;O$1,feasible_mat!O18=1),SUM(VLOOKUP($A18,test!$A$3:$F$32,2,FALSE),VLOOKUP(O$1,test!$A$3:$F$32,2,FALSE)),0)</f>
        <v>275</v>
      </c>
      <c r="P18">
        <f>IF(AND(SUM(VLOOKUP($A18,test!$A$3:$F$32,2,FALSE),VLOOKUP(P$1,test!$A$3:$F$32,2,FALSE))&lt;test!$K$16,$A18&lt;&gt;P$1,feasible_mat!P18=1),SUM(VLOOKUP($A18,test!$A$3:$F$32,2,FALSE),VLOOKUP(P$1,test!$A$3:$F$32,2,FALSE)),0)</f>
        <v>0</v>
      </c>
      <c r="Q18">
        <f>IF(AND(SUM(VLOOKUP($A18,test!$A$3:$F$32,2,FALSE),VLOOKUP(Q$1,test!$A$3:$F$32,2,FALSE))&lt;test!$K$16,$A18&lt;&gt;Q$1,feasible_mat!Q18=1),SUM(VLOOKUP($A18,test!$A$3:$F$32,2,FALSE),VLOOKUP(Q$1,test!$A$3:$F$32,2,FALSE)),0)</f>
        <v>0</v>
      </c>
      <c r="R18">
        <f>IF(AND(SUM(VLOOKUP($A18,test!$A$3:$F$32,2,FALSE),VLOOKUP(R$1,test!$A$3:$F$32,2,FALSE))&lt;test!$K$16,$A18&lt;&gt;R$1,feasible_mat!R18=1),SUM(VLOOKUP($A18,test!$A$3:$F$32,2,FALSE),VLOOKUP(R$1,test!$A$3:$F$32,2,FALSE)),0)</f>
        <v>0</v>
      </c>
      <c r="S18">
        <f>IF(AND(SUM(VLOOKUP($A18,test!$A$3:$F$32,2,FALSE),VLOOKUP(S$1,test!$A$3:$F$32,2,FALSE))&lt;test!$K$16,$A18&lt;&gt;S$1,feasible_mat!S18=1),SUM(VLOOKUP($A18,test!$A$3:$F$32,2,FALSE),VLOOKUP(S$1,test!$A$3:$F$32,2,FALSE)),0)</f>
        <v>0</v>
      </c>
      <c r="T18">
        <f>IF(AND(SUM(VLOOKUP($A18,test!$A$3:$F$32,2,FALSE),VLOOKUP(T$1,test!$A$3:$F$32,2,FALSE))&lt;test!$K$16,$A18&lt;&gt;T$1,feasible_mat!T18=1),SUM(VLOOKUP($A18,test!$A$3:$F$32,2,FALSE),VLOOKUP(T$1,test!$A$3:$F$32,2,FALSE)),0)</f>
        <v>0</v>
      </c>
      <c r="U18">
        <f>IF(AND(SUM(VLOOKUP($A18,test!$A$3:$F$32,2,FALSE),VLOOKUP(U$1,test!$A$3:$F$32,2,FALSE))&lt;test!$K$16,$A18&lt;&gt;U$1,feasible_mat!U18=1),SUM(VLOOKUP($A18,test!$A$3:$F$32,2,FALSE),VLOOKUP(U$1,test!$A$3:$F$32,2,FALSE)),0)</f>
        <v>0</v>
      </c>
      <c r="V18">
        <f>IF(AND(SUM(VLOOKUP($A18,test!$A$3:$F$32,2,FALSE),VLOOKUP(V$1,test!$A$3:$F$32,2,FALSE))&lt;test!$K$16,$A18&lt;&gt;V$1,feasible_mat!V18=1),SUM(VLOOKUP($A18,test!$A$3:$F$32,2,FALSE),VLOOKUP(V$1,test!$A$3:$F$32,2,FALSE)),0)</f>
        <v>0</v>
      </c>
      <c r="W18">
        <f>IF(AND(SUM(VLOOKUP($A18,test!$A$3:$F$32,2,FALSE),VLOOKUP(W$1,test!$A$3:$F$32,2,FALSE))&lt;test!$K$16,$A18&lt;&gt;W$1,feasible_mat!W18=1),SUM(VLOOKUP($A18,test!$A$3:$F$32,2,FALSE),VLOOKUP(W$1,test!$A$3:$F$32,2,FALSE)),0)</f>
        <v>0</v>
      </c>
      <c r="X18">
        <f>IF(AND(SUM(VLOOKUP($A18,test!$A$3:$F$32,2,FALSE),VLOOKUP(X$1,test!$A$3:$F$32,2,FALSE))&lt;test!$K$16,$A18&lt;&gt;X$1,feasible_mat!X18=1),SUM(VLOOKUP($A18,test!$A$3:$F$32,2,FALSE),VLOOKUP(X$1,test!$A$3:$F$32,2,FALSE)),0)</f>
        <v>0</v>
      </c>
      <c r="Y18">
        <f>IF(AND(SUM(VLOOKUP($A18,test!$A$3:$F$32,2,FALSE),VLOOKUP(Y$1,test!$A$3:$F$32,2,FALSE))&lt;test!$K$16,$A18&lt;&gt;Y$1,feasible_mat!Y18=1),SUM(VLOOKUP($A18,test!$A$3:$F$32,2,FALSE),VLOOKUP(Y$1,test!$A$3:$F$32,2,FALSE)),0)</f>
        <v>0</v>
      </c>
      <c r="Z18">
        <f>IF(AND(SUM(VLOOKUP($A18,test!$A$3:$F$32,2,FALSE),VLOOKUP(Z$1,test!$A$3:$F$32,2,FALSE))&lt;test!$K$16,$A18&lt;&gt;Z$1,feasible_mat!Z18=1),SUM(VLOOKUP($A18,test!$A$3:$F$32,2,FALSE),VLOOKUP(Z$1,test!$A$3:$F$32,2,FALSE)),0)</f>
        <v>0</v>
      </c>
      <c r="AA18">
        <f>IF(AND(SUM(VLOOKUP($A18,test!$A$3:$F$32,2,FALSE),VLOOKUP(AA$1,test!$A$3:$F$32,2,FALSE))&lt;test!$K$16,$A18&lt;&gt;AA$1,feasible_mat!AA18=1),SUM(VLOOKUP($A18,test!$A$3:$F$32,2,FALSE),VLOOKUP(AA$1,test!$A$3:$F$32,2,FALSE)),0)</f>
        <v>0</v>
      </c>
      <c r="AB18">
        <f>IF(AND(SUM(VLOOKUP($A18,test!$A$3:$F$32,2,FALSE),VLOOKUP(AB$1,test!$A$3:$F$32,2,FALSE))&lt;test!$K$16,$A18&lt;&gt;AB$1,feasible_mat!AB18=1),SUM(VLOOKUP($A18,test!$A$3:$F$32,2,FALSE),VLOOKUP(AB$1,test!$A$3:$F$32,2,FALSE)),0)</f>
        <v>0</v>
      </c>
      <c r="AC18">
        <f>IF(AND(SUM(VLOOKUP($A18,test!$A$3:$F$32,2,FALSE),VLOOKUP(AC$1,test!$A$3:$F$32,2,FALSE))&lt;test!$K$16,$A18&lt;&gt;AC$1,feasible_mat!AC18=1),SUM(VLOOKUP($A18,test!$A$3:$F$32,2,FALSE),VLOOKUP(AC$1,test!$A$3:$F$32,2,FALSE)),0)</f>
        <v>0</v>
      </c>
      <c r="AD18">
        <f>IF(AND(SUM(VLOOKUP($A18,test!$A$3:$F$32,2,FALSE),VLOOKUP(AD$1,test!$A$3:$F$32,2,FALSE))&lt;test!$K$16,$A18&lt;&gt;AD$1,feasible_mat!AD18=1),SUM(VLOOKUP($A18,test!$A$3:$F$32,2,FALSE),VLOOKUP(AD$1,test!$A$3:$F$32,2,FALSE)),0)</f>
        <v>0</v>
      </c>
      <c r="AE18">
        <f>IF(AND(SUM(VLOOKUP($A18,test!$A$3:$F$32,2,FALSE),VLOOKUP(AE$1,test!$A$3:$F$32,2,FALSE))&lt;test!$K$16,$A18&lt;&gt;AE$1,feasible_mat!AE18=1),SUM(VLOOKUP($A18,test!$A$3:$F$32,2,FALSE),VLOOKUP(AE$1,test!$A$3:$F$32,2,FALSE)),0)</f>
        <v>0</v>
      </c>
      <c r="AF18">
        <f>IF(AND(SUM(VLOOKUP($A18,test!$A$3:$F$32,2,FALSE),VLOOKUP(AF$1,test!$A$3:$F$32,2,FALSE))&lt;test!$K$16,$A18&lt;&gt;AF$1,feasible_mat!AF18=1),SUM(VLOOKUP($A18,test!$A$3:$F$32,2,FALSE),VLOOKUP(AF$1,test!$A$3:$F$32,2,FALSE)),0)</f>
        <v>0</v>
      </c>
      <c r="AG18">
        <v>60</v>
      </c>
      <c r="AH18">
        <v>75</v>
      </c>
      <c r="AI18">
        <v>70</v>
      </c>
    </row>
    <row r="19" spans="1:35" x14ac:dyDescent="0.25">
      <c r="A19" t="s">
        <v>28</v>
      </c>
      <c r="B19">
        <v>0</v>
      </c>
      <c r="C19">
        <f>IF(AND(SUM(VLOOKUP($A19,test!$A$3:$F$32,2,FALSE),VLOOKUP(C$1,test!$A$3:$F$32,2,FALSE))&lt;test!$K$16,$A19&lt;&gt;C$1,feasible_mat!C19=1),SUM(VLOOKUP($A19,test!$A$3:$F$32,2,FALSE),VLOOKUP(C$1,test!$A$3:$F$32,2,FALSE)),0)</f>
        <v>0</v>
      </c>
      <c r="D19">
        <f>IF(AND(SUM(VLOOKUP($A19,test!$A$3:$F$32,2,FALSE),VLOOKUP(D$1,test!$A$3:$F$32,2,FALSE))&lt;test!$K$16,$A19&lt;&gt;D$1,feasible_mat!D19=1),SUM(VLOOKUP($A19,test!$A$3:$F$32,2,FALSE),VLOOKUP(D$1,test!$A$3:$F$32,2,FALSE)),0)</f>
        <v>0</v>
      </c>
      <c r="E19">
        <f>IF(AND(SUM(VLOOKUP($A19,test!$A$3:$F$32,2,FALSE),VLOOKUP(E$1,test!$A$3:$F$32,2,FALSE))&lt;test!$K$16,$A19&lt;&gt;E$1,feasible_mat!E19=1),SUM(VLOOKUP($A19,test!$A$3:$F$32,2,FALSE),VLOOKUP(E$1,test!$A$3:$F$32,2,FALSE)),0)</f>
        <v>0</v>
      </c>
      <c r="F19">
        <f>IF(AND(SUM(VLOOKUP($A19,test!$A$3:$F$32,2,FALSE),VLOOKUP(F$1,test!$A$3:$F$32,2,FALSE))&lt;test!$K$16,$A19&lt;&gt;F$1,feasible_mat!F19=1),SUM(VLOOKUP($A19,test!$A$3:$F$32,2,FALSE),VLOOKUP(F$1,test!$A$3:$F$32,2,FALSE)),0)</f>
        <v>270</v>
      </c>
      <c r="G19">
        <f>IF(AND(SUM(VLOOKUP($A19,test!$A$3:$F$32,2,FALSE),VLOOKUP(G$1,test!$A$3:$F$32,2,FALSE))&lt;test!$K$16,$A19&lt;&gt;G$1,feasible_mat!G19=1),SUM(VLOOKUP($A19,test!$A$3:$F$32,2,FALSE),VLOOKUP(G$1,test!$A$3:$F$32,2,FALSE)),0)</f>
        <v>270</v>
      </c>
      <c r="H19">
        <f>IF(AND(SUM(VLOOKUP($A19,test!$A$3:$F$32,2,FALSE),VLOOKUP(H$1,test!$A$3:$F$32,2,FALSE))&lt;test!$K$16,$A19&lt;&gt;H$1,feasible_mat!H19=1),SUM(VLOOKUP($A19,test!$A$3:$F$32,2,FALSE),VLOOKUP(H$1,test!$A$3:$F$32,2,FALSE)),0)</f>
        <v>270</v>
      </c>
      <c r="I19">
        <f>IF(AND(SUM(VLOOKUP($A19,test!$A$3:$F$32,2,FALSE),VLOOKUP(I$1,test!$A$3:$F$32,2,FALSE))&lt;test!$K$16,$A19&lt;&gt;I$1,feasible_mat!I19=1),SUM(VLOOKUP($A19,test!$A$3:$F$32,2,FALSE),VLOOKUP(I$1,test!$A$3:$F$32,2,FALSE)),0)</f>
        <v>270</v>
      </c>
      <c r="J19">
        <f>IF(AND(SUM(VLOOKUP($A19,test!$A$3:$F$32,2,FALSE),VLOOKUP(J$1,test!$A$3:$F$32,2,FALSE))&lt;test!$K$16,$A19&lt;&gt;J$1,feasible_mat!J19=1),SUM(VLOOKUP($A19,test!$A$3:$F$32,2,FALSE),VLOOKUP(J$1,test!$A$3:$F$32,2,FALSE)),0)</f>
        <v>270</v>
      </c>
      <c r="K19">
        <f>IF(AND(SUM(VLOOKUP($A19,test!$A$3:$F$32,2,FALSE),VLOOKUP(K$1,test!$A$3:$F$32,2,FALSE))&lt;test!$K$16,$A19&lt;&gt;K$1,feasible_mat!K19=1),SUM(VLOOKUP($A19,test!$A$3:$F$32,2,FALSE),VLOOKUP(K$1,test!$A$3:$F$32,2,FALSE)),0)</f>
        <v>0</v>
      </c>
      <c r="L19">
        <f>IF(AND(SUM(VLOOKUP($A19,test!$A$3:$F$32,2,FALSE),VLOOKUP(L$1,test!$A$3:$F$32,2,FALSE))&lt;test!$K$16,$A19&lt;&gt;L$1,feasible_mat!L19=1),SUM(VLOOKUP($A19,test!$A$3:$F$32,2,FALSE),VLOOKUP(L$1,test!$A$3:$F$32,2,FALSE)),0)</f>
        <v>0</v>
      </c>
      <c r="M19">
        <f>IF(AND(SUM(VLOOKUP($A19,test!$A$3:$F$32,2,FALSE),VLOOKUP(M$1,test!$A$3:$F$32,2,FALSE))&lt;test!$K$16,$A19&lt;&gt;M$1,feasible_mat!M19=1),SUM(VLOOKUP($A19,test!$A$3:$F$32,2,FALSE),VLOOKUP(M$1,test!$A$3:$F$32,2,FALSE)),0)</f>
        <v>0</v>
      </c>
      <c r="N19">
        <f>IF(AND(SUM(VLOOKUP($A19,test!$A$3:$F$32,2,FALSE),VLOOKUP(N$1,test!$A$3:$F$32,2,FALSE))&lt;test!$K$16,$A19&lt;&gt;N$1,feasible_mat!N19=1),SUM(VLOOKUP($A19,test!$A$3:$F$32,2,FALSE),VLOOKUP(N$1,test!$A$3:$F$32,2,FALSE)),0)</f>
        <v>275</v>
      </c>
      <c r="O19">
        <f>IF(AND(SUM(VLOOKUP($A19,test!$A$3:$F$32,2,FALSE),VLOOKUP(O$1,test!$A$3:$F$32,2,FALSE))&lt;test!$K$16,$A19&lt;&gt;O$1,feasible_mat!O19=1),SUM(VLOOKUP($A19,test!$A$3:$F$32,2,FALSE),VLOOKUP(O$1,test!$A$3:$F$32,2,FALSE)),0)</f>
        <v>275</v>
      </c>
      <c r="P19">
        <f>IF(AND(SUM(VLOOKUP($A19,test!$A$3:$F$32,2,FALSE),VLOOKUP(P$1,test!$A$3:$F$32,2,FALSE))&lt;test!$K$16,$A19&lt;&gt;P$1,feasible_mat!P19=1),SUM(VLOOKUP($A19,test!$A$3:$F$32,2,FALSE),VLOOKUP(P$1,test!$A$3:$F$32,2,FALSE)),0)</f>
        <v>0</v>
      </c>
      <c r="Q19">
        <f>IF(AND(SUM(VLOOKUP($A19,test!$A$3:$F$32,2,FALSE),VLOOKUP(Q$1,test!$A$3:$F$32,2,FALSE))&lt;test!$K$16,$A19&lt;&gt;Q$1,feasible_mat!Q19=1),SUM(VLOOKUP($A19,test!$A$3:$F$32,2,FALSE),VLOOKUP(Q$1,test!$A$3:$F$32,2,FALSE)),0)</f>
        <v>0</v>
      </c>
      <c r="R19">
        <f>IF(AND(SUM(VLOOKUP($A19,test!$A$3:$F$32,2,FALSE),VLOOKUP(R$1,test!$A$3:$F$32,2,FALSE))&lt;test!$K$16,$A19&lt;&gt;R$1,feasible_mat!R19=1),SUM(VLOOKUP($A19,test!$A$3:$F$32,2,FALSE),VLOOKUP(R$1,test!$A$3:$F$32,2,FALSE)),0)</f>
        <v>0</v>
      </c>
      <c r="S19">
        <f>IF(AND(SUM(VLOOKUP($A19,test!$A$3:$F$32,2,FALSE),VLOOKUP(S$1,test!$A$3:$F$32,2,FALSE))&lt;test!$K$16,$A19&lt;&gt;S$1,feasible_mat!S19=1),SUM(VLOOKUP($A19,test!$A$3:$F$32,2,FALSE),VLOOKUP(S$1,test!$A$3:$F$32,2,FALSE)),0)</f>
        <v>0</v>
      </c>
      <c r="T19">
        <f>IF(AND(SUM(VLOOKUP($A19,test!$A$3:$F$32,2,FALSE),VLOOKUP(T$1,test!$A$3:$F$32,2,FALSE))&lt;test!$K$16,$A19&lt;&gt;T$1,feasible_mat!T19=1),SUM(VLOOKUP($A19,test!$A$3:$F$32,2,FALSE),VLOOKUP(T$1,test!$A$3:$F$32,2,FALSE)),0)</f>
        <v>0</v>
      </c>
      <c r="U19">
        <f>IF(AND(SUM(VLOOKUP($A19,test!$A$3:$F$32,2,FALSE),VLOOKUP(U$1,test!$A$3:$F$32,2,FALSE))&lt;test!$K$16,$A19&lt;&gt;U$1,feasible_mat!U19=1),SUM(VLOOKUP($A19,test!$A$3:$F$32,2,FALSE),VLOOKUP(U$1,test!$A$3:$F$32,2,FALSE)),0)</f>
        <v>0</v>
      </c>
      <c r="V19">
        <f>IF(AND(SUM(VLOOKUP($A19,test!$A$3:$F$32,2,FALSE),VLOOKUP(V$1,test!$A$3:$F$32,2,FALSE))&lt;test!$K$16,$A19&lt;&gt;V$1,feasible_mat!V19=1),SUM(VLOOKUP($A19,test!$A$3:$F$32,2,FALSE),VLOOKUP(V$1,test!$A$3:$F$32,2,FALSE)),0)</f>
        <v>0</v>
      </c>
      <c r="W19">
        <f>IF(AND(SUM(VLOOKUP($A19,test!$A$3:$F$32,2,FALSE),VLOOKUP(W$1,test!$A$3:$F$32,2,FALSE))&lt;test!$K$16,$A19&lt;&gt;W$1,feasible_mat!W19=1),SUM(VLOOKUP($A19,test!$A$3:$F$32,2,FALSE),VLOOKUP(W$1,test!$A$3:$F$32,2,FALSE)),0)</f>
        <v>0</v>
      </c>
      <c r="X19">
        <f>IF(AND(SUM(VLOOKUP($A19,test!$A$3:$F$32,2,FALSE),VLOOKUP(X$1,test!$A$3:$F$32,2,FALSE))&lt;test!$K$16,$A19&lt;&gt;X$1,feasible_mat!X19=1),SUM(VLOOKUP($A19,test!$A$3:$F$32,2,FALSE),VLOOKUP(X$1,test!$A$3:$F$32,2,FALSE)),0)</f>
        <v>0</v>
      </c>
      <c r="Y19">
        <f>IF(AND(SUM(VLOOKUP($A19,test!$A$3:$F$32,2,FALSE),VLOOKUP(Y$1,test!$A$3:$F$32,2,FALSE))&lt;test!$K$16,$A19&lt;&gt;Y$1,feasible_mat!Y19=1),SUM(VLOOKUP($A19,test!$A$3:$F$32,2,FALSE),VLOOKUP(Y$1,test!$A$3:$F$32,2,FALSE)),0)</f>
        <v>0</v>
      </c>
      <c r="Z19">
        <f>IF(AND(SUM(VLOOKUP($A19,test!$A$3:$F$32,2,FALSE),VLOOKUP(Z$1,test!$A$3:$F$32,2,FALSE))&lt;test!$K$16,$A19&lt;&gt;Z$1,feasible_mat!Z19=1),SUM(VLOOKUP($A19,test!$A$3:$F$32,2,FALSE),VLOOKUP(Z$1,test!$A$3:$F$32,2,FALSE)),0)</f>
        <v>0</v>
      </c>
      <c r="AA19">
        <f>IF(AND(SUM(VLOOKUP($A19,test!$A$3:$F$32,2,FALSE),VLOOKUP(AA$1,test!$A$3:$F$32,2,FALSE))&lt;test!$K$16,$A19&lt;&gt;AA$1,feasible_mat!AA19=1),SUM(VLOOKUP($A19,test!$A$3:$F$32,2,FALSE),VLOOKUP(AA$1,test!$A$3:$F$32,2,FALSE)),0)</f>
        <v>0</v>
      </c>
      <c r="AB19">
        <f>IF(AND(SUM(VLOOKUP($A19,test!$A$3:$F$32,2,FALSE),VLOOKUP(AB$1,test!$A$3:$F$32,2,FALSE))&lt;test!$K$16,$A19&lt;&gt;AB$1,feasible_mat!AB19=1),SUM(VLOOKUP($A19,test!$A$3:$F$32,2,FALSE),VLOOKUP(AB$1,test!$A$3:$F$32,2,FALSE)),0)</f>
        <v>0</v>
      </c>
      <c r="AC19">
        <f>IF(AND(SUM(VLOOKUP($A19,test!$A$3:$F$32,2,FALSE),VLOOKUP(AC$1,test!$A$3:$F$32,2,FALSE))&lt;test!$K$16,$A19&lt;&gt;AC$1,feasible_mat!AC19=1),SUM(VLOOKUP($A19,test!$A$3:$F$32,2,FALSE),VLOOKUP(AC$1,test!$A$3:$F$32,2,FALSE)),0)</f>
        <v>0</v>
      </c>
      <c r="AD19">
        <f>IF(AND(SUM(VLOOKUP($A19,test!$A$3:$F$32,2,FALSE),VLOOKUP(AD$1,test!$A$3:$F$32,2,FALSE))&lt;test!$K$16,$A19&lt;&gt;AD$1,feasible_mat!AD19=1),SUM(VLOOKUP($A19,test!$A$3:$F$32,2,FALSE),VLOOKUP(AD$1,test!$A$3:$F$32,2,FALSE)),0)</f>
        <v>0</v>
      </c>
      <c r="AE19">
        <f>IF(AND(SUM(VLOOKUP($A19,test!$A$3:$F$32,2,FALSE),VLOOKUP(AE$1,test!$A$3:$F$32,2,FALSE))&lt;test!$K$16,$A19&lt;&gt;AE$1,feasible_mat!AE19=1),SUM(VLOOKUP($A19,test!$A$3:$F$32,2,FALSE),VLOOKUP(AE$1,test!$A$3:$F$32,2,FALSE)),0)</f>
        <v>0</v>
      </c>
      <c r="AF19">
        <f>IF(AND(SUM(VLOOKUP($A19,test!$A$3:$F$32,2,FALSE),VLOOKUP(AF$1,test!$A$3:$F$32,2,FALSE))&lt;test!$K$16,$A19&lt;&gt;AF$1,feasible_mat!AF19=1),SUM(VLOOKUP($A19,test!$A$3:$F$32,2,FALSE),VLOOKUP(AF$1,test!$A$3:$F$32,2,FALSE)),0)</f>
        <v>0</v>
      </c>
      <c r="AG19">
        <v>60</v>
      </c>
      <c r="AH19">
        <v>75</v>
      </c>
      <c r="AI19">
        <v>70</v>
      </c>
    </row>
    <row r="20" spans="1:35" x14ac:dyDescent="0.25">
      <c r="A20" t="s">
        <v>29</v>
      </c>
      <c r="B20">
        <v>0</v>
      </c>
      <c r="C20">
        <f>IF(AND(SUM(VLOOKUP($A20,test!$A$3:$F$32,2,FALSE),VLOOKUP(C$1,test!$A$3:$F$32,2,FALSE))&lt;test!$K$16,$A20&lt;&gt;C$1,feasible_mat!C20=1),SUM(VLOOKUP($A20,test!$A$3:$F$32,2,FALSE),VLOOKUP(C$1,test!$A$3:$F$32,2,FALSE)),0)</f>
        <v>0</v>
      </c>
      <c r="D20">
        <f>IF(AND(SUM(VLOOKUP($A20,test!$A$3:$F$32,2,FALSE),VLOOKUP(D$1,test!$A$3:$F$32,2,FALSE))&lt;test!$K$16,$A20&lt;&gt;D$1,feasible_mat!D20=1),SUM(VLOOKUP($A20,test!$A$3:$F$32,2,FALSE),VLOOKUP(D$1,test!$A$3:$F$32,2,FALSE)),0)</f>
        <v>0</v>
      </c>
      <c r="E20">
        <f>IF(AND(SUM(VLOOKUP($A20,test!$A$3:$F$32,2,FALSE),VLOOKUP(E$1,test!$A$3:$F$32,2,FALSE))&lt;test!$K$16,$A20&lt;&gt;E$1,feasible_mat!E20=1),SUM(VLOOKUP($A20,test!$A$3:$F$32,2,FALSE),VLOOKUP(E$1,test!$A$3:$F$32,2,FALSE)),0)</f>
        <v>0</v>
      </c>
      <c r="F20">
        <f>IF(AND(SUM(VLOOKUP($A20,test!$A$3:$F$32,2,FALSE),VLOOKUP(F$1,test!$A$3:$F$32,2,FALSE))&lt;test!$K$16,$A20&lt;&gt;F$1,feasible_mat!F20=1),SUM(VLOOKUP($A20,test!$A$3:$F$32,2,FALSE),VLOOKUP(F$1,test!$A$3:$F$32,2,FALSE)),0)</f>
        <v>0</v>
      </c>
      <c r="G20">
        <f>IF(AND(SUM(VLOOKUP($A20,test!$A$3:$F$32,2,FALSE),VLOOKUP(G$1,test!$A$3:$F$32,2,FALSE))&lt;test!$K$16,$A20&lt;&gt;G$1,feasible_mat!G20=1),SUM(VLOOKUP($A20,test!$A$3:$F$32,2,FALSE),VLOOKUP(G$1,test!$A$3:$F$32,2,FALSE)),0)</f>
        <v>270</v>
      </c>
      <c r="H20">
        <f>IF(AND(SUM(VLOOKUP($A20,test!$A$3:$F$32,2,FALSE),VLOOKUP(H$1,test!$A$3:$F$32,2,FALSE))&lt;test!$K$16,$A20&lt;&gt;H$1,feasible_mat!H20=1),SUM(VLOOKUP($A20,test!$A$3:$F$32,2,FALSE),VLOOKUP(H$1,test!$A$3:$F$32,2,FALSE)),0)</f>
        <v>270</v>
      </c>
      <c r="I20">
        <f>IF(AND(SUM(VLOOKUP($A20,test!$A$3:$F$32,2,FALSE),VLOOKUP(I$1,test!$A$3:$F$32,2,FALSE))&lt;test!$K$16,$A20&lt;&gt;I$1,feasible_mat!I20=1),SUM(VLOOKUP($A20,test!$A$3:$F$32,2,FALSE),VLOOKUP(I$1,test!$A$3:$F$32,2,FALSE)),0)</f>
        <v>270</v>
      </c>
      <c r="J20">
        <f>IF(AND(SUM(VLOOKUP($A20,test!$A$3:$F$32,2,FALSE),VLOOKUP(J$1,test!$A$3:$F$32,2,FALSE))&lt;test!$K$16,$A20&lt;&gt;J$1,feasible_mat!J20=1),SUM(VLOOKUP($A20,test!$A$3:$F$32,2,FALSE),VLOOKUP(J$1,test!$A$3:$F$32,2,FALSE)),0)</f>
        <v>270</v>
      </c>
      <c r="K20">
        <f>IF(AND(SUM(VLOOKUP($A20,test!$A$3:$F$32,2,FALSE),VLOOKUP(K$1,test!$A$3:$F$32,2,FALSE))&lt;test!$K$16,$A20&lt;&gt;K$1,feasible_mat!K20=1),SUM(VLOOKUP($A20,test!$A$3:$F$32,2,FALSE),VLOOKUP(K$1,test!$A$3:$F$32,2,FALSE)),0)</f>
        <v>0</v>
      </c>
      <c r="L20">
        <f>IF(AND(SUM(VLOOKUP($A20,test!$A$3:$F$32,2,FALSE),VLOOKUP(L$1,test!$A$3:$F$32,2,FALSE))&lt;test!$K$16,$A20&lt;&gt;L$1,feasible_mat!L20=1),SUM(VLOOKUP($A20,test!$A$3:$F$32,2,FALSE),VLOOKUP(L$1,test!$A$3:$F$32,2,FALSE)),0)</f>
        <v>0</v>
      </c>
      <c r="M20">
        <f>IF(AND(SUM(VLOOKUP($A20,test!$A$3:$F$32,2,FALSE),VLOOKUP(M$1,test!$A$3:$F$32,2,FALSE))&lt;test!$K$16,$A20&lt;&gt;M$1,feasible_mat!M20=1),SUM(VLOOKUP($A20,test!$A$3:$F$32,2,FALSE),VLOOKUP(M$1,test!$A$3:$F$32,2,FALSE)),0)</f>
        <v>0</v>
      </c>
      <c r="N20">
        <f>IF(AND(SUM(VLOOKUP($A20,test!$A$3:$F$32,2,FALSE),VLOOKUP(N$1,test!$A$3:$F$32,2,FALSE))&lt;test!$K$16,$A20&lt;&gt;N$1,feasible_mat!N20=1),SUM(VLOOKUP($A20,test!$A$3:$F$32,2,FALSE),VLOOKUP(N$1,test!$A$3:$F$32,2,FALSE)),0)</f>
        <v>275</v>
      </c>
      <c r="O20">
        <f>IF(AND(SUM(VLOOKUP($A20,test!$A$3:$F$32,2,FALSE),VLOOKUP(O$1,test!$A$3:$F$32,2,FALSE))&lt;test!$K$16,$A20&lt;&gt;O$1,feasible_mat!O20=1),SUM(VLOOKUP($A20,test!$A$3:$F$32,2,FALSE),VLOOKUP(O$1,test!$A$3:$F$32,2,FALSE)),0)</f>
        <v>275</v>
      </c>
      <c r="P20">
        <f>IF(AND(SUM(VLOOKUP($A20,test!$A$3:$F$32,2,FALSE),VLOOKUP(P$1,test!$A$3:$F$32,2,FALSE))&lt;test!$K$16,$A20&lt;&gt;P$1,feasible_mat!P20=1),SUM(VLOOKUP($A20,test!$A$3:$F$32,2,FALSE),VLOOKUP(P$1,test!$A$3:$F$32,2,FALSE)),0)</f>
        <v>0</v>
      </c>
      <c r="Q20">
        <f>IF(AND(SUM(VLOOKUP($A20,test!$A$3:$F$32,2,FALSE),VLOOKUP(Q$1,test!$A$3:$F$32,2,FALSE))&lt;test!$K$16,$A20&lt;&gt;Q$1,feasible_mat!Q20=1),SUM(VLOOKUP($A20,test!$A$3:$F$32,2,FALSE),VLOOKUP(Q$1,test!$A$3:$F$32,2,FALSE)),0)</f>
        <v>0</v>
      </c>
      <c r="R20">
        <f>IF(AND(SUM(VLOOKUP($A20,test!$A$3:$F$32,2,FALSE),VLOOKUP(R$1,test!$A$3:$F$32,2,FALSE))&lt;test!$K$16,$A20&lt;&gt;R$1,feasible_mat!R20=1),SUM(VLOOKUP($A20,test!$A$3:$F$32,2,FALSE),VLOOKUP(R$1,test!$A$3:$F$32,2,FALSE)),0)</f>
        <v>0</v>
      </c>
      <c r="S20">
        <f>IF(AND(SUM(VLOOKUP($A20,test!$A$3:$F$32,2,FALSE),VLOOKUP(S$1,test!$A$3:$F$32,2,FALSE))&lt;test!$K$16,$A20&lt;&gt;S$1,feasible_mat!S20=1),SUM(VLOOKUP($A20,test!$A$3:$F$32,2,FALSE),VLOOKUP(S$1,test!$A$3:$F$32,2,FALSE)),0)</f>
        <v>0</v>
      </c>
      <c r="T20">
        <f>IF(AND(SUM(VLOOKUP($A20,test!$A$3:$F$32,2,FALSE),VLOOKUP(T$1,test!$A$3:$F$32,2,FALSE))&lt;test!$K$16,$A20&lt;&gt;T$1,feasible_mat!T20=1),SUM(VLOOKUP($A20,test!$A$3:$F$32,2,FALSE),VLOOKUP(T$1,test!$A$3:$F$32,2,FALSE)),0)</f>
        <v>0</v>
      </c>
      <c r="U20">
        <f>IF(AND(SUM(VLOOKUP($A20,test!$A$3:$F$32,2,FALSE),VLOOKUP(U$1,test!$A$3:$F$32,2,FALSE))&lt;test!$K$16,$A20&lt;&gt;U$1,feasible_mat!U20=1),SUM(VLOOKUP($A20,test!$A$3:$F$32,2,FALSE),VLOOKUP(U$1,test!$A$3:$F$32,2,FALSE)),0)</f>
        <v>0</v>
      </c>
      <c r="V20">
        <f>IF(AND(SUM(VLOOKUP($A20,test!$A$3:$F$32,2,FALSE),VLOOKUP(V$1,test!$A$3:$F$32,2,FALSE))&lt;test!$K$16,$A20&lt;&gt;V$1,feasible_mat!V20=1),SUM(VLOOKUP($A20,test!$A$3:$F$32,2,FALSE),VLOOKUP(V$1,test!$A$3:$F$32,2,FALSE)),0)</f>
        <v>0</v>
      </c>
      <c r="W20">
        <f>IF(AND(SUM(VLOOKUP($A20,test!$A$3:$F$32,2,FALSE),VLOOKUP(W$1,test!$A$3:$F$32,2,FALSE))&lt;test!$K$16,$A20&lt;&gt;W$1,feasible_mat!W20=1),SUM(VLOOKUP($A20,test!$A$3:$F$32,2,FALSE),VLOOKUP(W$1,test!$A$3:$F$32,2,FALSE)),0)</f>
        <v>0</v>
      </c>
      <c r="X20">
        <f>IF(AND(SUM(VLOOKUP($A20,test!$A$3:$F$32,2,FALSE),VLOOKUP(X$1,test!$A$3:$F$32,2,FALSE))&lt;test!$K$16,$A20&lt;&gt;X$1,feasible_mat!X20=1),SUM(VLOOKUP($A20,test!$A$3:$F$32,2,FALSE),VLOOKUP(X$1,test!$A$3:$F$32,2,FALSE)),0)</f>
        <v>0</v>
      </c>
      <c r="Y20">
        <f>IF(AND(SUM(VLOOKUP($A20,test!$A$3:$F$32,2,FALSE),VLOOKUP(Y$1,test!$A$3:$F$32,2,FALSE))&lt;test!$K$16,$A20&lt;&gt;Y$1,feasible_mat!Y20=1),SUM(VLOOKUP($A20,test!$A$3:$F$32,2,FALSE),VLOOKUP(Y$1,test!$A$3:$F$32,2,FALSE)),0)</f>
        <v>0</v>
      </c>
      <c r="Z20">
        <f>IF(AND(SUM(VLOOKUP($A20,test!$A$3:$F$32,2,FALSE),VLOOKUP(Z$1,test!$A$3:$F$32,2,FALSE))&lt;test!$K$16,$A20&lt;&gt;Z$1,feasible_mat!Z20=1),SUM(VLOOKUP($A20,test!$A$3:$F$32,2,FALSE),VLOOKUP(Z$1,test!$A$3:$F$32,2,FALSE)),0)</f>
        <v>0</v>
      </c>
      <c r="AA20">
        <f>IF(AND(SUM(VLOOKUP($A20,test!$A$3:$F$32,2,FALSE),VLOOKUP(AA$1,test!$A$3:$F$32,2,FALSE))&lt;test!$K$16,$A20&lt;&gt;AA$1,feasible_mat!AA20=1),SUM(VLOOKUP($A20,test!$A$3:$F$32,2,FALSE),VLOOKUP(AA$1,test!$A$3:$F$32,2,FALSE)),0)</f>
        <v>0</v>
      </c>
      <c r="AB20">
        <f>IF(AND(SUM(VLOOKUP($A20,test!$A$3:$F$32,2,FALSE),VLOOKUP(AB$1,test!$A$3:$F$32,2,FALSE))&lt;test!$K$16,$A20&lt;&gt;AB$1,feasible_mat!AB20=1),SUM(VLOOKUP($A20,test!$A$3:$F$32,2,FALSE),VLOOKUP(AB$1,test!$A$3:$F$32,2,FALSE)),0)</f>
        <v>0</v>
      </c>
      <c r="AC20">
        <f>IF(AND(SUM(VLOOKUP($A20,test!$A$3:$F$32,2,FALSE),VLOOKUP(AC$1,test!$A$3:$F$32,2,FALSE))&lt;test!$K$16,$A20&lt;&gt;AC$1,feasible_mat!AC20=1),SUM(VLOOKUP($A20,test!$A$3:$F$32,2,FALSE),VLOOKUP(AC$1,test!$A$3:$F$32,2,FALSE)),0)</f>
        <v>0</v>
      </c>
      <c r="AD20">
        <f>IF(AND(SUM(VLOOKUP($A20,test!$A$3:$F$32,2,FALSE),VLOOKUP(AD$1,test!$A$3:$F$32,2,FALSE))&lt;test!$K$16,$A20&lt;&gt;AD$1,feasible_mat!AD20=1),SUM(VLOOKUP($A20,test!$A$3:$F$32,2,FALSE),VLOOKUP(AD$1,test!$A$3:$F$32,2,FALSE)),0)</f>
        <v>0</v>
      </c>
      <c r="AE20">
        <f>IF(AND(SUM(VLOOKUP($A20,test!$A$3:$F$32,2,FALSE),VLOOKUP(AE$1,test!$A$3:$F$32,2,FALSE))&lt;test!$K$16,$A20&lt;&gt;AE$1,feasible_mat!AE20=1),SUM(VLOOKUP($A20,test!$A$3:$F$32,2,FALSE),VLOOKUP(AE$1,test!$A$3:$F$32,2,FALSE)),0)</f>
        <v>0</v>
      </c>
      <c r="AF20">
        <f>IF(AND(SUM(VLOOKUP($A20,test!$A$3:$F$32,2,FALSE),VLOOKUP(AF$1,test!$A$3:$F$32,2,FALSE))&lt;test!$K$16,$A20&lt;&gt;AF$1,feasible_mat!AF20=1),SUM(VLOOKUP($A20,test!$A$3:$F$32,2,FALSE),VLOOKUP(AF$1,test!$A$3:$F$32,2,FALSE)),0)</f>
        <v>0</v>
      </c>
      <c r="AG20">
        <v>60</v>
      </c>
      <c r="AH20">
        <v>75</v>
      </c>
      <c r="AI20">
        <v>70</v>
      </c>
    </row>
    <row r="21" spans="1:35" x14ac:dyDescent="0.25">
      <c r="A21" t="s">
        <v>30</v>
      </c>
      <c r="B21">
        <v>0</v>
      </c>
      <c r="C21">
        <f>IF(AND(SUM(VLOOKUP($A21,test!$A$3:$F$32,2,FALSE),VLOOKUP(C$1,test!$A$3:$F$32,2,FALSE))&lt;test!$K$16,$A21&lt;&gt;C$1,feasible_mat!C21=1),SUM(VLOOKUP($A21,test!$A$3:$F$32,2,FALSE),VLOOKUP(C$1,test!$A$3:$F$32,2,FALSE)),0)</f>
        <v>0</v>
      </c>
      <c r="D21">
        <f>IF(AND(SUM(VLOOKUP($A21,test!$A$3:$F$32,2,FALSE),VLOOKUP(D$1,test!$A$3:$F$32,2,FALSE))&lt;test!$K$16,$A21&lt;&gt;D$1,feasible_mat!D21=1),SUM(VLOOKUP($A21,test!$A$3:$F$32,2,FALSE),VLOOKUP(D$1,test!$A$3:$F$32,2,FALSE)),0)</f>
        <v>0</v>
      </c>
      <c r="E21">
        <f>IF(AND(SUM(VLOOKUP($A21,test!$A$3:$F$32,2,FALSE),VLOOKUP(E$1,test!$A$3:$F$32,2,FALSE))&lt;test!$K$16,$A21&lt;&gt;E$1,feasible_mat!E21=1),SUM(VLOOKUP($A21,test!$A$3:$F$32,2,FALSE),VLOOKUP(E$1,test!$A$3:$F$32,2,FALSE)),0)</f>
        <v>0</v>
      </c>
      <c r="F21">
        <f>IF(AND(SUM(VLOOKUP($A21,test!$A$3:$F$32,2,FALSE),VLOOKUP(F$1,test!$A$3:$F$32,2,FALSE))&lt;test!$K$16,$A21&lt;&gt;F$1,feasible_mat!F21=1),SUM(VLOOKUP($A21,test!$A$3:$F$32,2,FALSE),VLOOKUP(F$1,test!$A$3:$F$32,2,FALSE)),0)</f>
        <v>0</v>
      </c>
      <c r="G21">
        <f>IF(AND(SUM(VLOOKUP($A21,test!$A$3:$F$32,2,FALSE),VLOOKUP(G$1,test!$A$3:$F$32,2,FALSE))&lt;test!$K$16,$A21&lt;&gt;G$1,feasible_mat!G21=1),SUM(VLOOKUP($A21,test!$A$3:$F$32,2,FALSE),VLOOKUP(G$1,test!$A$3:$F$32,2,FALSE)),0)</f>
        <v>0</v>
      </c>
      <c r="H21">
        <f>IF(AND(SUM(VLOOKUP($A21,test!$A$3:$F$32,2,FALSE),VLOOKUP(H$1,test!$A$3:$F$32,2,FALSE))&lt;test!$K$16,$A21&lt;&gt;H$1,feasible_mat!H21=1),SUM(VLOOKUP($A21,test!$A$3:$F$32,2,FALSE),VLOOKUP(H$1,test!$A$3:$F$32,2,FALSE)),0)</f>
        <v>0</v>
      </c>
      <c r="I21">
        <f>IF(AND(SUM(VLOOKUP($A21,test!$A$3:$F$32,2,FALSE),VLOOKUP(I$1,test!$A$3:$F$32,2,FALSE))&lt;test!$K$16,$A21&lt;&gt;I$1,feasible_mat!I21=1),SUM(VLOOKUP($A21,test!$A$3:$F$32,2,FALSE),VLOOKUP(I$1,test!$A$3:$F$32,2,FALSE)),0)</f>
        <v>270</v>
      </c>
      <c r="J21">
        <f>IF(AND(SUM(VLOOKUP($A21,test!$A$3:$F$32,2,FALSE),VLOOKUP(J$1,test!$A$3:$F$32,2,FALSE))&lt;test!$K$16,$A21&lt;&gt;J$1,feasible_mat!J21=1),SUM(VLOOKUP($A21,test!$A$3:$F$32,2,FALSE),VLOOKUP(J$1,test!$A$3:$F$32,2,FALSE)),0)</f>
        <v>270</v>
      </c>
      <c r="K21">
        <f>IF(AND(SUM(VLOOKUP($A21,test!$A$3:$F$32,2,FALSE),VLOOKUP(K$1,test!$A$3:$F$32,2,FALSE))&lt;test!$K$16,$A21&lt;&gt;K$1,feasible_mat!K21=1),SUM(VLOOKUP($A21,test!$A$3:$F$32,2,FALSE),VLOOKUP(K$1,test!$A$3:$F$32,2,FALSE)),0)</f>
        <v>0</v>
      </c>
      <c r="L21">
        <f>IF(AND(SUM(VLOOKUP($A21,test!$A$3:$F$32,2,FALSE),VLOOKUP(L$1,test!$A$3:$F$32,2,FALSE))&lt;test!$K$16,$A21&lt;&gt;L$1,feasible_mat!L21=1),SUM(VLOOKUP($A21,test!$A$3:$F$32,2,FALSE),VLOOKUP(L$1,test!$A$3:$F$32,2,FALSE)),0)</f>
        <v>0</v>
      </c>
      <c r="M21">
        <f>IF(AND(SUM(VLOOKUP($A21,test!$A$3:$F$32,2,FALSE),VLOOKUP(M$1,test!$A$3:$F$32,2,FALSE))&lt;test!$K$16,$A21&lt;&gt;M$1,feasible_mat!M21=1),SUM(VLOOKUP($A21,test!$A$3:$F$32,2,FALSE),VLOOKUP(M$1,test!$A$3:$F$32,2,FALSE)),0)</f>
        <v>0</v>
      </c>
      <c r="N21">
        <f>IF(AND(SUM(VLOOKUP($A21,test!$A$3:$F$32,2,FALSE),VLOOKUP(N$1,test!$A$3:$F$32,2,FALSE))&lt;test!$K$16,$A21&lt;&gt;N$1,feasible_mat!N21=1),SUM(VLOOKUP($A21,test!$A$3:$F$32,2,FALSE),VLOOKUP(N$1,test!$A$3:$F$32,2,FALSE)),0)</f>
        <v>275</v>
      </c>
      <c r="O21">
        <f>IF(AND(SUM(VLOOKUP($A21,test!$A$3:$F$32,2,FALSE),VLOOKUP(O$1,test!$A$3:$F$32,2,FALSE))&lt;test!$K$16,$A21&lt;&gt;O$1,feasible_mat!O21=1),SUM(VLOOKUP($A21,test!$A$3:$F$32,2,FALSE),VLOOKUP(O$1,test!$A$3:$F$32,2,FALSE)),0)</f>
        <v>275</v>
      </c>
      <c r="P21">
        <f>IF(AND(SUM(VLOOKUP($A21,test!$A$3:$F$32,2,FALSE),VLOOKUP(P$1,test!$A$3:$F$32,2,FALSE))&lt;test!$K$16,$A21&lt;&gt;P$1,feasible_mat!P21=1),SUM(VLOOKUP($A21,test!$A$3:$F$32,2,FALSE),VLOOKUP(P$1,test!$A$3:$F$32,2,FALSE)),0)</f>
        <v>0</v>
      </c>
      <c r="Q21">
        <f>IF(AND(SUM(VLOOKUP($A21,test!$A$3:$F$32,2,FALSE),VLOOKUP(Q$1,test!$A$3:$F$32,2,FALSE))&lt;test!$K$16,$A21&lt;&gt;Q$1,feasible_mat!Q21=1),SUM(VLOOKUP($A21,test!$A$3:$F$32,2,FALSE),VLOOKUP(Q$1,test!$A$3:$F$32,2,FALSE)),0)</f>
        <v>0</v>
      </c>
      <c r="R21">
        <f>IF(AND(SUM(VLOOKUP($A21,test!$A$3:$F$32,2,FALSE),VLOOKUP(R$1,test!$A$3:$F$32,2,FALSE))&lt;test!$K$16,$A21&lt;&gt;R$1,feasible_mat!R21=1),SUM(VLOOKUP($A21,test!$A$3:$F$32,2,FALSE),VLOOKUP(R$1,test!$A$3:$F$32,2,FALSE)),0)</f>
        <v>0</v>
      </c>
      <c r="S21">
        <f>IF(AND(SUM(VLOOKUP($A21,test!$A$3:$F$32,2,FALSE),VLOOKUP(S$1,test!$A$3:$F$32,2,FALSE))&lt;test!$K$16,$A21&lt;&gt;S$1,feasible_mat!S21=1),SUM(VLOOKUP($A21,test!$A$3:$F$32,2,FALSE),VLOOKUP(S$1,test!$A$3:$F$32,2,FALSE)),0)</f>
        <v>0</v>
      </c>
      <c r="T21">
        <f>IF(AND(SUM(VLOOKUP($A21,test!$A$3:$F$32,2,FALSE),VLOOKUP(T$1,test!$A$3:$F$32,2,FALSE))&lt;test!$K$16,$A21&lt;&gt;T$1,feasible_mat!T21=1),SUM(VLOOKUP($A21,test!$A$3:$F$32,2,FALSE),VLOOKUP(T$1,test!$A$3:$F$32,2,FALSE)),0)</f>
        <v>0</v>
      </c>
      <c r="U21">
        <f>IF(AND(SUM(VLOOKUP($A21,test!$A$3:$F$32,2,FALSE),VLOOKUP(U$1,test!$A$3:$F$32,2,FALSE))&lt;test!$K$16,$A21&lt;&gt;U$1,feasible_mat!U21=1),SUM(VLOOKUP($A21,test!$A$3:$F$32,2,FALSE),VLOOKUP(U$1,test!$A$3:$F$32,2,FALSE)),0)</f>
        <v>0</v>
      </c>
      <c r="V21">
        <f>IF(AND(SUM(VLOOKUP($A21,test!$A$3:$F$32,2,FALSE),VLOOKUP(V$1,test!$A$3:$F$32,2,FALSE))&lt;test!$K$16,$A21&lt;&gt;V$1,feasible_mat!V21=1),SUM(VLOOKUP($A21,test!$A$3:$F$32,2,FALSE),VLOOKUP(V$1,test!$A$3:$F$32,2,FALSE)),0)</f>
        <v>0</v>
      </c>
      <c r="W21">
        <f>IF(AND(SUM(VLOOKUP($A21,test!$A$3:$F$32,2,FALSE),VLOOKUP(W$1,test!$A$3:$F$32,2,FALSE))&lt;test!$K$16,$A21&lt;&gt;W$1,feasible_mat!W21=1),SUM(VLOOKUP($A21,test!$A$3:$F$32,2,FALSE),VLOOKUP(W$1,test!$A$3:$F$32,2,FALSE)),0)</f>
        <v>0</v>
      </c>
      <c r="X21">
        <f>IF(AND(SUM(VLOOKUP($A21,test!$A$3:$F$32,2,FALSE),VLOOKUP(X$1,test!$A$3:$F$32,2,FALSE))&lt;test!$K$16,$A21&lt;&gt;X$1,feasible_mat!X21=1),SUM(VLOOKUP($A21,test!$A$3:$F$32,2,FALSE),VLOOKUP(X$1,test!$A$3:$F$32,2,FALSE)),0)</f>
        <v>0</v>
      </c>
      <c r="Y21">
        <f>IF(AND(SUM(VLOOKUP($A21,test!$A$3:$F$32,2,FALSE),VLOOKUP(Y$1,test!$A$3:$F$32,2,FALSE))&lt;test!$K$16,$A21&lt;&gt;Y$1,feasible_mat!Y21=1),SUM(VLOOKUP($A21,test!$A$3:$F$32,2,FALSE),VLOOKUP(Y$1,test!$A$3:$F$32,2,FALSE)),0)</f>
        <v>0</v>
      </c>
      <c r="Z21">
        <f>IF(AND(SUM(VLOOKUP($A21,test!$A$3:$F$32,2,FALSE),VLOOKUP(Z$1,test!$A$3:$F$32,2,FALSE))&lt;test!$K$16,$A21&lt;&gt;Z$1,feasible_mat!Z21=1),SUM(VLOOKUP($A21,test!$A$3:$F$32,2,FALSE),VLOOKUP(Z$1,test!$A$3:$F$32,2,FALSE)),0)</f>
        <v>0</v>
      </c>
      <c r="AA21">
        <f>IF(AND(SUM(VLOOKUP($A21,test!$A$3:$F$32,2,FALSE),VLOOKUP(AA$1,test!$A$3:$F$32,2,FALSE))&lt;test!$K$16,$A21&lt;&gt;AA$1,feasible_mat!AA21=1),SUM(VLOOKUP($A21,test!$A$3:$F$32,2,FALSE),VLOOKUP(AA$1,test!$A$3:$F$32,2,FALSE)),0)</f>
        <v>0</v>
      </c>
      <c r="AB21">
        <f>IF(AND(SUM(VLOOKUP($A21,test!$A$3:$F$32,2,FALSE),VLOOKUP(AB$1,test!$A$3:$F$32,2,FALSE))&lt;test!$K$16,$A21&lt;&gt;AB$1,feasible_mat!AB21=1),SUM(VLOOKUP($A21,test!$A$3:$F$32,2,FALSE),VLOOKUP(AB$1,test!$A$3:$F$32,2,FALSE)),0)</f>
        <v>0</v>
      </c>
      <c r="AC21">
        <f>IF(AND(SUM(VLOOKUP($A21,test!$A$3:$F$32,2,FALSE),VLOOKUP(AC$1,test!$A$3:$F$32,2,FALSE))&lt;test!$K$16,$A21&lt;&gt;AC$1,feasible_mat!AC21=1),SUM(VLOOKUP($A21,test!$A$3:$F$32,2,FALSE),VLOOKUP(AC$1,test!$A$3:$F$32,2,FALSE)),0)</f>
        <v>0</v>
      </c>
      <c r="AD21">
        <f>IF(AND(SUM(VLOOKUP($A21,test!$A$3:$F$32,2,FALSE),VLOOKUP(AD$1,test!$A$3:$F$32,2,FALSE))&lt;test!$K$16,$A21&lt;&gt;AD$1,feasible_mat!AD21=1),SUM(VLOOKUP($A21,test!$A$3:$F$32,2,FALSE),VLOOKUP(AD$1,test!$A$3:$F$32,2,FALSE)),0)</f>
        <v>0</v>
      </c>
      <c r="AE21">
        <f>IF(AND(SUM(VLOOKUP($A21,test!$A$3:$F$32,2,FALSE),VLOOKUP(AE$1,test!$A$3:$F$32,2,FALSE))&lt;test!$K$16,$A21&lt;&gt;AE$1,feasible_mat!AE21=1),SUM(VLOOKUP($A21,test!$A$3:$F$32,2,FALSE),VLOOKUP(AE$1,test!$A$3:$F$32,2,FALSE)),0)</f>
        <v>0</v>
      </c>
      <c r="AF21">
        <f>IF(AND(SUM(VLOOKUP($A21,test!$A$3:$F$32,2,FALSE),VLOOKUP(AF$1,test!$A$3:$F$32,2,FALSE))&lt;test!$K$16,$A21&lt;&gt;AF$1,feasible_mat!AF21=1),SUM(VLOOKUP($A21,test!$A$3:$F$32,2,FALSE),VLOOKUP(AF$1,test!$A$3:$F$32,2,FALSE)),0)</f>
        <v>0</v>
      </c>
      <c r="AG21">
        <v>60</v>
      </c>
      <c r="AH21">
        <v>75</v>
      </c>
      <c r="AI21">
        <v>70</v>
      </c>
    </row>
    <row r="22" spans="1:35" x14ac:dyDescent="0.25">
      <c r="A22" t="s">
        <v>31</v>
      </c>
      <c r="B22">
        <v>0</v>
      </c>
      <c r="C22">
        <f>IF(AND(SUM(VLOOKUP($A22,test!$A$3:$F$32,2,FALSE),VLOOKUP(C$1,test!$A$3:$F$32,2,FALSE))&lt;test!$K$16,$A22&lt;&gt;C$1,feasible_mat!C22=1),SUM(VLOOKUP($A22,test!$A$3:$F$32,2,FALSE),VLOOKUP(C$1,test!$A$3:$F$32,2,FALSE)),0)</f>
        <v>0</v>
      </c>
      <c r="D22">
        <f>IF(AND(SUM(VLOOKUP($A22,test!$A$3:$F$32,2,FALSE),VLOOKUP(D$1,test!$A$3:$F$32,2,FALSE))&lt;test!$K$16,$A22&lt;&gt;D$1,feasible_mat!D22=1),SUM(VLOOKUP($A22,test!$A$3:$F$32,2,FALSE),VLOOKUP(D$1,test!$A$3:$F$32,2,FALSE)),0)</f>
        <v>0</v>
      </c>
      <c r="E22">
        <f>IF(AND(SUM(VLOOKUP($A22,test!$A$3:$F$32,2,FALSE),VLOOKUP(E$1,test!$A$3:$F$32,2,FALSE))&lt;test!$K$16,$A22&lt;&gt;E$1,feasible_mat!E22=1),SUM(VLOOKUP($A22,test!$A$3:$F$32,2,FALSE),VLOOKUP(E$1,test!$A$3:$F$32,2,FALSE)),0)</f>
        <v>0</v>
      </c>
      <c r="F22">
        <f>IF(AND(SUM(VLOOKUP($A22,test!$A$3:$F$32,2,FALSE),VLOOKUP(F$1,test!$A$3:$F$32,2,FALSE))&lt;test!$K$16,$A22&lt;&gt;F$1,feasible_mat!F22=1),SUM(VLOOKUP($A22,test!$A$3:$F$32,2,FALSE),VLOOKUP(F$1,test!$A$3:$F$32,2,FALSE)),0)</f>
        <v>0</v>
      </c>
      <c r="G22">
        <f>IF(AND(SUM(VLOOKUP($A22,test!$A$3:$F$32,2,FALSE),VLOOKUP(G$1,test!$A$3:$F$32,2,FALSE))&lt;test!$K$16,$A22&lt;&gt;G$1,feasible_mat!G22=1),SUM(VLOOKUP($A22,test!$A$3:$F$32,2,FALSE),VLOOKUP(G$1,test!$A$3:$F$32,2,FALSE)),0)</f>
        <v>0</v>
      </c>
      <c r="H22">
        <f>IF(AND(SUM(VLOOKUP($A22,test!$A$3:$F$32,2,FALSE),VLOOKUP(H$1,test!$A$3:$F$32,2,FALSE))&lt;test!$K$16,$A22&lt;&gt;H$1,feasible_mat!H22=1),SUM(VLOOKUP($A22,test!$A$3:$F$32,2,FALSE),VLOOKUP(H$1,test!$A$3:$F$32,2,FALSE)),0)</f>
        <v>0</v>
      </c>
      <c r="I22">
        <f>IF(AND(SUM(VLOOKUP($A22,test!$A$3:$F$32,2,FALSE),VLOOKUP(I$1,test!$A$3:$F$32,2,FALSE))&lt;test!$K$16,$A22&lt;&gt;I$1,feasible_mat!I22=1),SUM(VLOOKUP($A22,test!$A$3:$F$32,2,FALSE),VLOOKUP(I$1,test!$A$3:$F$32,2,FALSE)),0)</f>
        <v>0</v>
      </c>
      <c r="J22">
        <f>IF(AND(SUM(VLOOKUP($A22,test!$A$3:$F$32,2,FALSE),VLOOKUP(J$1,test!$A$3:$F$32,2,FALSE))&lt;test!$K$16,$A22&lt;&gt;J$1,feasible_mat!J22=1),SUM(VLOOKUP($A22,test!$A$3:$F$32,2,FALSE),VLOOKUP(J$1,test!$A$3:$F$32,2,FALSE)),0)</f>
        <v>270</v>
      </c>
      <c r="K22">
        <f>IF(AND(SUM(VLOOKUP($A22,test!$A$3:$F$32,2,FALSE),VLOOKUP(K$1,test!$A$3:$F$32,2,FALSE))&lt;test!$K$16,$A22&lt;&gt;K$1,feasible_mat!K22=1),SUM(VLOOKUP($A22,test!$A$3:$F$32,2,FALSE),VLOOKUP(K$1,test!$A$3:$F$32,2,FALSE)),0)</f>
        <v>0</v>
      </c>
      <c r="L22">
        <f>IF(AND(SUM(VLOOKUP($A22,test!$A$3:$F$32,2,FALSE),VLOOKUP(L$1,test!$A$3:$F$32,2,FALSE))&lt;test!$K$16,$A22&lt;&gt;L$1,feasible_mat!L22=1),SUM(VLOOKUP($A22,test!$A$3:$F$32,2,FALSE),VLOOKUP(L$1,test!$A$3:$F$32,2,FALSE)),0)</f>
        <v>0</v>
      </c>
      <c r="M22">
        <f>IF(AND(SUM(VLOOKUP($A22,test!$A$3:$F$32,2,FALSE),VLOOKUP(M$1,test!$A$3:$F$32,2,FALSE))&lt;test!$K$16,$A22&lt;&gt;M$1,feasible_mat!M22=1),SUM(VLOOKUP($A22,test!$A$3:$F$32,2,FALSE),VLOOKUP(M$1,test!$A$3:$F$32,2,FALSE)),0)</f>
        <v>0</v>
      </c>
      <c r="N22">
        <f>IF(AND(SUM(VLOOKUP($A22,test!$A$3:$F$32,2,FALSE),VLOOKUP(N$1,test!$A$3:$F$32,2,FALSE))&lt;test!$K$16,$A22&lt;&gt;N$1,feasible_mat!N22=1),SUM(VLOOKUP($A22,test!$A$3:$F$32,2,FALSE),VLOOKUP(N$1,test!$A$3:$F$32,2,FALSE)),0)</f>
        <v>275</v>
      </c>
      <c r="O22">
        <f>IF(AND(SUM(VLOOKUP($A22,test!$A$3:$F$32,2,FALSE),VLOOKUP(O$1,test!$A$3:$F$32,2,FALSE))&lt;test!$K$16,$A22&lt;&gt;O$1,feasible_mat!O22=1),SUM(VLOOKUP($A22,test!$A$3:$F$32,2,FALSE),VLOOKUP(O$1,test!$A$3:$F$32,2,FALSE)),0)</f>
        <v>275</v>
      </c>
      <c r="P22">
        <f>IF(AND(SUM(VLOOKUP($A22,test!$A$3:$F$32,2,FALSE),VLOOKUP(P$1,test!$A$3:$F$32,2,FALSE))&lt;test!$K$16,$A22&lt;&gt;P$1,feasible_mat!P22=1),SUM(VLOOKUP($A22,test!$A$3:$F$32,2,FALSE),VLOOKUP(P$1,test!$A$3:$F$32,2,FALSE)),0)</f>
        <v>0</v>
      </c>
      <c r="Q22">
        <f>IF(AND(SUM(VLOOKUP($A22,test!$A$3:$F$32,2,FALSE),VLOOKUP(Q$1,test!$A$3:$F$32,2,FALSE))&lt;test!$K$16,$A22&lt;&gt;Q$1,feasible_mat!Q22=1),SUM(VLOOKUP($A22,test!$A$3:$F$32,2,FALSE),VLOOKUP(Q$1,test!$A$3:$F$32,2,FALSE)),0)</f>
        <v>0</v>
      </c>
      <c r="R22">
        <f>IF(AND(SUM(VLOOKUP($A22,test!$A$3:$F$32,2,FALSE),VLOOKUP(R$1,test!$A$3:$F$32,2,FALSE))&lt;test!$K$16,$A22&lt;&gt;R$1,feasible_mat!R22=1),SUM(VLOOKUP($A22,test!$A$3:$F$32,2,FALSE),VLOOKUP(R$1,test!$A$3:$F$32,2,FALSE)),0)</f>
        <v>0</v>
      </c>
      <c r="S22">
        <f>IF(AND(SUM(VLOOKUP($A22,test!$A$3:$F$32,2,FALSE),VLOOKUP(S$1,test!$A$3:$F$32,2,FALSE))&lt;test!$K$16,$A22&lt;&gt;S$1,feasible_mat!S22=1),SUM(VLOOKUP($A22,test!$A$3:$F$32,2,FALSE),VLOOKUP(S$1,test!$A$3:$F$32,2,FALSE)),0)</f>
        <v>0</v>
      </c>
      <c r="T22">
        <f>IF(AND(SUM(VLOOKUP($A22,test!$A$3:$F$32,2,FALSE),VLOOKUP(T$1,test!$A$3:$F$32,2,FALSE))&lt;test!$K$16,$A22&lt;&gt;T$1,feasible_mat!T22=1),SUM(VLOOKUP($A22,test!$A$3:$F$32,2,FALSE),VLOOKUP(T$1,test!$A$3:$F$32,2,FALSE)),0)</f>
        <v>0</v>
      </c>
      <c r="U22">
        <f>IF(AND(SUM(VLOOKUP($A22,test!$A$3:$F$32,2,FALSE),VLOOKUP(U$1,test!$A$3:$F$32,2,FALSE))&lt;test!$K$16,$A22&lt;&gt;U$1,feasible_mat!U22=1),SUM(VLOOKUP($A22,test!$A$3:$F$32,2,FALSE),VLOOKUP(U$1,test!$A$3:$F$32,2,FALSE)),0)</f>
        <v>0</v>
      </c>
      <c r="V22">
        <f>IF(AND(SUM(VLOOKUP($A22,test!$A$3:$F$32,2,FALSE),VLOOKUP(V$1,test!$A$3:$F$32,2,FALSE))&lt;test!$K$16,$A22&lt;&gt;V$1,feasible_mat!V22=1),SUM(VLOOKUP($A22,test!$A$3:$F$32,2,FALSE),VLOOKUP(V$1,test!$A$3:$F$32,2,FALSE)),0)</f>
        <v>0</v>
      </c>
      <c r="W22">
        <f>IF(AND(SUM(VLOOKUP($A22,test!$A$3:$F$32,2,FALSE),VLOOKUP(W$1,test!$A$3:$F$32,2,FALSE))&lt;test!$K$16,$A22&lt;&gt;W$1,feasible_mat!W22=1),SUM(VLOOKUP($A22,test!$A$3:$F$32,2,FALSE),VLOOKUP(W$1,test!$A$3:$F$32,2,FALSE)),0)</f>
        <v>0</v>
      </c>
      <c r="X22">
        <f>IF(AND(SUM(VLOOKUP($A22,test!$A$3:$F$32,2,FALSE),VLOOKUP(X$1,test!$A$3:$F$32,2,FALSE))&lt;test!$K$16,$A22&lt;&gt;X$1,feasible_mat!X22=1),SUM(VLOOKUP($A22,test!$A$3:$F$32,2,FALSE),VLOOKUP(X$1,test!$A$3:$F$32,2,FALSE)),0)</f>
        <v>0</v>
      </c>
      <c r="Y22">
        <f>IF(AND(SUM(VLOOKUP($A22,test!$A$3:$F$32,2,FALSE),VLOOKUP(Y$1,test!$A$3:$F$32,2,FALSE))&lt;test!$K$16,$A22&lt;&gt;Y$1,feasible_mat!Y22=1),SUM(VLOOKUP($A22,test!$A$3:$F$32,2,FALSE),VLOOKUP(Y$1,test!$A$3:$F$32,2,FALSE)),0)</f>
        <v>0</v>
      </c>
      <c r="Z22">
        <f>IF(AND(SUM(VLOOKUP($A22,test!$A$3:$F$32,2,FALSE),VLOOKUP(Z$1,test!$A$3:$F$32,2,FALSE))&lt;test!$K$16,$A22&lt;&gt;Z$1,feasible_mat!Z22=1),SUM(VLOOKUP($A22,test!$A$3:$F$32,2,FALSE),VLOOKUP(Z$1,test!$A$3:$F$32,2,FALSE)),0)</f>
        <v>0</v>
      </c>
      <c r="AA22">
        <f>IF(AND(SUM(VLOOKUP($A22,test!$A$3:$F$32,2,FALSE),VLOOKUP(AA$1,test!$A$3:$F$32,2,FALSE))&lt;test!$K$16,$A22&lt;&gt;AA$1,feasible_mat!AA22=1),SUM(VLOOKUP($A22,test!$A$3:$F$32,2,FALSE),VLOOKUP(AA$1,test!$A$3:$F$32,2,FALSE)),0)</f>
        <v>0</v>
      </c>
      <c r="AB22">
        <f>IF(AND(SUM(VLOOKUP($A22,test!$A$3:$F$32,2,FALSE),VLOOKUP(AB$1,test!$A$3:$F$32,2,FALSE))&lt;test!$K$16,$A22&lt;&gt;AB$1,feasible_mat!AB22=1),SUM(VLOOKUP($A22,test!$A$3:$F$32,2,FALSE),VLOOKUP(AB$1,test!$A$3:$F$32,2,FALSE)),0)</f>
        <v>0</v>
      </c>
      <c r="AC22">
        <f>IF(AND(SUM(VLOOKUP($A22,test!$A$3:$F$32,2,FALSE),VLOOKUP(AC$1,test!$A$3:$F$32,2,FALSE))&lt;test!$K$16,$A22&lt;&gt;AC$1,feasible_mat!AC22=1),SUM(VLOOKUP($A22,test!$A$3:$F$32,2,FALSE),VLOOKUP(AC$1,test!$A$3:$F$32,2,FALSE)),0)</f>
        <v>0</v>
      </c>
      <c r="AD22">
        <f>IF(AND(SUM(VLOOKUP($A22,test!$A$3:$F$32,2,FALSE),VLOOKUP(AD$1,test!$A$3:$F$32,2,FALSE))&lt;test!$K$16,$A22&lt;&gt;AD$1,feasible_mat!AD22=1),SUM(VLOOKUP($A22,test!$A$3:$F$32,2,FALSE),VLOOKUP(AD$1,test!$A$3:$F$32,2,FALSE)),0)</f>
        <v>0</v>
      </c>
      <c r="AE22">
        <f>IF(AND(SUM(VLOOKUP($A22,test!$A$3:$F$32,2,FALSE),VLOOKUP(AE$1,test!$A$3:$F$32,2,FALSE))&lt;test!$K$16,$A22&lt;&gt;AE$1,feasible_mat!AE22=1),SUM(VLOOKUP($A22,test!$A$3:$F$32,2,FALSE),VLOOKUP(AE$1,test!$A$3:$F$32,2,FALSE)),0)</f>
        <v>0</v>
      </c>
      <c r="AF22">
        <f>IF(AND(SUM(VLOOKUP($A22,test!$A$3:$F$32,2,FALSE),VLOOKUP(AF$1,test!$A$3:$F$32,2,FALSE))&lt;test!$K$16,$A22&lt;&gt;AF$1,feasible_mat!AF22=1),SUM(VLOOKUP($A22,test!$A$3:$F$32,2,FALSE),VLOOKUP(AF$1,test!$A$3:$F$32,2,FALSE)),0)</f>
        <v>0</v>
      </c>
      <c r="AG22">
        <v>60</v>
      </c>
      <c r="AH22">
        <v>75</v>
      </c>
      <c r="AI22">
        <v>70</v>
      </c>
    </row>
    <row r="23" spans="1:35" x14ac:dyDescent="0.25">
      <c r="A23" t="s">
        <v>32</v>
      </c>
      <c r="B23">
        <v>0</v>
      </c>
      <c r="C23">
        <f>IF(AND(SUM(VLOOKUP($A23,test!$A$3:$F$32,2,FALSE),VLOOKUP(C$1,test!$A$3:$F$32,2,FALSE))&lt;test!$K$16,$A23&lt;&gt;C$1,feasible_mat!C23=1),SUM(VLOOKUP($A23,test!$A$3:$F$32,2,FALSE),VLOOKUP(C$1,test!$A$3:$F$32,2,FALSE)),0)</f>
        <v>0</v>
      </c>
      <c r="D23">
        <f>IF(AND(SUM(VLOOKUP($A23,test!$A$3:$F$32,2,FALSE),VLOOKUP(D$1,test!$A$3:$F$32,2,FALSE))&lt;test!$K$16,$A23&lt;&gt;D$1,feasible_mat!D23=1),SUM(VLOOKUP($A23,test!$A$3:$F$32,2,FALSE),VLOOKUP(D$1,test!$A$3:$F$32,2,FALSE)),0)</f>
        <v>0</v>
      </c>
      <c r="E23">
        <f>IF(AND(SUM(VLOOKUP($A23,test!$A$3:$F$32,2,FALSE),VLOOKUP(E$1,test!$A$3:$F$32,2,FALSE))&lt;test!$K$16,$A23&lt;&gt;E$1,feasible_mat!E23=1),SUM(VLOOKUP($A23,test!$A$3:$F$32,2,FALSE),VLOOKUP(E$1,test!$A$3:$F$32,2,FALSE)),0)</f>
        <v>0</v>
      </c>
      <c r="F23">
        <f>IF(AND(SUM(VLOOKUP($A23,test!$A$3:$F$32,2,FALSE),VLOOKUP(F$1,test!$A$3:$F$32,2,FALSE))&lt;test!$K$16,$A23&lt;&gt;F$1,feasible_mat!F23=1),SUM(VLOOKUP($A23,test!$A$3:$F$32,2,FALSE),VLOOKUP(F$1,test!$A$3:$F$32,2,FALSE)),0)</f>
        <v>0</v>
      </c>
      <c r="G23">
        <f>IF(AND(SUM(VLOOKUP($A23,test!$A$3:$F$32,2,FALSE),VLOOKUP(G$1,test!$A$3:$F$32,2,FALSE))&lt;test!$K$16,$A23&lt;&gt;G$1,feasible_mat!G23=1),SUM(VLOOKUP($A23,test!$A$3:$F$32,2,FALSE),VLOOKUP(G$1,test!$A$3:$F$32,2,FALSE)),0)</f>
        <v>0</v>
      </c>
      <c r="H23">
        <f>IF(AND(SUM(VLOOKUP($A23,test!$A$3:$F$32,2,FALSE),VLOOKUP(H$1,test!$A$3:$F$32,2,FALSE))&lt;test!$K$16,$A23&lt;&gt;H$1,feasible_mat!H23=1),SUM(VLOOKUP($A23,test!$A$3:$F$32,2,FALSE),VLOOKUP(H$1,test!$A$3:$F$32,2,FALSE)),0)</f>
        <v>0</v>
      </c>
      <c r="I23">
        <f>IF(AND(SUM(VLOOKUP($A23,test!$A$3:$F$32,2,FALSE),VLOOKUP(I$1,test!$A$3:$F$32,2,FALSE))&lt;test!$K$16,$A23&lt;&gt;I$1,feasible_mat!I23=1),SUM(VLOOKUP($A23,test!$A$3:$F$32,2,FALSE),VLOOKUP(I$1,test!$A$3:$F$32,2,FALSE)),0)</f>
        <v>0</v>
      </c>
      <c r="J23">
        <f>IF(AND(SUM(VLOOKUP($A23,test!$A$3:$F$32,2,FALSE),VLOOKUP(J$1,test!$A$3:$F$32,2,FALSE))&lt;test!$K$16,$A23&lt;&gt;J$1,feasible_mat!J23=1),SUM(VLOOKUP($A23,test!$A$3:$F$32,2,FALSE),VLOOKUP(J$1,test!$A$3:$F$32,2,FALSE)),0)</f>
        <v>0</v>
      </c>
      <c r="K23">
        <f>IF(AND(SUM(VLOOKUP($A23,test!$A$3:$F$32,2,FALSE),VLOOKUP(K$1,test!$A$3:$F$32,2,FALSE))&lt;test!$K$16,$A23&lt;&gt;K$1,feasible_mat!K23=1),SUM(VLOOKUP($A23,test!$A$3:$F$32,2,FALSE),VLOOKUP(K$1,test!$A$3:$F$32,2,FALSE)),0)</f>
        <v>0</v>
      </c>
      <c r="L23">
        <f>IF(AND(SUM(VLOOKUP($A23,test!$A$3:$F$32,2,FALSE),VLOOKUP(L$1,test!$A$3:$F$32,2,FALSE))&lt;test!$K$16,$A23&lt;&gt;L$1,feasible_mat!L23=1),SUM(VLOOKUP($A23,test!$A$3:$F$32,2,FALSE),VLOOKUP(L$1,test!$A$3:$F$32,2,FALSE)),0)</f>
        <v>0</v>
      </c>
      <c r="M23">
        <f>IF(AND(SUM(VLOOKUP($A23,test!$A$3:$F$32,2,FALSE),VLOOKUP(M$1,test!$A$3:$F$32,2,FALSE))&lt;test!$K$16,$A23&lt;&gt;M$1,feasible_mat!M23=1),SUM(VLOOKUP($A23,test!$A$3:$F$32,2,FALSE),VLOOKUP(M$1,test!$A$3:$F$32,2,FALSE)),0)</f>
        <v>0</v>
      </c>
      <c r="N23">
        <f>IF(AND(SUM(VLOOKUP($A23,test!$A$3:$F$32,2,FALSE),VLOOKUP(N$1,test!$A$3:$F$32,2,FALSE))&lt;test!$K$16,$A23&lt;&gt;N$1,feasible_mat!N23=1),SUM(VLOOKUP($A23,test!$A$3:$F$32,2,FALSE),VLOOKUP(N$1,test!$A$3:$F$32,2,FALSE)),0)</f>
        <v>0</v>
      </c>
      <c r="O23">
        <f>IF(AND(SUM(VLOOKUP($A23,test!$A$3:$F$32,2,FALSE),VLOOKUP(O$1,test!$A$3:$F$32,2,FALSE))&lt;test!$K$16,$A23&lt;&gt;O$1,feasible_mat!O23=1),SUM(VLOOKUP($A23,test!$A$3:$F$32,2,FALSE),VLOOKUP(O$1,test!$A$3:$F$32,2,FALSE)),0)</f>
        <v>0</v>
      </c>
      <c r="P23">
        <f>IF(AND(SUM(VLOOKUP($A23,test!$A$3:$F$32,2,FALSE),VLOOKUP(P$1,test!$A$3:$F$32,2,FALSE))&lt;test!$K$16,$A23&lt;&gt;P$1,feasible_mat!P23=1),SUM(VLOOKUP($A23,test!$A$3:$F$32,2,FALSE),VLOOKUP(P$1,test!$A$3:$F$32,2,FALSE)),0)</f>
        <v>0</v>
      </c>
      <c r="Q23">
        <f>IF(AND(SUM(VLOOKUP($A23,test!$A$3:$F$32,2,FALSE),VLOOKUP(Q$1,test!$A$3:$F$32,2,FALSE))&lt;test!$K$16,$A23&lt;&gt;Q$1,feasible_mat!Q23=1),SUM(VLOOKUP($A23,test!$A$3:$F$32,2,FALSE),VLOOKUP(Q$1,test!$A$3:$F$32,2,FALSE)),0)</f>
        <v>0</v>
      </c>
      <c r="R23">
        <f>IF(AND(SUM(VLOOKUP($A23,test!$A$3:$F$32,2,FALSE),VLOOKUP(R$1,test!$A$3:$F$32,2,FALSE))&lt;test!$K$16,$A23&lt;&gt;R$1,feasible_mat!R23=1),SUM(VLOOKUP($A23,test!$A$3:$F$32,2,FALSE),VLOOKUP(R$1,test!$A$3:$F$32,2,FALSE)),0)</f>
        <v>0</v>
      </c>
      <c r="S23">
        <f>IF(AND(SUM(VLOOKUP($A23,test!$A$3:$F$32,2,FALSE),VLOOKUP(S$1,test!$A$3:$F$32,2,FALSE))&lt;test!$K$16,$A23&lt;&gt;S$1,feasible_mat!S23=1),SUM(VLOOKUP($A23,test!$A$3:$F$32,2,FALSE),VLOOKUP(S$1,test!$A$3:$F$32,2,FALSE)),0)</f>
        <v>0</v>
      </c>
      <c r="T23">
        <f>IF(AND(SUM(VLOOKUP($A23,test!$A$3:$F$32,2,FALSE),VLOOKUP(T$1,test!$A$3:$F$32,2,FALSE))&lt;test!$K$16,$A23&lt;&gt;T$1,feasible_mat!T23=1),SUM(VLOOKUP($A23,test!$A$3:$F$32,2,FALSE),VLOOKUP(T$1,test!$A$3:$F$32,2,FALSE)),0)</f>
        <v>0</v>
      </c>
      <c r="U23">
        <f>IF(AND(SUM(VLOOKUP($A23,test!$A$3:$F$32,2,FALSE),VLOOKUP(U$1,test!$A$3:$F$32,2,FALSE))&lt;test!$K$16,$A23&lt;&gt;U$1,feasible_mat!U23=1),SUM(VLOOKUP($A23,test!$A$3:$F$32,2,FALSE),VLOOKUP(U$1,test!$A$3:$F$32,2,FALSE)),0)</f>
        <v>0</v>
      </c>
      <c r="V23">
        <f>IF(AND(SUM(VLOOKUP($A23,test!$A$3:$F$32,2,FALSE),VLOOKUP(V$1,test!$A$3:$F$32,2,FALSE))&lt;test!$K$16,$A23&lt;&gt;V$1,feasible_mat!V23=1),SUM(VLOOKUP($A23,test!$A$3:$F$32,2,FALSE),VLOOKUP(V$1,test!$A$3:$F$32,2,FALSE)),0)</f>
        <v>0</v>
      </c>
      <c r="W23">
        <f>IF(AND(SUM(VLOOKUP($A23,test!$A$3:$F$32,2,FALSE),VLOOKUP(W$1,test!$A$3:$F$32,2,FALSE))&lt;test!$K$16,$A23&lt;&gt;W$1,feasible_mat!W23=1),SUM(VLOOKUP($A23,test!$A$3:$F$32,2,FALSE),VLOOKUP(W$1,test!$A$3:$F$32,2,FALSE)),0)</f>
        <v>0</v>
      </c>
      <c r="X23">
        <f>IF(AND(SUM(VLOOKUP($A23,test!$A$3:$F$32,2,FALSE),VLOOKUP(X$1,test!$A$3:$F$32,2,FALSE))&lt;test!$K$16,$A23&lt;&gt;X$1,feasible_mat!X23=1),SUM(VLOOKUP($A23,test!$A$3:$F$32,2,FALSE),VLOOKUP(X$1,test!$A$3:$F$32,2,FALSE)),0)</f>
        <v>0</v>
      </c>
      <c r="Y23">
        <f>IF(AND(SUM(VLOOKUP($A23,test!$A$3:$F$32,2,FALSE),VLOOKUP(Y$1,test!$A$3:$F$32,2,FALSE))&lt;test!$K$16,$A23&lt;&gt;Y$1,feasible_mat!Y23=1),SUM(VLOOKUP($A23,test!$A$3:$F$32,2,FALSE),VLOOKUP(Y$1,test!$A$3:$F$32,2,FALSE)),0)</f>
        <v>0</v>
      </c>
      <c r="Z23">
        <f>IF(AND(SUM(VLOOKUP($A23,test!$A$3:$F$32,2,FALSE),VLOOKUP(Z$1,test!$A$3:$F$32,2,FALSE))&lt;test!$K$16,$A23&lt;&gt;Z$1,feasible_mat!Z23=1),SUM(VLOOKUP($A23,test!$A$3:$F$32,2,FALSE),VLOOKUP(Z$1,test!$A$3:$F$32,2,FALSE)),0)</f>
        <v>0</v>
      </c>
      <c r="AA23">
        <f>IF(AND(SUM(VLOOKUP($A23,test!$A$3:$F$32,2,FALSE),VLOOKUP(AA$1,test!$A$3:$F$32,2,FALSE))&lt;test!$K$16,$A23&lt;&gt;AA$1,feasible_mat!AA23=1),SUM(VLOOKUP($A23,test!$A$3:$F$32,2,FALSE),VLOOKUP(AA$1,test!$A$3:$F$32,2,FALSE)),0)</f>
        <v>0</v>
      </c>
      <c r="AB23">
        <f>IF(AND(SUM(VLOOKUP($A23,test!$A$3:$F$32,2,FALSE),VLOOKUP(AB$1,test!$A$3:$F$32,2,FALSE))&lt;test!$K$16,$A23&lt;&gt;AB$1,feasible_mat!AB23=1),SUM(VLOOKUP($A23,test!$A$3:$F$32,2,FALSE),VLOOKUP(AB$1,test!$A$3:$F$32,2,FALSE)),0)</f>
        <v>0</v>
      </c>
      <c r="AC23">
        <f>IF(AND(SUM(VLOOKUP($A23,test!$A$3:$F$32,2,FALSE),VLOOKUP(AC$1,test!$A$3:$F$32,2,FALSE))&lt;test!$K$16,$A23&lt;&gt;AC$1,feasible_mat!AC23=1),SUM(VLOOKUP($A23,test!$A$3:$F$32,2,FALSE),VLOOKUP(AC$1,test!$A$3:$F$32,2,FALSE)),0)</f>
        <v>0</v>
      </c>
      <c r="AD23">
        <f>IF(AND(SUM(VLOOKUP($A23,test!$A$3:$F$32,2,FALSE),VLOOKUP(AD$1,test!$A$3:$F$32,2,FALSE))&lt;test!$K$16,$A23&lt;&gt;AD$1,feasible_mat!AD23=1),SUM(VLOOKUP($A23,test!$A$3:$F$32,2,FALSE),VLOOKUP(AD$1,test!$A$3:$F$32,2,FALSE)),0)</f>
        <v>0</v>
      </c>
      <c r="AE23">
        <f>IF(AND(SUM(VLOOKUP($A23,test!$A$3:$F$32,2,FALSE),VLOOKUP(AE$1,test!$A$3:$F$32,2,FALSE))&lt;test!$K$16,$A23&lt;&gt;AE$1,feasible_mat!AE23=1),SUM(VLOOKUP($A23,test!$A$3:$F$32,2,FALSE),VLOOKUP(AE$1,test!$A$3:$F$32,2,FALSE)),0)</f>
        <v>0</v>
      </c>
      <c r="AF23">
        <f>IF(AND(SUM(VLOOKUP($A23,test!$A$3:$F$32,2,FALSE),VLOOKUP(AF$1,test!$A$3:$F$32,2,FALSE))&lt;test!$K$16,$A23&lt;&gt;AF$1,feasible_mat!AF23=1),SUM(VLOOKUP($A23,test!$A$3:$F$32,2,FALSE),VLOOKUP(AF$1,test!$A$3:$F$32,2,FALSE)),0)</f>
        <v>0</v>
      </c>
      <c r="AG23">
        <v>60</v>
      </c>
      <c r="AH23">
        <v>75</v>
      </c>
      <c r="AI23">
        <v>70</v>
      </c>
    </row>
    <row r="24" spans="1:35" x14ac:dyDescent="0.25">
      <c r="A24" t="s">
        <v>33</v>
      </c>
      <c r="B24">
        <v>0</v>
      </c>
      <c r="C24">
        <f>IF(AND(SUM(VLOOKUP($A24,test!$A$3:$F$32,2,FALSE),VLOOKUP(C$1,test!$A$3:$F$32,2,FALSE))&lt;test!$K$16,$A24&lt;&gt;C$1,feasible_mat!C24=1),SUM(VLOOKUP($A24,test!$A$3:$F$32,2,FALSE),VLOOKUP(C$1,test!$A$3:$F$32,2,FALSE)),0)</f>
        <v>0</v>
      </c>
      <c r="D24">
        <f>IF(AND(SUM(VLOOKUP($A24,test!$A$3:$F$32,2,FALSE),VLOOKUP(D$1,test!$A$3:$F$32,2,FALSE))&lt;test!$K$16,$A24&lt;&gt;D$1,feasible_mat!D24=1),SUM(VLOOKUP($A24,test!$A$3:$F$32,2,FALSE),VLOOKUP(D$1,test!$A$3:$F$32,2,FALSE)),0)</f>
        <v>0</v>
      </c>
      <c r="E24">
        <f>IF(AND(SUM(VLOOKUP($A24,test!$A$3:$F$32,2,FALSE),VLOOKUP(E$1,test!$A$3:$F$32,2,FALSE))&lt;test!$K$16,$A24&lt;&gt;E$1,feasible_mat!E24=1),SUM(VLOOKUP($A24,test!$A$3:$F$32,2,FALSE),VLOOKUP(E$1,test!$A$3:$F$32,2,FALSE)),0)</f>
        <v>0</v>
      </c>
      <c r="F24">
        <f>IF(AND(SUM(VLOOKUP($A24,test!$A$3:$F$32,2,FALSE),VLOOKUP(F$1,test!$A$3:$F$32,2,FALSE))&lt;test!$K$16,$A24&lt;&gt;F$1,feasible_mat!F24=1),SUM(VLOOKUP($A24,test!$A$3:$F$32,2,FALSE),VLOOKUP(F$1,test!$A$3:$F$32,2,FALSE)),0)</f>
        <v>0</v>
      </c>
      <c r="G24">
        <f>IF(AND(SUM(VLOOKUP($A24,test!$A$3:$F$32,2,FALSE),VLOOKUP(G$1,test!$A$3:$F$32,2,FALSE))&lt;test!$K$16,$A24&lt;&gt;G$1,feasible_mat!G24=1),SUM(VLOOKUP($A24,test!$A$3:$F$32,2,FALSE),VLOOKUP(G$1,test!$A$3:$F$32,2,FALSE)),0)</f>
        <v>0</v>
      </c>
      <c r="H24">
        <f>IF(AND(SUM(VLOOKUP($A24,test!$A$3:$F$32,2,FALSE),VLOOKUP(H$1,test!$A$3:$F$32,2,FALSE))&lt;test!$K$16,$A24&lt;&gt;H$1,feasible_mat!H24=1),SUM(VLOOKUP($A24,test!$A$3:$F$32,2,FALSE),VLOOKUP(H$1,test!$A$3:$F$32,2,FALSE)),0)</f>
        <v>0</v>
      </c>
      <c r="I24">
        <f>IF(AND(SUM(VLOOKUP($A24,test!$A$3:$F$32,2,FALSE),VLOOKUP(I$1,test!$A$3:$F$32,2,FALSE))&lt;test!$K$16,$A24&lt;&gt;I$1,feasible_mat!I24=1),SUM(VLOOKUP($A24,test!$A$3:$F$32,2,FALSE),VLOOKUP(I$1,test!$A$3:$F$32,2,FALSE)),0)</f>
        <v>0</v>
      </c>
      <c r="J24">
        <f>IF(AND(SUM(VLOOKUP($A24,test!$A$3:$F$32,2,FALSE),VLOOKUP(J$1,test!$A$3:$F$32,2,FALSE))&lt;test!$K$16,$A24&lt;&gt;J$1,feasible_mat!J24=1),SUM(VLOOKUP($A24,test!$A$3:$F$32,2,FALSE),VLOOKUP(J$1,test!$A$3:$F$32,2,FALSE)),0)</f>
        <v>0</v>
      </c>
      <c r="K24">
        <f>IF(AND(SUM(VLOOKUP($A24,test!$A$3:$F$32,2,FALSE),VLOOKUP(K$1,test!$A$3:$F$32,2,FALSE))&lt;test!$K$16,$A24&lt;&gt;K$1,feasible_mat!K24=1),SUM(VLOOKUP($A24,test!$A$3:$F$32,2,FALSE),VLOOKUP(K$1,test!$A$3:$F$32,2,FALSE)),0)</f>
        <v>0</v>
      </c>
      <c r="L24">
        <f>IF(AND(SUM(VLOOKUP($A24,test!$A$3:$F$32,2,FALSE),VLOOKUP(L$1,test!$A$3:$F$32,2,FALSE))&lt;test!$K$16,$A24&lt;&gt;L$1,feasible_mat!L24=1),SUM(VLOOKUP($A24,test!$A$3:$F$32,2,FALSE),VLOOKUP(L$1,test!$A$3:$F$32,2,FALSE)),0)</f>
        <v>0</v>
      </c>
      <c r="M24">
        <f>IF(AND(SUM(VLOOKUP($A24,test!$A$3:$F$32,2,FALSE),VLOOKUP(M$1,test!$A$3:$F$32,2,FALSE))&lt;test!$K$16,$A24&lt;&gt;M$1,feasible_mat!M24=1),SUM(VLOOKUP($A24,test!$A$3:$F$32,2,FALSE),VLOOKUP(M$1,test!$A$3:$F$32,2,FALSE)),0)</f>
        <v>0</v>
      </c>
      <c r="N24">
        <f>IF(AND(SUM(VLOOKUP($A24,test!$A$3:$F$32,2,FALSE),VLOOKUP(N$1,test!$A$3:$F$32,2,FALSE))&lt;test!$K$16,$A24&lt;&gt;N$1,feasible_mat!N24=1),SUM(VLOOKUP($A24,test!$A$3:$F$32,2,FALSE),VLOOKUP(N$1,test!$A$3:$F$32,2,FALSE)),0)</f>
        <v>0</v>
      </c>
      <c r="O24">
        <f>IF(AND(SUM(VLOOKUP($A24,test!$A$3:$F$32,2,FALSE),VLOOKUP(O$1,test!$A$3:$F$32,2,FALSE))&lt;test!$K$16,$A24&lt;&gt;O$1,feasible_mat!O24=1),SUM(VLOOKUP($A24,test!$A$3:$F$32,2,FALSE),VLOOKUP(O$1,test!$A$3:$F$32,2,FALSE)),0)</f>
        <v>0</v>
      </c>
      <c r="P24">
        <f>IF(AND(SUM(VLOOKUP($A24,test!$A$3:$F$32,2,FALSE),VLOOKUP(P$1,test!$A$3:$F$32,2,FALSE))&lt;test!$K$16,$A24&lt;&gt;P$1,feasible_mat!P24=1),SUM(VLOOKUP($A24,test!$A$3:$F$32,2,FALSE),VLOOKUP(P$1,test!$A$3:$F$32,2,FALSE)),0)</f>
        <v>0</v>
      </c>
      <c r="Q24">
        <f>IF(AND(SUM(VLOOKUP($A24,test!$A$3:$F$32,2,FALSE),VLOOKUP(Q$1,test!$A$3:$F$32,2,FALSE))&lt;test!$K$16,$A24&lt;&gt;Q$1,feasible_mat!Q24=1),SUM(VLOOKUP($A24,test!$A$3:$F$32,2,FALSE),VLOOKUP(Q$1,test!$A$3:$F$32,2,FALSE)),0)</f>
        <v>0</v>
      </c>
      <c r="R24">
        <f>IF(AND(SUM(VLOOKUP($A24,test!$A$3:$F$32,2,FALSE),VLOOKUP(R$1,test!$A$3:$F$32,2,FALSE))&lt;test!$K$16,$A24&lt;&gt;R$1,feasible_mat!R24=1),SUM(VLOOKUP($A24,test!$A$3:$F$32,2,FALSE),VLOOKUP(R$1,test!$A$3:$F$32,2,FALSE)),0)</f>
        <v>0</v>
      </c>
      <c r="S24">
        <f>IF(AND(SUM(VLOOKUP($A24,test!$A$3:$F$32,2,FALSE),VLOOKUP(S$1,test!$A$3:$F$32,2,FALSE))&lt;test!$K$16,$A24&lt;&gt;S$1,feasible_mat!S24=1),SUM(VLOOKUP($A24,test!$A$3:$F$32,2,FALSE),VLOOKUP(S$1,test!$A$3:$F$32,2,FALSE)),0)</f>
        <v>0</v>
      </c>
      <c r="T24">
        <f>IF(AND(SUM(VLOOKUP($A24,test!$A$3:$F$32,2,FALSE),VLOOKUP(T$1,test!$A$3:$F$32,2,FALSE))&lt;test!$K$16,$A24&lt;&gt;T$1,feasible_mat!T24=1),SUM(VLOOKUP($A24,test!$A$3:$F$32,2,FALSE),VLOOKUP(T$1,test!$A$3:$F$32,2,FALSE)),0)</f>
        <v>0</v>
      </c>
      <c r="U24">
        <f>IF(AND(SUM(VLOOKUP($A24,test!$A$3:$F$32,2,FALSE),VLOOKUP(U$1,test!$A$3:$F$32,2,FALSE))&lt;test!$K$16,$A24&lt;&gt;U$1,feasible_mat!U24=1),SUM(VLOOKUP($A24,test!$A$3:$F$32,2,FALSE),VLOOKUP(U$1,test!$A$3:$F$32,2,FALSE)),0)</f>
        <v>0</v>
      </c>
      <c r="V24">
        <f>IF(AND(SUM(VLOOKUP($A24,test!$A$3:$F$32,2,FALSE),VLOOKUP(V$1,test!$A$3:$F$32,2,FALSE))&lt;test!$K$16,$A24&lt;&gt;V$1,feasible_mat!V24=1),SUM(VLOOKUP($A24,test!$A$3:$F$32,2,FALSE),VLOOKUP(V$1,test!$A$3:$F$32,2,FALSE)),0)</f>
        <v>0</v>
      </c>
      <c r="W24">
        <f>IF(AND(SUM(VLOOKUP($A24,test!$A$3:$F$32,2,FALSE),VLOOKUP(W$1,test!$A$3:$F$32,2,FALSE))&lt;test!$K$16,$A24&lt;&gt;W$1,feasible_mat!W24=1),SUM(VLOOKUP($A24,test!$A$3:$F$32,2,FALSE),VLOOKUP(W$1,test!$A$3:$F$32,2,FALSE)),0)</f>
        <v>0</v>
      </c>
      <c r="X24">
        <f>IF(AND(SUM(VLOOKUP($A24,test!$A$3:$F$32,2,FALSE),VLOOKUP(X$1,test!$A$3:$F$32,2,FALSE))&lt;test!$K$16,$A24&lt;&gt;X$1,feasible_mat!X24=1),SUM(VLOOKUP($A24,test!$A$3:$F$32,2,FALSE),VLOOKUP(X$1,test!$A$3:$F$32,2,FALSE)),0)</f>
        <v>0</v>
      </c>
      <c r="Y24">
        <f>IF(AND(SUM(VLOOKUP($A24,test!$A$3:$F$32,2,FALSE),VLOOKUP(Y$1,test!$A$3:$F$32,2,FALSE))&lt;test!$K$16,$A24&lt;&gt;Y$1,feasible_mat!Y24=1),SUM(VLOOKUP($A24,test!$A$3:$F$32,2,FALSE),VLOOKUP(Y$1,test!$A$3:$F$32,2,FALSE)),0)</f>
        <v>0</v>
      </c>
      <c r="Z24">
        <f>IF(AND(SUM(VLOOKUP($A24,test!$A$3:$F$32,2,FALSE),VLOOKUP(Z$1,test!$A$3:$F$32,2,FALSE))&lt;test!$K$16,$A24&lt;&gt;Z$1,feasible_mat!Z24=1),SUM(VLOOKUP($A24,test!$A$3:$F$32,2,FALSE),VLOOKUP(Z$1,test!$A$3:$F$32,2,FALSE)),0)</f>
        <v>0</v>
      </c>
      <c r="AA24">
        <f>IF(AND(SUM(VLOOKUP($A24,test!$A$3:$F$32,2,FALSE),VLOOKUP(AA$1,test!$A$3:$F$32,2,FALSE))&lt;test!$K$16,$A24&lt;&gt;AA$1,feasible_mat!AA24=1),SUM(VLOOKUP($A24,test!$A$3:$F$32,2,FALSE),VLOOKUP(AA$1,test!$A$3:$F$32,2,FALSE)),0)</f>
        <v>0</v>
      </c>
      <c r="AB24">
        <f>IF(AND(SUM(VLOOKUP($A24,test!$A$3:$F$32,2,FALSE),VLOOKUP(AB$1,test!$A$3:$F$32,2,FALSE))&lt;test!$K$16,$A24&lt;&gt;AB$1,feasible_mat!AB24=1),SUM(VLOOKUP($A24,test!$A$3:$F$32,2,FALSE),VLOOKUP(AB$1,test!$A$3:$F$32,2,FALSE)),0)</f>
        <v>0</v>
      </c>
      <c r="AC24">
        <f>IF(AND(SUM(VLOOKUP($A24,test!$A$3:$F$32,2,FALSE),VLOOKUP(AC$1,test!$A$3:$F$32,2,FALSE))&lt;test!$K$16,$A24&lt;&gt;AC$1,feasible_mat!AC24=1),SUM(VLOOKUP($A24,test!$A$3:$F$32,2,FALSE),VLOOKUP(AC$1,test!$A$3:$F$32,2,FALSE)),0)</f>
        <v>0</v>
      </c>
      <c r="AD24">
        <f>IF(AND(SUM(VLOOKUP($A24,test!$A$3:$F$32,2,FALSE),VLOOKUP(AD$1,test!$A$3:$F$32,2,FALSE))&lt;test!$K$16,$A24&lt;&gt;AD$1,feasible_mat!AD24=1),SUM(VLOOKUP($A24,test!$A$3:$F$32,2,FALSE),VLOOKUP(AD$1,test!$A$3:$F$32,2,FALSE)),0)</f>
        <v>0</v>
      </c>
      <c r="AE24">
        <f>IF(AND(SUM(VLOOKUP($A24,test!$A$3:$F$32,2,FALSE),VLOOKUP(AE$1,test!$A$3:$F$32,2,FALSE))&lt;test!$K$16,$A24&lt;&gt;AE$1,feasible_mat!AE24=1),SUM(VLOOKUP($A24,test!$A$3:$F$32,2,FALSE),VLOOKUP(AE$1,test!$A$3:$F$32,2,FALSE)),0)</f>
        <v>0</v>
      </c>
      <c r="AF24">
        <f>IF(AND(SUM(VLOOKUP($A24,test!$A$3:$F$32,2,FALSE),VLOOKUP(AF$1,test!$A$3:$F$32,2,FALSE))&lt;test!$K$16,$A24&lt;&gt;AF$1,feasible_mat!AF24=1),SUM(VLOOKUP($A24,test!$A$3:$F$32,2,FALSE),VLOOKUP(AF$1,test!$A$3:$F$32,2,FALSE)),0)</f>
        <v>0</v>
      </c>
      <c r="AG24">
        <v>60</v>
      </c>
      <c r="AH24">
        <v>75</v>
      </c>
      <c r="AI24">
        <v>70</v>
      </c>
    </row>
    <row r="25" spans="1:35" x14ac:dyDescent="0.25">
      <c r="A25" t="s">
        <v>34</v>
      </c>
      <c r="B25">
        <v>0</v>
      </c>
      <c r="C25">
        <f>IF(AND(SUM(VLOOKUP($A25,test!$A$3:$F$32,2,FALSE),VLOOKUP(C$1,test!$A$3:$F$32,2,FALSE))&lt;test!$K$16,$A25&lt;&gt;C$1,feasible_mat!C25=1),SUM(VLOOKUP($A25,test!$A$3:$F$32,2,FALSE),VLOOKUP(C$1,test!$A$3:$F$32,2,FALSE)),0)</f>
        <v>0</v>
      </c>
      <c r="D25">
        <f>IF(AND(SUM(VLOOKUP($A25,test!$A$3:$F$32,2,FALSE),VLOOKUP(D$1,test!$A$3:$F$32,2,FALSE))&lt;test!$K$16,$A25&lt;&gt;D$1,feasible_mat!D25=1),SUM(VLOOKUP($A25,test!$A$3:$F$32,2,FALSE),VLOOKUP(D$1,test!$A$3:$F$32,2,FALSE)),0)</f>
        <v>275</v>
      </c>
      <c r="E25">
        <f>IF(AND(SUM(VLOOKUP($A25,test!$A$3:$F$32,2,FALSE),VLOOKUP(E$1,test!$A$3:$F$32,2,FALSE))&lt;test!$K$16,$A25&lt;&gt;E$1,feasible_mat!E25=1),SUM(VLOOKUP($A25,test!$A$3:$F$32,2,FALSE),VLOOKUP(E$1,test!$A$3:$F$32,2,FALSE)),0)</f>
        <v>275</v>
      </c>
      <c r="F25">
        <f>IF(AND(SUM(VLOOKUP($A25,test!$A$3:$F$32,2,FALSE),VLOOKUP(F$1,test!$A$3:$F$32,2,FALSE))&lt;test!$K$16,$A25&lt;&gt;F$1,feasible_mat!F25=1),SUM(VLOOKUP($A25,test!$A$3:$F$32,2,FALSE),VLOOKUP(F$1,test!$A$3:$F$32,2,FALSE)),0)</f>
        <v>275</v>
      </c>
      <c r="G25">
        <f>IF(AND(SUM(VLOOKUP($A25,test!$A$3:$F$32,2,FALSE),VLOOKUP(G$1,test!$A$3:$F$32,2,FALSE))&lt;test!$K$16,$A25&lt;&gt;G$1,feasible_mat!G25=1),SUM(VLOOKUP($A25,test!$A$3:$F$32,2,FALSE),VLOOKUP(G$1,test!$A$3:$F$32,2,FALSE)),0)</f>
        <v>275</v>
      </c>
      <c r="H25">
        <f>IF(AND(SUM(VLOOKUP($A25,test!$A$3:$F$32,2,FALSE),VLOOKUP(H$1,test!$A$3:$F$32,2,FALSE))&lt;test!$K$16,$A25&lt;&gt;H$1,feasible_mat!H25=1),SUM(VLOOKUP($A25,test!$A$3:$F$32,2,FALSE),VLOOKUP(H$1,test!$A$3:$F$32,2,FALSE)),0)</f>
        <v>275</v>
      </c>
      <c r="I25">
        <f>IF(AND(SUM(VLOOKUP($A25,test!$A$3:$F$32,2,FALSE),VLOOKUP(I$1,test!$A$3:$F$32,2,FALSE))&lt;test!$K$16,$A25&lt;&gt;I$1,feasible_mat!I25=1),SUM(VLOOKUP($A25,test!$A$3:$F$32,2,FALSE),VLOOKUP(I$1,test!$A$3:$F$32,2,FALSE)),0)</f>
        <v>275</v>
      </c>
      <c r="J25">
        <f>IF(AND(SUM(VLOOKUP($A25,test!$A$3:$F$32,2,FALSE),VLOOKUP(J$1,test!$A$3:$F$32,2,FALSE))&lt;test!$K$16,$A25&lt;&gt;J$1,feasible_mat!J25=1),SUM(VLOOKUP($A25,test!$A$3:$F$32,2,FALSE),VLOOKUP(J$1,test!$A$3:$F$32,2,FALSE)),0)</f>
        <v>275</v>
      </c>
      <c r="K25">
        <f>IF(AND(SUM(VLOOKUP($A25,test!$A$3:$F$32,2,FALSE),VLOOKUP(K$1,test!$A$3:$F$32,2,FALSE))&lt;test!$K$16,$A25&lt;&gt;K$1,feasible_mat!K25=1),SUM(VLOOKUP($A25,test!$A$3:$F$32,2,FALSE),VLOOKUP(K$1,test!$A$3:$F$32,2,FALSE)),0)</f>
        <v>0</v>
      </c>
      <c r="L25">
        <f>IF(AND(SUM(VLOOKUP($A25,test!$A$3:$F$32,2,FALSE),VLOOKUP(L$1,test!$A$3:$F$32,2,FALSE))&lt;test!$K$16,$A25&lt;&gt;L$1,feasible_mat!L25=1),SUM(VLOOKUP($A25,test!$A$3:$F$32,2,FALSE),VLOOKUP(L$1,test!$A$3:$F$32,2,FALSE)),0)</f>
        <v>0</v>
      </c>
      <c r="M25">
        <f>IF(AND(SUM(VLOOKUP($A25,test!$A$3:$F$32,2,FALSE),VLOOKUP(M$1,test!$A$3:$F$32,2,FALSE))&lt;test!$K$16,$A25&lt;&gt;M$1,feasible_mat!M25=1),SUM(VLOOKUP($A25,test!$A$3:$F$32,2,FALSE),VLOOKUP(M$1,test!$A$3:$F$32,2,FALSE)),0)</f>
        <v>280</v>
      </c>
      <c r="N25">
        <f>IF(AND(SUM(VLOOKUP($A25,test!$A$3:$F$32,2,FALSE),VLOOKUP(N$1,test!$A$3:$F$32,2,FALSE))&lt;test!$K$16,$A25&lt;&gt;N$1,feasible_mat!N25=1),SUM(VLOOKUP($A25,test!$A$3:$F$32,2,FALSE),VLOOKUP(N$1,test!$A$3:$F$32,2,FALSE)),0)</f>
        <v>280</v>
      </c>
      <c r="O25">
        <f>IF(AND(SUM(VLOOKUP($A25,test!$A$3:$F$32,2,FALSE),VLOOKUP(O$1,test!$A$3:$F$32,2,FALSE))&lt;test!$K$16,$A25&lt;&gt;O$1,feasible_mat!O25=1),SUM(VLOOKUP($A25,test!$A$3:$F$32,2,FALSE),VLOOKUP(O$1,test!$A$3:$F$32,2,FALSE)),0)</f>
        <v>280</v>
      </c>
      <c r="P25">
        <f>IF(AND(SUM(VLOOKUP($A25,test!$A$3:$F$32,2,FALSE),VLOOKUP(P$1,test!$A$3:$F$32,2,FALSE))&lt;test!$K$16,$A25&lt;&gt;P$1,feasible_mat!P25=1),SUM(VLOOKUP($A25,test!$A$3:$F$32,2,FALSE),VLOOKUP(P$1,test!$A$3:$F$32,2,FALSE)),0)</f>
        <v>0</v>
      </c>
      <c r="Q25">
        <f>IF(AND(SUM(VLOOKUP($A25,test!$A$3:$F$32,2,FALSE),VLOOKUP(Q$1,test!$A$3:$F$32,2,FALSE))&lt;test!$K$16,$A25&lt;&gt;Q$1,feasible_mat!Q25=1),SUM(VLOOKUP($A25,test!$A$3:$F$32,2,FALSE),VLOOKUP(Q$1,test!$A$3:$F$32,2,FALSE)),0)</f>
        <v>0</v>
      </c>
      <c r="R25">
        <f>IF(AND(SUM(VLOOKUP($A25,test!$A$3:$F$32,2,FALSE),VLOOKUP(R$1,test!$A$3:$F$32,2,FALSE))&lt;test!$K$16,$A25&lt;&gt;R$1,feasible_mat!R25=1),SUM(VLOOKUP($A25,test!$A$3:$F$32,2,FALSE),VLOOKUP(R$1,test!$A$3:$F$32,2,FALSE)),0)</f>
        <v>0</v>
      </c>
      <c r="S25">
        <f>IF(AND(SUM(VLOOKUP($A25,test!$A$3:$F$32,2,FALSE),VLOOKUP(S$1,test!$A$3:$F$32,2,FALSE))&lt;test!$K$16,$A25&lt;&gt;S$1,feasible_mat!S25=1),SUM(VLOOKUP($A25,test!$A$3:$F$32,2,FALSE),VLOOKUP(S$1,test!$A$3:$F$32,2,FALSE)),0)</f>
        <v>0</v>
      </c>
      <c r="T25">
        <f>IF(AND(SUM(VLOOKUP($A25,test!$A$3:$F$32,2,FALSE),VLOOKUP(T$1,test!$A$3:$F$32,2,FALSE))&lt;test!$K$16,$A25&lt;&gt;T$1,feasible_mat!T25=1),SUM(VLOOKUP($A25,test!$A$3:$F$32,2,FALSE),VLOOKUP(T$1,test!$A$3:$F$32,2,FALSE)),0)</f>
        <v>0</v>
      </c>
      <c r="U25">
        <f>IF(AND(SUM(VLOOKUP($A25,test!$A$3:$F$32,2,FALSE),VLOOKUP(U$1,test!$A$3:$F$32,2,FALSE))&lt;test!$K$16,$A25&lt;&gt;U$1,feasible_mat!U25=1),SUM(VLOOKUP($A25,test!$A$3:$F$32,2,FALSE),VLOOKUP(U$1,test!$A$3:$F$32,2,FALSE)),0)</f>
        <v>0</v>
      </c>
      <c r="V25">
        <f>IF(AND(SUM(VLOOKUP($A25,test!$A$3:$F$32,2,FALSE),VLOOKUP(V$1,test!$A$3:$F$32,2,FALSE))&lt;test!$K$16,$A25&lt;&gt;V$1,feasible_mat!V25=1),SUM(VLOOKUP($A25,test!$A$3:$F$32,2,FALSE),VLOOKUP(V$1,test!$A$3:$F$32,2,FALSE)),0)</f>
        <v>0</v>
      </c>
      <c r="W25">
        <f>IF(AND(SUM(VLOOKUP($A25,test!$A$3:$F$32,2,FALSE),VLOOKUP(W$1,test!$A$3:$F$32,2,FALSE))&lt;test!$K$16,$A25&lt;&gt;W$1,feasible_mat!W25=1),SUM(VLOOKUP($A25,test!$A$3:$F$32,2,FALSE),VLOOKUP(W$1,test!$A$3:$F$32,2,FALSE)),0)</f>
        <v>0</v>
      </c>
      <c r="X25">
        <f>IF(AND(SUM(VLOOKUP($A25,test!$A$3:$F$32,2,FALSE),VLOOKUP(X$1,test!$A$3:$F$32,2,FALSE))&lt;test!$K$16,$A25&lt;&gt;X$1,feasible_mat!X25=1),SUM(VLOOKUP($A25,test!$A$3:$F$32,2,FALSE),VLOOKUP(X$1,test!$A$3:$F$32,2,FALSE)),0)</f>
        <v>0</v>
      </c>
      <c r="Y25">
        <f>IF(AND(SUM(VLOOKUP($A25,test!$A$3:$F$32,2,FALSE),VLOOKUP(Y$1,test!$A$3:$F$32,2,FALSE))&lt;test!$K$16,$A25&lt;&gt;Y$1,feasible_mat!Y25=1),SUM(VLOOKUP($A25,test!$A$3:$F$32,2,FALSE),VLOOKUP(Y$1,test!$A$3:$F$32,2,FALSE)),0)</f>
        <v>0</v>
      </c>
      <c r="Z25">
        <f>IF(AND(SUM(VLOOKUP($A25,test!$A$3:$F$32,2,FALSE),VLOOKUP(Z$1,test!$A$3:$F$32,2,FALSE))&lt;test!$K$16,$A25&lt;&gt;Z$1,feasible_mat!Z25=1),SUM(VLOOKUP($A25,test!$A$3:$F$32,2,FALSE),VLOOKUP(Z$1,test!$A$3:$F$32,2,FALSE)),0)</f>
        <v>0</v>
      </c>
      <c r="AA25">
        <f>IF(AND(SUM(VLOOKUP($A25,test!$A$3:$F$32,2,FALSE),VLOOKUP(AA$1,test!$A$3:$F$32,2,FALSE))&lt;test!$K$16,$A25&lt;&gt;AA$1,feasible_mat!AA25=1),SUM(VLOOKUP($A25,test!$A$3:$F$32,2,FALSE),VLOOKUP(AA$1,test!$A$3:$F$32,2,FALSE)),0)</f>
        <v>0</v>
      </c>
      <c r="AB25">
        <f>IF(AND(SUM(VLOOKUP($A25,test!$A$3:$F$32,2,FALSE),VLOOKUP(AB$1,test!$A$3:$F$32,2,FALSE))&lt;test!$K$16,$A25&lt;&gt;AB$1,feasible_mat!AB25=1),SUM(VLOOKUP($A25,test!$A$3:$F$32,2,FALSE),VLOOKUP(AB$1,test!$A$3:$F$32,2,FALSE)),0)</f>
        <v>0</v>
      </c>
      <c r="AC25">
        <f>IF(AND(SUM(VLOOKUP($A25,test!$A$3:$F$32,2,FALSE),VLOOKUP(AC$1,test!$A$3:$F$32,2,FALSE))&lt;test!$K$16,$A25&lt;&gt;AC$1,feasible_mat!AC25=1),SUM(VLOOKUP($A25,test!$A$3:$F$32,2,FALSE),VLOOKUP(AC$1,test!$A$3:$F$32,2,FALSE)),0)</f>
        <v>0</v>
      </c>
      <c r="AD25">
        <f>IF(AND(SUM(VLOOKUP($A25,test!$A$3:$F$32,2,FALSE),VLOOKUP(AD$1,test!$A$3:$F$32,2,FALSE))&lt;test!$K$16,$A25&lt;&gt;AD$1,feasible_mat!AD25=1),SUM(VLOOKUP($A25,test!$A$3:$F$32,2,FALSE),VLOOKUP(AD$1,test!$A$3:$F$32,2,FALSE)),0)</f>
        <v>0</v>
      </c>
      <c r="AE25">
        <f>IF(AND(SUM(VLOOKUP($A25,test!$A$3:$F$32,2,FALSE),VLOOKUP(AE$1,test!$A$3:$F$32,2,FALSE))&lt;test!$K$16,$A25&lt;&gt;AE$1,feasible_mat!AE25=1),SUM(VLOOKUP($A25,test!$A$3:$F$32,2,FALSE),VLOOKUP(AE$1,test!$A$3:$F$32,2,FALSE)),0)</f>
        <v>0</v>
      </c>
      <c r="AF25">
        <f>IF(AND(SUM(VLOOKUP($A25,test!$A$3:$F$32,2,FALSE),VLOOKUP(AF$1,test!$A$3:$F$32,2,FALSE))&lt;test!$K$16,$A25&lt;&gt;AF$1,feasible_mat!AF25=1),SUM(VLOOKUP($A25,test!$A$3:$F$32,2,FALSE),VLOOKUP(AF$1,test!$A$3:$F$32,2,FALSE)),0)</f>
        <v>0</v>
      </c>
      <c r="AG25">
        <v>60</v>
      </c>
      <c r="AH25">
        <v>75</v>
      </c>
      <c r="AI25">
        <v>70</v>
      </c>
    </row>
    <row r="26" spans="1:35" x14ac:dyDescent="0.25">
      <c r="A26" t="s">
        <v>35</v>
      </c>
      <c r="B26">
        <v>0</v>
      </c>
      <c r="C26">
        <f>IF(AND(SUM(VLOOKUP($A26,test!$A$3:$F$32,2,FALSE),VLOOKUP(C$1,test!$A$3:$F$32,2,FALSE))&lt;test!$K$16,$A26&lt;&gt;C$1,feasible_mat!C26=1),SUM(VLOOKUP($A26,test!$A$3:$F$32,2,FALSE),VLOOKUP(C$1,test!$A$3:$F$32,2,FALSE)),0)</f>
        <v>0</v>
      </c>
      <c r="D26">
        <f>IF(AND(SUM(VLOOKUP($A26,test!$A$3:$F$32,2,FALSE),VLOOKUP(D$1,test!$A$3:$F$32,2,FALSE))&lt;test!$K$16,$A26&lt;&gt;D$1,feasible_mat!D26=1),SUM(VLOOKUP($A26,test!$A$3:$F$32,2,FALSE),VLOOKUP(D$1,test!$A$3:$F$32,2,FALSE)),0)</f>
        <v>0</v>
      </c>
      <c r="E26">
        <f>IF(AND(SUM(VLOOKUP($A26,test!$A$3:$F$32,2,FALSE),VLOOKUP(E$1,test!$A$3:$F$32,2,FALSE))&lt;test!$K$16,$A26&lt;&gt;E$1,feasible_mat!E26=1),SUM(VLOOKUP($A26,test!$A$3:$F$32,2,FALSE),VLOOKUP(E$1,test!$A$3:$F$32,2,FALSE)),0)</f>
        <v>0</v>
      </c>
      <c r="F26">
        <f>IF(AND(SUM(VLOOKUP($A26,test!$A$3:$F$32,2,FALSE),VLOOKUP(F$1,test!$A$3:$F$32,2,FALSE))&lt;test!$K$16,$A26&lt;&gt;F$1,feasible_mat!F26=1),SUM(VLOOKUP($A26,test!$A$3:$F$32,2,FALSE),VLOOKUP(F$1,test!$A$3:$F$32,2,FALSE)),0)</f>
        <v>275</v>
      </c>
      <c r="G26">
        <f>IF(AND(SUM(VLOOKUP($A26,test!$A$3:$F$32,2,FALSE),VLOOKUP(G$1,test!$A$3:$F$32,2,FALSE))&lt;test!$K$16,$A26&lt;&gt;G$1,feasible_mat!G26=1),SUM(VLOOKUP($A26,test!$A$3:$F$32,2,FALSE),VLOOKUP(G$1,test!$A$3:$F$32,2,FALSE)),0)</f>
        <v>275</v>
      </c>
      <c r="H26">
        <f>IF(AND(SUM(VLOOKUP($A26,test!$A$3:$F$32,2,FALSE),VLOOKUP(H$1,test!$A$3:$F$32,2,FALSE))&lt;test!$K$16,$A26&lt;&gt;H$1,feasible_mat!H26=1),SUM(VLOOKUP($A26,test!$A$3:$F$32,2,FALSE),VLOOKUP(H$1,test!$A$3:$F$32,2,FALSE)),0)</f>
        <v>275</v>
      </c>
      <c r="I26">
        <f>IF(AND(SUM(VLOOKUP($A26,test!$A$3:$F$32,2,FALSE),VLOOKUP(I$1,test!$A$3:$F$32,2,FALSE))&lt;test!$K$16,$A26&lt;&gt;I$1,feasible_mat!I26=1),SUM(VLOOKUP($A26,test!$A$3:$F$32,2,FALSE),VLOOKUP(I$1,test!$A$3:$F$32,2,FALSE)),0)</f>
        <v>275</v>
      </c>
      <c r="J26">
        <f>IF(AND(SUM(VLOOKUP($A26,test!$A$3:$F$32,2,FALSE),VLOOKUP(J$1,test!$A$3:$F$32,2,FALSE))&lt;test!$K$16,$A26&lt;&gt;J$1,feasible_mat!J26=1),SUM(VLOOKUP($A26,test!$A$3:$F$32,2,FALSE),VLOOKUP(J$1,test!$A$3:$F$32,2,FALSE)),0)</f>
        <v>275</v>
      </c>
      <c r="K26">
        <f>IF(AND(SUM(VLOOKUP($A26,test!$A$3:$F$32,2,FALSE),VLOOKUP(K$1,test!$A$3:$F$32,2,FALSE))&lt;test!$K$16,$A26&lt;&gt;K$1,feasible_mat!K26=1),SUM(VLOOKUP($A26,test!$A$3:$F$32,2,FALSE),VLOOKUP(K$1,test!$A$3:$F$32,2,FALSE)),0)</f>
        <v>0</v>
      </c>
      <c r="L26">
        <f>IF(AND(SUM(VLOOKUP($A26,test!$A$3:$F$32,2,FALSE),VLOOKUP(L$1,test!$A$3:$F$32,2,FALSE))&lt;test!$K$16,$A26&lt;&gt;L$1,feasible_mat!L26=1),SUM(VLOOKUP($A26,test!$A$3:$F$32,2,FALSE),VLOOKUP(L$1,test!$A$3:$F$32,2,FALSE)),0)</f>
        <v>0</v>
      </c>
      <c r="M26">
        <f>IF(AND(SUM(VLOOKUP($A26,test!$A$3:$F$32,2,FALSE),VLOOKUP(M$1,test!$A$3:$F$32,2,FALSE))&lt;test!$K$16,$A26&lt;&gt;M$1,feasible_mat!M26=1),SUM(VLOOKUP($A26,test!$A$3:$F$32,2,FALSE),VLOOKUP(M$1,test!$A$3:$F$32,2,FALSE)),0)</f>
        <v>0</v>
      </c>
      <c r="N26">
        <f>IF(AND(SUM(VLOOKUP($A26,test!$A$3:$F$32,2,FALSE),VLOOKUP(N$1,test!$A$3:$F$32,2,FALSE))&lt;test!$K$16,$A26&lt;&gt;N$1,feasible_mat!N26=1),SUM(VLOOKUP($A26,test!$A$3:$F$32,2,FALSE),VLOOKUP(N$1,test!$A$3:$F$32,2,FALSE)),0)</f>
        <v>280</v>
      </c>
      <c r="O26">
        <f>IF(AND(SUM(VLOOKUP($A26,test!$A$3:$F$32,2,FALSE),VLOOKUP(O$1,test!$A$3:$F$32,2,FALSE))&lt;test!$K$16,$A26&lt;&gt;O$1,feasible_mat!O26=1),SUM(VLOOKUP($A26,test!$A$3:$F$32,2,FALSE),VLOOKUP(O$1,test!$A$3:$F$32,2,FALSE)),0)</f>
        <v>280</v>
      </c>
      <c r="P26">
        <f>IF(AND(SUM(VLOOKUP($A26,test!$A$3:$F$32,2,FALSE),VLOOKUP(P$1,test!$A$3:$F$32,2,FALSE))&lt;test!$K$16,$A26&lt;&gt;P$1,feasible_mat!P26=1),SUM(VLOOKUP($A26,test!$A$3:$F$32,2,FALSE),VLOOKUP(P$1,test!$A$3:$F$32,2,FALSE)),0)</f>
        <v>0</v>
      </c>
      <c r="Q26">
        <f>IF(AND(SUM(VLOOKUP($A26,test!$A$3:$F$32,2,FALSE),VLOOKUP(Q$1,test!$A$3:$F$32,2,FALSE))&lt;test!$K$16,$A26&lt;&gt;Q$1,feasible_mat!Q26=1),SUM(VLOOKUP($A26,test!$A$3:$F$32,2,FALSE),VLOOKUP(Q$1,test!$A$3:$F$32,2,FALSE)),0)</f>
        <v>0</v>
      </c>
      <c r="R26">
        <f>IF(AND(SUM(VLOOKUP($A26,test!$A$3:$F$32,2,FALSE),VLOOKUP(R$1,test!$A$3:$F$32,2,FALSE))&lt;test!$K$16,$A26&lt;&gt;R$1,feasible_mat!R26=1),SUM(VLOOKUP($A26,test!$A$3:$F$32,2,FALSE),VLOOKUP(R$1,test!$A$3:$F$32,2,FALSE)),0)</f>
        <v>0</v>
      </c>
      <c r="S26">
        <f>IF(AND(SUM(VLOOKUP($A26,test!$A$3:$F$32,2,FALSE),VLOOKUP(S$1,test!$A$3:$F$32,2,FALSE))&lt;test!$K$16,$A26&lt;&gt;S$1,feasible_mat!S26=1),SUM(VLOOKUP($A26,test!$A$3:$F$32,2,FALSE),VLOOKUP(S$1,test!$A$3:$F$32,2,FALSE)),0)</f>
        <v>0</v>
      </c>
      <c r="T26">
        <f>IF(AND(SUM(VLOOKUP($A26,test!$A$3:$F$32,2,FALSE),VLOOKUP(T$1,test!$A$3:$F$32,2,FALSE))&lt;test!$K$16,$A26&lt;&gt;T$1,feasible_mat!T26=1),SUM(VLOOKUP($A26,test!$A$3:$F$32,2,FALSE),VLOOKUP(T$1,test!$A$3:$F$32,2,FALSE)),0)</f>
        <v>0</v>
      </c>
      <c r="U26">
        <f>IF(AND(SUM(VLOOKUP($A26,test!$A$3:$F$32,2,FALSE),VLOOKUP(U$1,test!$A$3:$F$32,2,FALSE))&lt;test!$K$16,$A26&lt;&gt;U$1,feasible_mat!U26=1),SUM(VLOOKUP($A26,test!$A$3:$F$32,2,FALSE),VLOOKUP(U$1,test!$A$3:$F$32,2,FALSE)),0)</f>
        <v>0</v>
      </c>
      <c r="V26">
        <f>IF(AND(SUM(VLOOKUP($A26,test!$A$3:$F$32,2,FALSE),VLOOKUP(V$1,test!$A$3:$F$32,2,FALSE))&lt;test!$K$16,$A26&lt;&gt;V$1,feasible_mat!V26=1),SUM(VLOOKUP($A26,test!$A$3:$F$32,2,FALSE),VLOOKUP(V$1,test!$A$3:$F$32,2,FALSE)),0)</f>
        <v>0</v>
      </c>
      <c r="W26">
        <f>IF(AND(SUM(VLOOKUP($A26,test!$A$3:$F$32,2,FALSE),VLOOKUP(W$1,test!$A$3:$F$32,2,FALSE))&lt;test!$K$16,$A26&lt;&gt;W$1,feasible_mat!W26=1),SUM(VLOOKUP($A26,test!$A$3:$F$32,2,FALSE),VLOOKUP(W$1,test!$A$3:$F$32,2,FALSE)),0)</f>
        <v>0</v>
      </c>
      <c r="X26">
        <f>IF(AND(SUM(VLOOKUP($A26,test!$A$3:$F$32,2,FALSE),VLOOKUP(X$1,test!$A$3:$F$32,2,FALSE))&lt;test!$K$16,$A26&lt;&gt;X$1,feasible_mat!X26=1),SUM(VLOOKUP($A26,test!$A$3:$F$32,2,FALSE),VLOOKUP(X$1,test!$A$3:$F$32,2,FALSE)),0)</f>
        <v>0</v>
      </c>
      <c r="Y26">
        <f>IF(AND(SUM(VLOOKUP($A26,test!$A$3:$F$32,2,FALSE),VLOOKUP(Y$1,test!$A$3:$F$32,2,FALSE))&lt;test!$K$16,$A26&lt;&gt;Y$1,feasible_mat!Y26=1),SUM(VLOOKUP($A26,test!$A$3:$F$32,2,FALSE),VLOOKUP(Y$1,test!$A$3:$F$32,2,FALSE)),0)</f>
        <v>0</v>
      </c>
      <c r="Z26">
        <f>IF(AND(SUM(VLOOKUP($A26,test!$A$3:$F$32,2,FALSE),VLOOKUP(Z$1,test!$A$3:$F$32,2,FALSE))&lt;test!$K$16,$A26&lt;&gt;Z$1,feasible_mat!Z26=1),SUM(VLOOKUP($A26,test!$A$3:$F$32,2,FALSE),VLOOKUP(Z$1,test!$A$3:$F$32,2,FALSE)),0)</f>
        <v>0</v>
      </c>
      <c r="AA26">
        <f>IF(AND(SUM(VLOOKUP($A26,test!$A$3:$F$32,2,FALSE),VLOOKUP(AA$1,test!$A$3:$F$32,2,FALSE))&lt;test!$K$16,$A26&lt;&gt;AA$1,feasible_mat!AA26=1),SUM(VLOOKUP($A26,test!$A$3:$F$32,2,FALSE),VLOOKUP(AA$1,test!$A$3:$F$32,2,FALSE)),0)</f>
        <v>0</v>
      </c>
      <c r="AB26">
        <f>IF(AND(SUM(VLOOKUP($A26,test!$A$3:$F$32,2,FALSE),VLOOKUP(AB$1,test!$A$3:$F$32,2,FALSE))&lt;test!$K$16,$A26&lt;&gt;AB$1,feasible_mat!AB26=1),SUM(VLOOKUP($A26,test!$A$3:$F$32,2,FALSE),VLOOKUP(AB$1,test!$A$3:$F$32,2,FALSE)),0)</f>
        <v>0</v>
      </c>
      <c r="AC26">
        <f>IF(AND(SUM(VLOOKUP($A26,test!$A$3:$F$32,2,FALSE),VLOOKUP(AC$1,test!$A$3:$F$32,2,FALSE))&lt;test!$K$16,$A26&lt;&gt;AC$1,feasible_mat!AC26=1),SUM(VLOOKUP($A26,test!$A$3:$F$32,2,FALSE),VLOOKUP(AC$1,test!$A$3:$F$32,2,FALSE)),0)</f>
        <v>0</v>
      </c>
      <c r="AD26">
        <f>IF(AND(SUM(VLOOKUP($A26,test!$A$3:$F$32,2,FALSE),VLOOKUP(AD$1,test!$A$3:$F$32,2,FALSE))&lt;test!$K$16,$A26&lt;&gt;AD$1,feasible_mat!AD26=1),SUM(VLOOKUP($A26,test!$A$3:$F$32,2,FALSE),VLOOKUP(AD$1,test!$A$3:$F$32,2,FALSE)),0)</f>
        <v>0</v>
      </c>
      <c r="AE26">
        <f>IF(AND(SUM(VLOOKUP($A26,test!$A$3:$F$32,2,FALSE),VLOOKUP(AE$1,test!$A$3:$F$32,2,FALSE))&lt;test!$K$16,$A26&lt;&gt;AE$1,feasible_mat!AE26=1),SUM(VLOOKUP($A26,test!$A$3:$F$32,2,FALSE),VLOOKUP(AE$1,test!$A$3:$F$32,2,FALSE)),0)</f>
        <v>0</v>
      </c>
      <c r="AF26">
        <f>IF(AND(SUM(VLOOKUP($A26,test!$A$3:$F$32,2,FALSE),VLOOKUP(AF$1,test!$A$3:$F$32,2,FALSE))&lt;test!$K$16,$A26&lt;&gt;AF$1,feasible_mat!AF26=1),SUM(VLOOKUP($A26,test!$A$3:$F$32,2,FALSE),VLOOKUP(AF$1,test!$A$3:$F$32,2,FALSE)),0)</f>
        <v>0</v>
      </c>
      <c r="AG26">
        <v>60</v>
      </c>
      <c r="AH26">
        <v>75</v>
      </c>
      <c r="AI26">
        <v>70</v>
      </c>
    </row>
    <row r="27" spans="1:35" x14ac:dyDescent="0.25">
      <c r="A27" t="s">
        <v>36</v>
      </c>
      <c r="B27">
        <v>0</v>
      </c>
      <c r="C27">
        <f>IF(AND(SUM(VLOOKUP($A27,test!$A$3:$F$32,2,FALSE),VLOOKUP(C$1,test!$A$3:$F$32,2,FALSE))&lt;test!$K$16,$A27&lt;&gt;C$1,feasible_mat!C27=1),SUM(VLOOKUP($A27,test!$A$3:$F$32,2,FALSE),VLOOKUP(C$1,test!$A$3:$F$32,2,FALSE)),0)</f>
        <v>0</v>
      </c>
      <c r="D27">
        <f>IF(AND(SUM(VLOOKUP($A27,test!$A$3:$F$32,2,FALSE),VLOOKUP(D$1,test!$A$3:$F$32,2,FALSE))&lt;test!$K$16,$A27&lt;&gt;D$1,feasible_mat!D27=1),SUM(VLOOKUP($A27,test!$A$3:$F$32,2,FALSE),VLOOKUP(D$1,test!$A$3:$F$32,2,FALSE)),0)</f>
        <v>0</v>
      </c>
      <c r="E27">
        <f>IF(AND(SUM(VLOOKUP($A27,test!$A$3:$F$32,2,FALSE),VLOOKUP(E$1,test!$A$3:$F$32,2,FALSE))&lt;test!$K$16,$A27&lt;&gt;E$1,feasible_mat!E27=1),SUM(VLOOKUP($A27,test!$A$3:$F$32,2,FALSE),VLOOKUP(E$1,test!$A$3:$F$32,2,FALSE)),0)</f>
        <v>0</v>
      </c>
      <c r="F27">
        <f>IF(AND(SUM(VLOOKUP($A27,test!$A$3:$F$32,2,FALSE),VLOOKUP(F$1,test!$A$3:$F$32,2,FALSE))&lt;test!$K$16,$A27&lt;&gt;F$1,feasible_mat!F27=1),SUM(VLOOKUP($A27,test!$A$3:$F$32,2,FALSE),VLOOKUP(F$1,test!$A$3:$F$32,2,FALSE)),0)</f>
        <v>0</v>
      </c>
      <c r="G27">
        <f>IF(AND(SUM(VLOOKUP($A27,test!$A$3:$F$32,2,FALSE),VLOOKUP(G$1,test!$A$3:$F$32,2,FALSE))&lt;test!$K$16,$A27&lt;&gt;G$1,feasible_mat!G27=1),SUM(VLOOKUP($A27,test!$A$3:$F$32,2,FALSE),VLOOKUP(G$1,test!$A$3:$F$32,2,FALSE)),0)</f>
        <v>0</v>
      </c>
      <c r="H27">
        <f>IF(AND(SUM(VLOOKUP($A27,test!$A$3:$F$32,2,FALSE),VLOOKUP(H$1,test!$A$3:$F$32,2,FALSE))&lt;test!$K$16,$A27&lt;&gt;H$1,feasible_mat!H27=1),SUM(VLOOKUP($A27,test!$A$3:$F$32,2,FALSE),VLOOKUP(H$1,test!$A$3:$F$32,2,FALSE)),0)</f>
        <v>275</v>
      </c>
      <c r="I27">
        <f>IF(AND(SUM(VLOOKUP($A27,test!$A$3:$F$32,2,FALSE),VLOOKUP(I$1,test!$A$3:$F$32,2,FALSE))&lt;test!$K$16,$A27&lt;&gt;I$1,feasible_mat!I27=1),SUM(VLOOKUP($A27,test!$A$3:$F$32,2,FALSE),VLOOKUP(I$1,test!$A$3:$F$32,2,FALSE)),0)</f>
        <v>275</v>
      </c>
      <c r="J27">
        <f>IF(AND(SUM(VLOOKUP($A27,test!$A$3:$F$32,2,FALSE),VLOOKUP(J$1,test!$A$3:$F$32,2,FALSE))&lt;test!$K$16,$A27&lt;&gt;J$1,feasible_mat!J27=1),SUM(VLOOKUP($A27,test!$A$3:$F$32,2,FALSE),VLOOKUP(J$1,test!$A$3:$F$32,2,FALSE)),0)</f>
        <v>275</v>
      </c>
      <c r="K27">
        <f>IF(AND(SUM(VLOOKUP($A27,test!$A$3:$F$32,2,FALSE),VLOOKUP(K$1,test!$A$3:$F$32,2,FALSE))&lt;test!$K$16,$A27&lt;&gt;K$1,feasible_mat!K27=1),SUM(VLOOKUP($A27,test!$A$3:$F$32,2,FALSE),VLOOKUP(K$1,test!$A$3:$F$32,2,FALSE)),0)</f>
        <v>0</v>
      </c>
      <c r="L27">
        <f>IF(AND(SUM(VLOOKUP($A27,test!$A$3:$F$32,2,FALSE),VLOOKUP(L$1,test!$A$3:$F$32,2,FALSE))&lt;test!$K$16,$A27&lt;&gt;L$1,feasible_mat!L27=1),SUM(VLOOKUP($A27,test!$A$3:$F$32,2,FALSE),VLOOKUP(L$1,test!$A$3:$F$32,2,FALSE)),0)</f>
        <v>0</v>
      </c>
      <c r="M27">
        <f>IF(AND(SUM(VLOOKUP($A27,test!$A$3:$F$32,2,FALSE),VLOOKUP(M$1,test!$A$3:$F$32,2,FALSE))&lt;test!$K$16,$A27&lt;&gt;M$1,feasible_mat!M27=1),SUM(VLOOKUP($A27,test!$A$3:$F$32,2,FALSE),VLOOKUP(M$1,test!$A$3:$F$32,2,FALSE)),0)</f>
        <v>0</v>
      </c>
      <c r="N27">
        <f>IF(AND(SUM(VLOOKUP($A27,test!$A$3:$F$32,2,FALSE),VLOOKUP(N$1,test!$A$3:$F$32,2,FALSE))&lt;test!$K$16,$A27&lt;&gt;N$1,feasible_mat!N27=1),SUM(VLOOKUP($A27,test!$A$3:$F$32,2,FALSE),VLOOKUP(N$1,test!$A$3:$F$32,2,FALSE)),0)</f>
        <v>280</v>
      </c>
      <c r="O27">
        <f>IF(AND(SUM(VLOOKUP($A27,test!$A$3:$F$32,2,FALSE),VLOOKUP(O$1,test!$A$3:$F$32,2,FALSE))&lt;test!$K$16,$A27&lt;&gt;O$1,feasible_mat!O27=1),SUM(VLOOKUP($A27,test!$A$3:$F$32,2,FALSE),VLOOKUP(O$1,test!$A$3:$F$32,2,FALSE)),0)</f>
        <v>280</v>
      </c>
      <c r="P27">
        <f>IF(AND(SUM(VLOOKUP($A27,test!$A$3:$F$32,2,FALSE),VLOOKUP(P$1,test!$A$3:$F$32,2,FALSE))&lt;test!$K$16,$A27&lt;&gt;P$1,feasible_mat!P27=1),SUM(VLOOKUP($A27,test!$A$3:$F$32,2,FALSE),VLOOKUP(P$1,test!$A$3:$F$32,2,FALSE)),0)</f>
        <v>0</v>
      </c>
      <c r="Q27">
        <f>IF(AND(SUM(VLOOKUP($A27,test!$A$3:$F$32,2,FALSE),VLOOKUP(Q$1,test!$A$3:$F$32,2,FALSE))&lt;test!$K$16,$A27&lt;&gt;Q$1,feasible_mat!Q27=1),SUM(VLOOKUP($A27,test!$A$3:$F$32,2,FALSE),VLOOKUP(Q$1,test!$A$3:$F$32,2,FALSE)),0)</f>
        <v>0</v>
      </c>
      <c r="R27">
        <f>IF(AND(SUM(VLOOKUP($A27,test!$A$3:$F$32,2,FALSE),VLOOKUP(R$1,test!$A$3:$F$32,2,FALSE))&lt;test!$K$16,$A27&lt;&gt;R$1,feasible_mat!R27=1),SUM(VLOOKUP($A27,test!$A$3:$F$32,2,FALSE),VLOOKUP(R$1,test!$A$3:$F$32,2,FALSE)),0)</f>
        <v>0</v>
      </c>
      <c r="S27">
        <f>IF(AND(SUM(VLOOKUP($A27,test!$A$3:$F$32,2,FALSE),VLOOKUP(S$1,test!$A$3:$F$32,2,FALSE))&lt;test!$K$16,$A27&lt;&gt;S$1,feasible_mat!S27=1),SUM(VLOOKUP($A27,test!$A$3:$F$32,2,FALSE),VLOOKUP(S$1,test!$A$3:$F$32,2,FALSE)),0)</f>
        <v>0</v>
      </c>
      <c r="T27">
        <f>IF(AND(SUM(VLOOKUP($A27,test!$A$3:$F$32,2,FALSE),VLOOKUP(T$1,test!$A$3:$F$32,2,FALSE))&lt;test!$K$16,$A27&lt;&gt;T$1,feasible_mat!T27=1),SUM(VLOOKUP($A27,test!$A$3:$F$32,2,FALSE),VLOOKUP(T$1,test!$A$3:$F$32,2,FALSE)),0)</f>
        <v>0</v>
      </c>
      <c r="U27">
        <f>IF(AND(SUM(VLOOKUP($A27,test!$A$3:$F$32,2,FALSE),VLOOKUP(U$1,test!$A$3:$F$32,2,FALSE))&lt;test!$K$16,$A27&lt;&gt;U$1,feasible_mat!U27=1),SUM(VLOOKUP($A27,test!$A$3:$F$32,2,FALSE),VLOOKUP(U$1,test!$A$3:$F$32,2,FALSE)),0)</f>
        <v>0</v>
      </c>
      <c r="V27">
        <f>IF(AND(SUM(VLOOKUP($A27,test!$A$3:$F$32,2,FALSE),VLOOKUP(V$1,test!$A$3:$F$32,2,FALSE))&lt;test!$K$16,$A27&lt;&gt;V$1,feasible_mat!V27=1),SUM(VLOOKUP($A27,test!$A$3:$F$32,2,FALSE),VLOOKUP(V$1,test!$A$3:$F$32,2,FALSE)),0)</f>
        <v>0</v>
      </c>
      <c r="W27">
        <f>IF(AND(SUM(VLOOKUP($A27,test!$A$3:$F$32,2,FALSE),VLOOKUP(W$1,test!$A$3:$F$32,2,FALSE))&lt;test!$K$16,$A27&lt;&gt;W$1,feasible_mat!W27=1),SUM(VLOOKUP($A27,test!$A$3:$F$32,2,FALSE),VLOOKUP(W$1,test!$A$3:$F$32,2,FALSE)),0)</f>
        <v>0</v>
      </c>
      <c r="X27">
        <f>IF(AND(SUM(VLOOKUP($A27,test!$A$3:$F$32,2,FALSE),VLOOKUP(X$1,test!$A$3:$F$32,2,FALSE))&lt;test!$K$16,$A27&lt;&gt;X$1,feasible_mat!X27=1),SUM(VLOOKUP($A27,test!$A$3:$F$32,2,FALSE),VLOOKUP(X$1,test!$A$3:$F$32,2,FALSE)),0)</f>
        <v>0</v>
      </c>
      <c r="Y27">
        <f>IF(AND(SUM(VLOOKUP($A27,test!$A$3:$F$32,2,FALSE),VLOOKUP(Y$1,test!$A$3:$F$32,2,FALSE))&lt;test!$K$16,$A27&lt;&gt;Y$1,feasible_mat!Y27=1),SUM(VLOOKUP($A27,test!$A$3:$F$32,2,FALSE),VLOOKUP(Y$1,test!$A$3:$F$32,2,FALSE)),0)</f>
        <v>0</v>
      </c>
      <c r="Z27">
        <f>IF(AND(SUM(VLOOKUP($A27,test!$A$3:$F$32,2,FALSE),VLOOKUP(Z$1,test!$A$3:$F$32,2,FALSE))&lt;test!$K$16,$A27&lt;&gt;Z$1,feasible_mat!Z27=1),SUM(VLOOKUP($A27,test!$A$3:$F$32,2,FALSE),VLOOKUP(Z$1,test!$A$3:$F$32,2,FALSE)),0)</f>
        <v>0</v>
      </c>
      <c r="AA27">
        <f>IF(AND(SUM(VLOOKUP($A27,test!$A$3:$F$32,2,FALSE),VLOOKUP(AA$1,test!$A$3:$F$32,2,FALSE))&lt;test!$K$16,$A27&lt;&gt;AA$1,feasible_mat!AA27=1),SUM(VLOOKUP($A27,test!$A$3:$F$32,2,FALSE),VLOOKUP(AA$1,test!$A$3:$F$32,2,FALSE)),0)</f>
        <v>0</v>
      </c>
      <c r="AB27">
        <f>IF(AND(SUM(VLOOKUP($A27,test!$A$3:$F$32,2,FALSE),VLOOKUP(AB$1,test!$A$3:$F$32,2,FALSE))&lt;test!$K$16,$A27&lt;&gt;AB$1,feasible_mat!AB27=1),SUM(VLOOKUP($A27,test!$A$3:$F$32,2,FALSE),VLOOKUP(AB$1,test!$A$3:$F$32,2,FALSE)),0)</f>
        <v>0</v>
      </c>
      <c r="AC27">
        <f>IF(AND(SUM(VLOOKUP($A27,test!$A$3:$F$32,2,FALSE),VLOOKUP(AC$1,test!$A$3:$F$32,2,FALSE))&lt;test!$K$16,$A27&lt;&gt;AC$1,feasible_mat!AC27=1),SUM(VLOOKUP($A27,test!$A$3:$F$32,2,FALSE),VLOOKUP(AC$1,test!$A$3:$F$32,2,FALSE)),0)</f>
        <v>0</v>
      </c>
      <c r="AD27">
        <f>IF(AND(SUM(VLOOKUP($A27,test!$A$3:$F$32,2,FALSE),VLOOKUP(AD$1,test!$A$3:$F$32,2,FALSE))&lt;test!$K$16,$A27&lt;&gt;AD$1,feasible_mat!AD27=1),SUM(VLOOKUP($A27,test!$A$3:$F$32,2,FALSE),VLOOKUP(AD$1,test!$A$3:$F$32,2,FALSE)),0)</f>
        <v>0</v>
      </c>
      <c r="AE27">
        <f>IF(AND(SUM(VLOOKUP($A27,test!$A$3:$F$32,2,FALSE),VLOOKUP(AE$1,test!$A$3:$F$32,2,FALSE))&lt;test!$K$16,$A27&lt;&gt;AE$1,feasible_mat!AE27=1),SUM(VLOOKUP($A27,test!$A$3:$F$32,2,FALSE),VLOOKUP(AE$1,test!$A$3:$F$32,2,FALSE)),0)</f>
        <v>0</v>
      </c>
      <c r="AF27">
        <f>IF(AND(SUM(VLOOKUP($A27,test!$A$3:$F$32,2,FALSE),VLOOKUP(AF$1,test!$A$3:$F$32,2,FALSE))&lt;test!$K$16,$A27&lt;&gt;AF$1,feasible_mat!AF27=1),SUM(VLOOKUP($A27,test!$A$3:$F$32,2,FALSE),VLOOKUP(AF$1,test!$A$3:$F$32,2,FALSE)),0)</f>
        <v>0</v>
      </c>
      <c r="AG27">
        <v>60</v>
      </c>
      <c r="AH27">
        <v>75</v>
      </c>
      <c r="AI27">
        <v>70</v>
      </c>
    </row>
    <row r="28" spans="1:35" x14ac:dyDescent="0.25">
      <c r="A28" t="s">
        <v>37</v>
      </c>
      <c r="B28">
        <v>0</v>
      </c>
      <c r="C28">
        <f>IF(AND(SUM(VLOOKUP($A28,test!$A$3:$F$32,2,FALSE),VLOOKUP(C$1,test!$A$3:$F$32,2,FALSE))&lt;test!$K$16,$A28&lt;&gt;C$1,feasible_mat!C28=1),SUM(VLOOKUP($A28,test!$A$3:$F$32,2,FALSE),VLOOKUP(C$1,test!$A$3:$F$32,2,FALSE)),0)</f>
        <v>0</v>
      </c>
      <c r="D28">
        <f>IF(AND(SUM(VLOOKUP($A28,test!$A$3:$F$32,2,FALSE),VLOOKUP(D$1,test!$A$3:$F$32,2,FALSE))&lt;test!$K$16,$A28&lt;&gt;D$1,feasible_mat!D28=1),SUM(VLOOKUP($A28,test!$A$3:$F$32,2,FALSE),VLOOKUP(D$1,test!$A$3:$F$32,2,FALSE)),0)</f>
        <v>0</v>
      </c>
      <c r="E28">
        <f>IF(AND(SUM(VLOOKUP($A28,test!$A$3:$F$32,2,FALSE),VLOOKUP(E$1,test!$A$3:$F$32,2,FALSE))&lt;test!$K$16,$A28&lt;&gt;E$1,feasible_mat!E28=1),SUM(VLOOKUP($A28,test!$A$3:$F$32,2,FALSE),VLOOKUP(E$1,test!$A$3:$F$32,2,FALSE)),0)</f>
        <v>0</v>
      </c>
      <c r="F28">
        <f>IF(AND(SUM(VLOOKUP($A28,test!$A$3:$F$32,2,FALSE),VLOOKUP(F$1,test!$A$3:$F$32,2,FALSE))&lt;test!$K$16,$A28&lt;&gt;F$1,feasible_mat!F28=1),SUM(VLOOKUP($A28,test!$A$3:$F$32,2,FALSE),VLOOKUP(F$1,test!$A$3:$F$32,2,FALSE)),0)</f>
        <v>0</v>
      </c>
      <c r="G28">
        <f>IF(AND(SUM(VLOOKUP($A28,test!$A$3:$F$32,2,FALSE),VLOOKUP(G$1,test!$A$3:$F$32,2,FALSE))&lt;test!$K$16,$A28&lt;&gt;G$1,feasible_mat!G28=1),SUM(VLOOKUP($A28,test!$A$3:$F$32,2,FALSE),VLOOKUP(G$1,test!$A$3:$F$32,2,FALSE)),0)</f>
        <v>0</v>
      </c>
      <c r="H28">
        <f>IF(AND(SUM(VLOOKUP($A28,test!$A$3:$F$32,2,FALSE),VLOOKUP(H$1,test!$A$3:$F$32,2,FALSE))&lt;test!$K$16,$A28&lt;&gt;H$1,feasible_mat!H28=1),SUM(VLOOKUP($A28,test!$A$3:$F$32,2,FALSE),VLOOKUP(H$1,test!$A$3:$F$32,2,FALSE)),0)</f>
        <v>0</v>
      </c>
      <c r="I28">
        <f>IF(AND(SUM(VLOOKUP($A28,test!$A$3:$F$32,2,FALSE),VLOOKUP(I$1,test!$A$3:$F$32,2,FALSE))&lt;test!$K$16,$A28&lt;&gt;I$1,feasible_mat!I28=1),SUM(VLOOKUP($A28,test!$A$3:$F$32,2,FALSE),VLOOKUP(I$1,test!$A$3:$F$32,2,FALSE)),0)</f>
        <v>275</v>
      </c>
      <c r="J28">
        <f>IF(AND(SUM(VLOOKUP($A28,test!$A$3:$F$32,2,FALSE),VLOOKUP(J$1,test!$A$3:$F$32,2,FALSE))&lt;test!$K$16,$A28&lt;&gt;J$1,feasible_mat!J28=1),SUM(VLOOKUP($A28,test!$A$3:$F$32,2,FALSE),VLOOKUP(J$1,test!$A$3:$F$32,2,FALSE)),0)</f>
        <v>275</v>
      </c>
      <c r="K28">
        <f>IF(AND(SUM(VLOOKUP($A28,test!$A$3:$F$32,2,FALSE),VLOOKUP(K$1,test!$A$3:$F$32,2,FALSE))&lt;test!$K$16,$A28&lt;&gt;K$1,feasible_mat!K28=1),SUM(VLOOKUP($A28,test!$A$3:$F$32,2,FALSE),VLOOKUP(K$1,test!$A$3:$F$32,2,FALSE)),0)</f>
        <v>0</v>
      </c>
      <c r="L28">
        <f>IF(AND(SUM(VLOOKUP($A28,test!$A$3:$F$32,2,FALSE),VLOOKUP(L$1,test!$A$3:$F$32,2,FALSE))&lt;test!$K$16,$A28&lt;&gt;L$1,feasible_mat!L28=1),SUM(VLOOKUP($A28,test!$A$3:$F$32,2,FALSE),VLOOKUP(L$1,test!$A$3:$F$32,2,FALSE)),0)</f>
        <v>0</v>
      </c>
      <c r="M28">
        <f>IF(AND(SUM(VLOOKUP($A28,test!$A$3:$F$32,2,FALSE),VLOOKUP(M$1,test!$A$3:$F$32,2,FALSE))&lt;test!$K$16,$A28&lt;&gt;M$1,feasible_mat!M28=1),SUM(VLOOKUP($A28,test!$A$3:$F$32,2,FALSE),VLOOKUP(M$1,test!$A$3:$F$32,2,FALSE)),0)</f>
        <v>0</v>
      </c>
      <c r="N28">
        <f>IF(AND(SUM(VLOOKUP($A28,test!$A$3:$F$32,2,FALSE),VLOOKUP(N$1,test!$A$3:$F$32,2,FALSE))&lt;test!$K$16,$A28&lt;&gt;N$1,feasible_mat!N28=1),SUM(VLOOKUP($A28,test!$A$3:$F$32,2,FALSE),VLOOKUP(N$1,test!$A$3:$F$32,2,FALSE)),0)</f>
        <v>280</v>
      </c>
      <c r="O28">
        <f>IF(AND(SUM(VLOOKUP($A28,test!$A$3:$F$32,2,FALSE),VLOOKUP(O$1,test!$A$3:$F$32,2,FALSE))&lt;test!$K$16,$A28&lt;&gt;O$1,feasible_mat!O28=1),SUM(VLOOKUP($A28,test!$A$3:$F$32,2,FALSE),VLOOKUP(O$1,test!$A$3:$F$32,2,FALSE)),0)</f>
        <v>280</v>
      </c>
      <c r="P28">
        <f>IF(AND(SUM(VLOOKUP($A28,test!$A$3:$F$32,2,FALSE),VLOOKUP(P$1,test!$A$3:$F$32,2,FALSE))&lt;test!$K$16,$A28&lt;&gt;P$1,feasible_mat!P28=1),SUM(VLOOKUP($A28,test!$A$3:$F$32,2,FALSE),VLOOKUP(P$1,test!$A$3:$F$32,2,FALSE)),0)</f>
        <v>0</v>
      </c>
      <c r="Q28">
        <f>IF(AND(SUM(VLOOKUP($A28,test!$A$3:$F$32,2,FALSE),VLOOKUP(Q$1,test!$A$3:$F$32,2,FALSE))&lt;test!$K$16,$A28&lt;&gt;Q$1,feasible_mat!Q28=1),SUM(VLOOKUP($A28,test!$A$3:$F$32,2,FALSE),VLOOKUP(Q$1,test!$A$3:$F$32,2,FALSE)),0)</f>
        <v>0</v>
      </c>
      <c r="R28">
        <f>IF(AND(SUM(VLOOKUP($A28,test!$A$3:$F$32,2,FALSE),VLOOKUP(R$1,test!$A$3:$F$32,2,FALSE))&lt;test!$K$16,$A28&lt;&gt;R$1,feasible_mat!R28=1),SUM(VLOOKUP($A28,test!$A$3:$F$32,2,FALSE),VLOOKUP(R$1,test!$A$3:$F$32,2,FALSE)),0)</f>
        <v>0</v>
      </c>
      <c r="S28">
        <f>IF(AND(SUM(VLOOKUP($A28,test!$A$3:$F$32,2,FALSE),VLOOKUP(S$1,test!$A$3:$F$32,2,FALSE))&lt;test!$K$16,$A28&lt;&gt;S$1,feasible_mat!S28=1),SUM(VLOOKUP($A28,test!$A$3:$F$32,2,FALSE),VLOOKUP(S$1,test!$A$3:$F$32,2,FALSE)),0)</f>
        <v>0</v>
      </c>
      <c r="T28">
        <f>IF(AND(SUM(VLOOKUP($A28,test!$A$3:$F$32,2,FALSE),VLOOKUP(T$1,test!$A$3:$F$32,2,FALSE))&lt;test!$K$16,$A28&lt;&gt;T$1,feasible_mat!T28=1),SUM(VLOOKUP($A28,test!$A$3:$F$32,2,FALSE),VLOOKUP(T$1,test!$A$3:$F$32,2,FALSE)),0)</f>
        <v>0</v>
      </c>
      <c r="U28">
        <f>IF(AND(SUM(VLOOKUP($A28,test!$A$3:$F$32,2,FALSE),VLOOKUP(U$1,test!$A$3:$F$32,2,FALSE))&lt;test!$K$16,$A28&lt;&gt;U$1,feasible_mat!U28=1),SUM(VLOOKUP($A28,test!$A$3:$F$32,2,FALSE),VLOOKUP(U$1,test!$A$3:$F$32,2,FALSE)),0)</f>
        <v>0</v>
      </c>
      <c r="V28">
        <f>IF(AND(SUM(VLOOKUP($A28,test!$A$3:$F$32,2,FALSE),VLOOKUP(V$1,test!$A$3:$F$32,2,FALSE))&lt;test!$K$16,$A28&lt;&gt;V$1,feasible_mat!V28=1),SUM(VLOOKUP($A28,test!$A$3:$F$32,2,FALSE),VLOOKUP(V$1,test!$A$3:$F$32,2,FALSE)),0)</f>
        <v>0</v>
      </c>
      <c r="W28">
        <f>IF(AND(SUM(VLOOKUP($A28,test!$A$3:$F$32,2,FALSE),VLOOKUP(W$1,test!$A$3:$F$32,2,FALSE))&lt;test!$K$16,$A28&lt;&gt;W$1,feasible_mat!W28=1),SUM(VLOOKUP($A28,test!$A$3:$F$32,2,FALSE),VLOOKUP(W$1,test!$A$3:$F$32,2,FALSE)),0)</f>
        <v>0</v>
      </c>
      <c r="X28">
        <f>IF(AND(SUM(VLOOKUP($A28,test!$A$3:$F$32,2,FALSE),VLOOKUP(X$1,test!$A$3:$F$32,2,FALSE))&lt;test!$K$16,$A28&lt;&gt;X$1,feasible_mat!X28=1),SUM(VLOOKUP($A28,test!$A$3:$F$32,2,FALSE),VLOOKUP(X$1,test!$A$3:$F$32,2,FALSE)),0)</f>
        <v>0</v>
      </c>
      <c r="Y28">
        <f>IF(AND(SUM(VLOOKUP($A28,test!$A$3:$F$32,2,FALSE),VLOOKUP(Y$1,test!$A$3:$F$32,2,FALSE))&lt;test!$K$16,$A28&lt;&gt;Y$1,feasible_mat!Y28=1),SUM(VLOOKUP($A28,test!$A$3:$F$32,2,FALSE),VLOOKUP(Y$1,test!$A$3:$F$32,2,FALSE)),0)</f>
        <v>0</v>
      </c>
      <c r="Z28">
        <f>IF(AND(SUM(VLOOKUP($A28,test!$A$3:$F$32,2,FALSE),VLOOKUP(Z$1,test!$A$3:$F$32,2,FALSE))&lt;test!$K$16,$A28&lt;&gt;Z$1,feasible_mat!Z28=1),SUM(VLOOKUP($A28,test!$A$3:$F$32,2,FALSE),VLOOKUP(Z$1,test!$A$3:$F$32,2,FALSE)),0)</f>
        <v>0</v>
      </c>
      <c r="AA28">
        <f>IF(AND(SUM(VLOOKUP($A28,test!$A$3:$F$32,2,FALSE),VLOOKUP(AA$1,test!$A$3:$F$32,2,FALSE))&lt;test!$K$16,$A28&lt;&gt;AA$1,feasible_mat!AA28=1),SUM(VLOOKUP($A28,test!$A$3:$F$32,2,FALSE),VLOOKUP(AA$1,test!$A$3:$F$32,2,FALSE)),0)</f>
        <v>0</v>
      </c>
      <c r="AB28">
        <f>IF(AND(SUM(VLOOKUP($A28,test!$A$3:$F$32,2,FALSE),VLOOKUP(AB$1,test!$A$3:$F$32,2,FALSE))&lt;test!$K$16,$A28&lt;&gt;AB$1,feasible_mat!AB28=1),SUM(VLOOKUP($A28,test!$A$3:$F$32,2,FALSE),VLOOKUP(AB$1,test!$A$3:$F$32,2,FALSE)),0)</f>
        <v>0</v>
      </c>
      <c r="AC28">
        <f>IF(AND(SUM(VLOOKUP($A28,test!$A$3:$F$32,2,FALSE),VLOOKUP(AC$1,test!$A$3:$F$32,2,FALSE))&lt;test!$K$16,$A28&lt;&gt;AC$1,feasible_mat!AC28=1),SUM(VLOOKUP($A28,test!$A$3:$F$32,2,FALSE),VLOOKUP(AC$1,test!$A$3:$F$32,2,FALSE)),0)</f>
        <v>0</v>
      </c>
      <c r="AD28">
        <f>IF(AND(SUM(VLOOKUP($A28,test!$A$3:$F$32,2,FALSE),VLOOKUP(AD$1,test!$A$3:$F$32,2,FALSE))&lt;test!$K$16,$A28&lt;&gt;AD$1,feasible_mat!AD28=1),SUM(VLOOKUP($A28,test!$A$3:$F$32,2,FALSE),VLOOKUP(AD$1,test!$A$3:$F$32,2,FALSE)),0)</f>
        <v>0</v>
      </c>
      <c r="AE28">
        <f>IF(AND(SUM(VLOOKUP($A28,test!$A$3:$F$32,2,FALSE),VLOOKUP(AE$1,test!$A$3:$F$32,2,FALSE))&lt;test!$K$16,$A28&lt;&gt;AE$1,feasible_mat!AE28=1),SUM(VLOOKUP($A28,test!$A$3:$F$32,2,FALSE),VLOOKUP(AE$1,test!$A$3:$F$32,2,FALSE)),0)</f>
        <v>0</v>
      </c>
      <c r="AF28">
        <f>IF(AND(SUM(VLOOKUP($A28,test!$A$3:$F$32,2,FALSE),VLOOKUP(AF$1,test!$A$3:$F$32,2,FALSE))&lt;test!$K$16,$A28&lt;&gt;AF$1,feasible_mat!AF28=1),SUM(VLOOKUP($A28,test!$A$3:$F$32,2,FALSE),VLOOKUP(AF$1,test!$A$3:$F$32,2,FALSE)),0)</f>
        <v>0</v>
      </c>
      <c r="AG28">
        <v>60</v>
      </c>
      <c r="AH28">
        <v>75</v>
      </c>
      <c r="AI28">
        <v>70</v>
      </c>
    </row>
    <row r="29" spans="1:35" x14ac:dyDescent="0.25">
      <c r="A29" t="s">
        <v>38</v>
      </c>
      <c r="B29">
        <v>0</v>
      </c>
      <c r="C29">
        <f>IF(AND(SUM(VLOOKUP($A29,test!$A$3:$F$32,2,FALSE),VLOOKUP(C$1,test!$A$3:$F$32,2,FALSE))&lt;test!$K$16,$A29&lt;&gt;C$1,feasible_mat!C29=1),SUM(VLOOKUP($A29,test!$A$3:$F$32,2,FALSE),VLOOKUP(C$1,test!$A$3:$F$32,2,FALSE)),0)</f>
        <v>0</v>
      </c>
      <c r="D29">
        <f>IF(AND(SUM(VLOOKUP($A29,test!$A$3:$F$32,2,FALSE),VLOOKUP(D$1,test!$A$3:$F$32,2,FALSE))&lt;test!$K$16,$A29&lt;&gt;D$1,feasible_mat!D29=1),SUM(VLOOKUP($A29,test!$A$3:$F$32,2,FALSE),VLOOKUP(D$1,test!$A$3:$F$32,2,FALSE)),0)</f>
        <v>0</v>
      </c>
      <c r="E29">
        <f>IF(AND(SUM(VLOOKUP($A29,test!$A$3:$F$32,2,FALSE),VLOOKUP(E$1,test!$A$3:$F$32,2,FALSE))&lt;test!$K$16,$A29&lt;&gt;E$1,feasible_mat!E29=1),SUM(VLOOKUP($A29,test!$A$3:$F$32,2,FALSE),VLOOKUP(E$1,test!$A$3:$F$32,2,FALSE)),0)</f>
        <v>0</v>
      </c>
      <c r="F29">
        <f>IF(AND(SUM(VLOOKUP($A29,test!$A$3:$F$32,2,FALSE),VLOOKUP(F$1,test!$A$3:$F$32,2,FALSE))&lt;test!$K$16,$A29&lt;&gt;F$1,feasible_mat!F29=1),SUM(VLOOKUP($A29,test!$A$3:$F$32,2,FALSE),VLOOKUP(F$1,test!$A$3:$F$32,2,FALSE)),0)</f>
        <v>0</v>
      </c>
      <c r="G29">
        <f>IF(AND(SUM(VLOOKUP($A29,test!$A$3:$F$32,2,FALSE),VLOOKUP(G$1,test!$A$3:$F$32,2,FALSE))&lt;test!$K$16,$A29&lt;&gt;G$1,feasible_mat!G29=1),SUM(VLOOKUP($A29,test!$A$3:$F$32,2,FALSE),VLOOKUP(G$1,test!$A$3:$F$32,2,FALSE)),0)</f>
        <v>0</v>
      </c>
      <c r="H29">
        <f>IF(AND(SUM(VLOOKUP($A29,test!$A$3:$F$32,2,FALSE),VLOOKUP(H$1,test!$A$3:$F$32,2,FALSE))&lt;test!$K$16,$A29&lt;&gt;H$1,feasible_mat!H29=1),SUM(VLOOKUP($A29,test!$A$3:$F$32,2,FALSE),VLOOKUP(H$1,test!$A$3:$F$32,2,FALSE)),0)</f>
        <v>0</v>
      </c>
      <c r="I29">
        <f>IF(AND(SUM(VLOOKUP($A29,test!$A$3:$F$32,2,FALSE),VLOOKUP(I$1,test!$A$3:$F$32,2,FALSE))&lt;test!$K$16,$A29&lt;&gt;I$1,feasible_mat!I29=1),SUM(VLOOKUP($A29,test!$A$3:$F$32,2,FALSE),VLOOKUP(I$1,test!$A$3:$F$32,2,FALSE)),0)</f>
        <v>0</v>
      </c>
      <c r="J29">
        <f>IF(AND(SUM(VLOOKUP($A29,test!$A$3:$F$32,2,FALSE),VLOOKUP(J$1,test!$A$3:$F$32,2,FALSE))&lt;test!$K$16,$A29&lt;&gt;J$1,feasible_mat!J29=1),SUM(VLOOKUP($A29,test!$A$3:$F$32,2,FALSE),VLOOKUP(J$1,test!$A$3:$F$32,2,FALSE)),0)</f>
        <v>0</v>
      </c>
      <c r="K29">
        <f>IF(AND(SUM(VLOOKUP($A29,test!$A$3:$F$32,2,FALSE),VLOOKUP(K$1,test!$A$3:$F$32,2,FALSE))&lt;test!$K$16,$A29&lt;&gt;K$1,feasible_mat!K29=1),SUM(VLOOKUP($A29,test!$A$3:$F$32,2,FALSE),VLOOKUP(K$1,test!$A$3:$F$32,2,FALSE)),0)</f>
        <v>0</v>
      </c>
      <c r="L29">
        <f>IF(AND(SUM(VLOOKUP($A29,test!$A$3:$F$32,2,FALSE),VLOOKUP(L$1,test!$A$3:$F$32,2,FALSE))&lt;test!$K$16,$A29&lt;&gt;L$1,feasible_mat!L29=1),SUM(VLOOKUP($A29,test!$A$3:$F$32,2,FALSE),VLOOKUP(L$1,test!$A$3:$F$32,2,FALSE)),0)</f>
        <v>0</v>
      </c>
      <c r="M29">
        <f>IF(AND(SUM(VLOOKUP($A29,test!$A$3:$F$32,2,FALSE),VLOOKUP(M$1,test!$A$3:$F$32,2,FALSE))&lt;test!$K$16,$A29&lt;&gt;M$1,feasible_mat!M29=1),SUM(VLOOKUP($A29,test!$A$3:$F$32,2,FALSE),VLOOKUP(M$1,test!$A$3:$F$32,2,FALSE)),0)</f>
        <v>0</v>
      </c>
      <c r="N29">
        <f>IF(AND(SUM(VLOOKUP($A29,test!$A$3:$F$32,2,FALSE),VLOOKUP(N$1,test!$A$3:$F$32,2,FALSE))&lt;test!$K$16,$A29&lt;&gt;N$1,feasible_mat!N29=1),SUM(VLOOKUP($A29,test!$A$3:$F$32,2,FALSE),VLOOKUP(N$1,test!$A$3:$F$32,2,FALSE)),0)</f>
        <v>0</v>
      </c>
      <c r="O29">
        <f>IF(AND(SUM(VLOOKUP($A29,test!$A$3:$F$32,2,FALSE),VLOOKUP(O$1,test!$A$3:$F$32,2,FALSE))&lt;test!$K$16,$A29&lt;&gt;O$1,feasible_mat!O29=1),SUM(VLOOKUP($A29,test!$A$3:$F$32,2,FALSE),VLOOKUP(O$1,test!$A$3:$F$32,2,FALSE)),0)</f>
        <v>280</v>
      </c>
      <c r="P29">
        <f>IF(AND(SUM(VLOOKUP($A29,test!$A$3:$F$32,2,FALSE),VLOOKUP(P$1,test!$A$3:$F$32,2,FALSE))&lt;test!$K$16,$A29&lt;&gt;P$1,feasible_mat!P29=1),SUM(VLOOKUP($A29,test!$A$3:$F$32,2,FALSE),VLOOKUP(P$1,test!$A$3:$F$32,2,FALSE)),0)</f>
        <v>0</v>
      </c>
      <c r="Q29">
        <f>IF(AND(SUM(VLOOKUP($A29,test!$A$3:$F$32,2,FALSE),VLOOKUP(Q$1,test!$A$3:$F$32,2,FALSE))&lt;test!$K$16,$A29&lt;&gt;Q$1,feasible_mat!Q29=1),SUM(VLOOKUP($A29,test!$A$3:$F$32,2,FALSE),VLOOKUP(Q$1,test!$A$3:$F$32,2,FALSE)),0)</f>
        <v>0</v>
      </c>
      <c r="R29">
        <f>IF(AND(SUM(VLOOKUP($A29,test!$A$3:$F$32,2,FALSE),VLOOKUP(R$1,test!$A$3:$F$32,2,FALSE))&lt;test!$K$16,$A29&lt;&gt;R$1,feasible_mat!R29=1),SUM(VLOOKUP($A29,test!$A$3:$F$32,2,FALSE),VLOOKUP(R$1,test!$A$3:$F$32,2,FALSE)),0)</f>
        <v>0</v>
      </c>
      <c r="S29">
        <f>IF(AND(SUM(VLOOKUP($A29,test!$A$3:$F$32,2,FALSE),VLOOKUP(S$1,test!$A$3:$F$32,2,FALSE))&lt;test!$K$16,$A29&lt;&gt;S$1,feasible_mat!S29=1),SUM(VLOOKUP($A29,test!$A$3:$F$32,2,FALSE),VLOOKUP(S$1,test!$A$3:$F$32,2,FALSE)),0)</f>
        <v>0</v>
      </c>
      <c r="T29">
        <f>IF(AND(SUM(VLOOKUP($A29,test!$A$3:$F$32,2,FALSE),VLOOKUP(T$1,test!$A$3:$F$32,2,FALSE))&lt;test!$K$16,$A29&lt;&gt;T$1,feasible_mat!T29=1),SUM(VLOOKUP($A29,test!$A$3:$F$32,2,FALSE),VLOOKUP(T$1,test!$A$3:$F$32,2,FALSE)),0)</f>
        <v>0</v>
      </c>
      <c r="U29">
        <f>IF(AND(SUM(VLOOKUP($A29,test!$A$3:$F$32,2,FALSE),VLOOKUP(U$1,test!$A$3:$F$32,2,FALSE))&lt;test!$K$16,$A29&lt;&gt;U$1,feasible_mat!U29=1),SUM(VLOOKUP($A29,test!$A$3:$F$32,2,FALSE),VLOOKUP(U$1,test!$A$3:$F$32,2,FALSE)),0)</f>
        <v>0</v>
      </c>
      <c r="V29">
        <f>IF(AND(SUM(VLOOKUP($A29,test!$A$3:$F$32,2,FALSE),VLOOKUP(V$1,test!$A$3:$F$32,2,FALSE))&lt;test!$K$16,$A29&lt;&gt;V$1,feasible_mat!V29=1),SUM(VLOOKUP($A29,test!$A$3:$F$32,2,FALSE),VLOOKUP(V$1,test!$A$3:$F$32,2,FALSE)),0)</f>
        <v>0</v>
      </c>
      <c r="W29">
        <f>IF(AND(SUM(VLOOKUP($A29,test!$A$3:$F$32,2,FALSE),VLOOKUP(W$1,test!$A$3:$F$32,2,FALSE))&lt;test!$K$16,$A29&lt;&gt;W$1,feasible_mat!W29=1),SUM(VLOOKUP($A29,test!$A$3:$F$32,2,FALSE),VLOOKUP(W$1,test!$A$3:$F$32,2,FALSE)),0)</f>
        <v>0</v>
      </c>
      <c r="X29">
        <f>IF(AND(SUM(VLOOKUP($A29,test!$A$3:$F$32,2,FALSE),VLOOKUP(X$1,test!$A$3:$F$32,2,FALSE))&lt;test!$K$16,$A29&lt;&gt;X$1,feasible_mat!X29=1),SUM(VLOOKUP($A29,test!$A$3:$F$32,2,FALSE),VLOOKUP(X$1,test!$A$3:$F$32,2,FALSE)),0)</f>
        <v>0</v>
      </c>
      <c r="Y29">
        <f>IF(AND(SUM(VLOOKUP($A29,test!$A$3:$F$32,2,FALSE),VLOOKUP(Y$1,test!$A$3:$F$32,2,FALSE))&lt;test!$K$16,$A29&lt;&gt;Y$1,feasible_mat!Y29=1),SUM(VLOOKUP($A29,test!$A$3:$F$32,2,FALSE),VLOOKUP(Y$1,test!$A$3:$F$32,2,FALSE)),0)</f>
        <v>0</v>
      </c>
      <c r="Z29">
        <f>IF(AND(SUM(VLOOKUP($A29,test!$A$3:$F$32,2,FALSE),VLOOKUP(Z$1,test!$A$3:$F$32,2,FALSE))&lt;test!$K$16,$A29&lt;&gt;Z$1,feasible_mat!Z29=1),SUM(VLOOKUP($A29,test!$A$3:$F$32,2,FALSE),VLOOKUP(Z$1,test!$A$3:$F$32,2,FALSE)),0)</f>
        <v>0</v>
      </c>
      <c r="AA29">
        <f>IF(AND(SUM(VLOOKUP($A29,test!$A$3:$F$32,2,FALSE),VLOOKUP(AA$1,test!$A$3:$F$32,2,FALSE))&lt;test!$K$16,$A29&lt;&gt;AA$1,feasible_mat!AA29=1),SUM(VLOOKUP($A29,test!$A$3:$F$32,2,FALSE),VLOOKUP(AA$1,test!$A$3:$F$32,2,FALSE)),0)</f>
        <v>0</v>
      </c>
      <c r="AB29">
        <f>IF(AND(SUM(VLOOKUP($A29,test!$A$3:$F$32,2,FALSE),VLOOKUP(AB$1,test!$A$3:$F$32,2,FALSE))&lt;test!$K$16,$A29&lt;&gt;AB$1,feasible_mat!AB29=1),SUM(VLOOKUP($A29,test!$A$3:$F$32,2,FALSE),VLOOKUP(AB$1,test!$A$3:$F$32,2,FALSE)),0)</f>
        <v>0</v>
      </c>
      <c r="AC29">
        <f>IF(AND(SUM(VLOOKUP($A29,test!$A$3:$F$32,2,FALSE),VLOOKUP(AC$1,test!$A$3:$F$32,2,FALSE))&lt;test!$K$16,$A29&lt;&gt;AC$1,feasible_mat!AC29=1),SUM(VLOOKUP($A29,test!$A$3:$F$32,2,FALSE),VLOOKUP(AC$1,test!$A$3:$F$32,2,FALSE)),0)</f>
        <v>0</v>
      </c>
      <c r="AD29">
        <f>IF(AND(SUM(VLOOKUP($A29,test!$A$3:$F$32,2,FALSE),VLOOKUP(AD$1,test!$A$3:$F$32,2,FALSE))&lt;test!$K$16,$A29&lt;&gt;AD$1,feasible_mat!AD29=1),SUM(VLOOKUP($A29,test!$A$3:$F$32,2,FALSE),VLOOKUP(AD$1,test!$A$3:$F$32,2,FALSE)),0)</f>
        <v>0</v>
      </c>
      <c r="AE29">
        <f>IF(AND(SUM(VLOOKUP($A29,test!$A$3:$F$32,2,FALSE),VLOOKUP(AE$1,test!$A$3:$F$32,2,FALSE))&lt;test!$K$16,$A29&lt;&gt;AE$1,feasible_mat!AE29=1),SUM(VLOOKUP($A29,test!$A$3:$F$32,2,FALSE),VLOOKUP(AE$1,test!$A$3:$F$32,2,FALSE)),0)</f>
        <v>0</v>
      </c>
      <c r="AF29">
        <f>IF(AND(SUM(VLOOKUP($A29,test!$A$3:$F$32,2,FALSE),VLOOKUP(AF$1,test!$A$3:$F$32,2,FALSE))&lt;test!$K$16,$A29&lt;&gt;AF$1,feasible_mat!AF29=1),SUM(VLOOKUP($A29,test!$A$3:$F$32,2,FALSE),VLOOKUP(AF$1,test!$A$3:$F$32,2,FALSE)),0)</f>
        <v>0</v>
      </c>
      <c r="AG29">
        <v>60</v>
      </c>
      <c r="AH29">
        <v>75</v>
      </c>
      <c r="AI29">
        <v>70</v>
      </c>
    </row>
    <row r="30" spans="1:35" x14ac:dyDescent="0.25">
      <c r="A30" t="s">
        <v>39</v>
      </c>
      <c r="B30">
        <v>0</v>
      </c>
      <c r="C30">
        <f>IF(AND(SUM(VLOOKUP($A30,test!$A$3:$F$32,2,FALSE),VLOOKUP(C$1,test!$A$3:$F$32,2,FALSE))&lt;test!$K$16,$A30&lt;&gt;C$1,feasible_mat!C30=1),SUM(VLOOKUP($A30,test!$A$3:$F$32,2,FALSE),VLOOKUP(C$1,test!$A$3:$F$32,2,FALSE)),0)</f>
        <v>0</v>
      </c>
      <c r="D30">
        <f>IF(AND(SUM(VLOOKUP($A30,test!$A$3:$F$32,2,FALSE),VLOOKUP(D$1,test!$A$3:$F$32,2,FALSE))&lt;test!$K$16,$A30&lt;&gt;D$1,feasible_mat!D30=1),SUM(VLOOKUP($A30,test!$A$3:$F$32,2,FALSE),VLOOKUP(D$1,test!$A$3:$F$32,2,FALSE)),0)</f>
        <v>0</v>
      </c>
      <c r="E30">
        <f>IF(AND(SUM(VLOOKUP($A30,test!$A$3:$F$32,2,FALSE),VLOOKUP(E$1,test!$A$3:$F$32,2,FALSE))&lt;test!$K$16,$A30&lt;&gt;E$1,feasible_mat!E30=1),SUM(VLOOKUP($A30,test!$A$3:$F$32,2,FALSE),VLOOKUP(E$1,test!$A$3:$F$32,2,FALSE)),0)</f>
        <v>0</v>
      </c>
      <c r="F30">
        <f>IF(AND(SUM(VLOOKUP($A30,test!$A$3:$F$32,2,FALSE),VLOOKUP(F$1,test!$A$3:$F$32,2,FALSE))&lt;test!$K$16,$A30&lt;&gt;F$1,feasible_mat!F30=1),SUM(VLOOKUP($A30,test!$A$3:$F$32,2,FALSE),VLOOKUP(F$1,test!$A$3:$F$32,2,FALSE)),0)</f>
        <v>0</v>
      </c>
      <c r="G30">
        <f>IF(AND(SUM(VLOOKUP($A30,test!$A$3:$F$32,2,FALSE),VLOOKUP(G$1,test!$A$3:$F$32,2,FALSE))&lt;test!$K$16,$A30&lt;&gt;G$1,feasible_mat!G30=1),SUM(VLOOKUP($A30,test!$A$3:$F$32,2,FALSE),VLOOKUP(G$1,test!$A$3:$F$32,2,FALSE)),0)</f>
        <v>0</v>
      </c>
      <c r="H30">
        <f>IF(AND(SUM(VLOOKUP($A30,test!$A$3:$F$32,2,FALSE),VLOOKUP(H$1,test!$A$3:$F$32,2,FALSE))&lt;test!$K$16,$A30&lt;&gt;H$1,feasible_mat!H30=1),SUM(VLOOKUP($A30,test!$A$3:$F$32,2,FALSE),VLOOKUP(H$1,test!$A$3:$F$32,2,FALSE)),0)</f>
        <v>0</v>
      </c>
      <c r="I30">
        <f>IF(AND(SUM(VLOOKUP($A30,test!$A$3:$F$32,2,FALSE),VLOOKUP(I$1,test!$A$3:$F$32,2,FALSE))&lt;test!$K$16,$A30&lt;&gt;I$1,feasible_mat!I30=1),SUM(VLOOKUP($A30,test!$A$3:$F$32,2,FALSE),VLOOKUP(I$1,test!$A$3:$F$32,2,FALSE)),0)</f>
        <v>0</v>
      </c>
      <c r="J30">
        <f>IF(AND(SUM(VLOOKUP($A30,test!$A$3:$F$32,2,FALSE),VLOOKUP(J$1,test!$A$3:$F$32,2,FALSE))&lt;test!$K$16,$A30&lt;&gt;J$1,feasible_mat!J30=1),SUM(VLOOKUP($A30,test!$A$3:$F$32,2,FALSE),VLOOKUP(J$1,test!$A$3:$F$32,2,FALSE)),0)</f>
        <v>0</v>
      </c>
      <c r="K30">
        <f>IF(AND(SUM(VLOOKUP($A30,test!$A$3:$F$32,2,FALSE),VLOOKUP(K$1,test!$A$3:$F$32,2,FALSE))&lt;test!$K$16,$A30&lt;&gt;K$1,feasible_mat!K30=1),SUM(VLOOKUP($A30,test!$A$3:$F$32,2,FALSE),VLOOKUP(K$1,test!$A$3:$F$32,2,FALSE)),0)</f>
        <v>0</v>
      </c>
      <c r="L30">
        <f>IF(AND(SUM(VLOOKUP($A30,test!$A$3:$F$32,2,FALSE),VLOOKUP(L$1,test!$A$3:$F$32,2,FALSE))&lt;test!$K$16,$A30&lt;&gt;L$1,feasible_mat!L30=1),SUM(VLOOKUP($A30,test!$A$3:$F$32,2,FALSE),VLOOKUP(L$1,test!$A$3:$F$32,2,FALSE)),0)</f>
        <v>0</v>
      </c>
      <c r="M30">
        <f>IF(AND(SUM(VLOOKUP($A30,test!$A$3:$F$32,2,FALSE),VLOOKUP(M$1,test!$A$3:$F$32,2,FALSE))&lt;test!$K$16,$A30&lt;&gt;M$1,feasible_mat!M30=1),SUM(VLOOKUP($A30,test!$A$3:$F$32,2,FALSE),VLOOKUP(M$1,test!$A$3:$F$32,2,FALSE)),0)</f>
        <v>0</v>
      </c>
      <c r="N30">
        <f>IF(AND(SUM(VLOOKUP($A30,test!$A$3:$F$32,2,FALSE),VLOOKUP(N$1,test!$A$3:$F$32,2,FALSE))&lt;test!$K$16,$A30&lt;&gt;N$1,feasible_mat!N30=1),SUM(VLOOKUP($A30,test!$A$3:$F$32,2,FALSE),VLOOKUP(N$1,test!$A$3:$F$32,2,FALSE)),0)</f>
        <v>0</v>
      </c>
      <c r="O30">
        <f>IF(AND(SUM(VLOOKUP($A30,test!$A$3:$F$32,2,FALSE),VLOOKUP(O$1,test!$A$3:$F$32,2,FALSE))&lt;test!$K$16,$A30&lt;&gt;O$1,feasible_mat!O30=1),SUM(VLOOKUP($A30,test!$A$3:$F$32,2,FALSE),VLOOKUP(O$1,test!$A$3:$F$32,2,FALSE)),0)</f>
        <v>0</v>
      </c>
      <c r="P30">
        <f>IF(AND(SUM(VLOOKUP($A30,test!$A$3:$F$32,2,FALSE),VLOOKUP(P$1,test!$A$3:$F$32,2,FALSE))&lt;test!$K$16,$A30&lt;&gt;P$1,feasible_mat!P30=1),SUM(VLOOKUP($A30,test!$A$3:$F$32,2,FALSE),VLOOKUP(P$1,test!$A$3:$F$32,2,FALSE)),0)</f>
        <v>0</v>
      </c>
      <c r="Q30">
        <f>IF(AND(SUM(VLOOKUP($A30,test!$A$3:$F$32,2,FALSE),VLOOKUP(Q$1,test!$A$3:$F$32,2,FALSE))&lt;test!$K$16,$A30&lt;&gt;Q$1,feasible_mat!Q30=1),SUM(VLOOKUP($A30,test!$A$3:$F$32,2,FALSE),VLOOKUP(Q$1,test!$A$3:$F$32,2,FALSE)),0)</f>
        <v>0</v>
      </c>
      <c r="R30">
        <f>IF(AND(SUM(VLOOKUP($A30,test!$A$3:$F$32,2,FALSE),VLOOKUP(R$1,test!$A$3:$F$32,2,FALSE))&lt;test!$K$16,$A30&lt;&gt;R$1,feasible_mat!R30=1),SUM(VLOOKUP($A30,test!$A$3:$F$32,2,FALSE),VLOOKUP(R$1,test!$A$3:$F$32,2,FALSE)),0)</f>
        <v>0</v>
      </c>
      <c r="S30">
        <f>IF(AND(SUM(VLOOKUP($A30,test!$A$3:$F$32,2,FALSE),VLOOKUP(S$1,test!$A$3:$F$32,2,FALSE))&lt;test!$K$16,$A30&lt;&gt;S$1,feasible_mat!S30=1),SUM(VLOOKUP($A30,test!$A$3:$F$32,2,FALSE),VLOOKUP(S$1,test!$A$3:$F$32,2,FALSE)),0)</f>
        <v>0</v>
      </c>
      <c r="T30">
        <f>IF(AND(SUM(VLOOKUP($A30,test!$A$3:$F$32,2,FALSE),VLOOKUP(T$1,test!$A$3:$F$32,2,FALSE))&lt;test!$K$16,$A30&lt;&gt;T$1,feasible_mat!T30=1),SUM(VLOOKUP($A30,test!$A$3:$F$32,2,FALSE),VLOOKUP(T$1,test!$A$3:$F$32,2,FALSE)),0)</f>
        <v>0</v>
      </c>
      <c r="U30">
        <f>IF(AND(SUM(VLOOKUP($A30,test!$A$3:$F$32,2,FALSE),VLOOKUP(U$1,test!$A$3:$F$32,2,FALSE))&lt;test!$K$16,$A30&lt;&gt;U$1,feasible_mat!U30=1),SUM(VLOOKUP($A30,test!$A$3:$F$32,2,FALSE),VLOOKUP(U$1,test!$A$3:$F$32,2,FALSE)),0)</f>
        <v>0</v>
      </c>
      <c r="V30">
        <f>IF(AND(SUM(VLOOKUP($A30,test!$A$3:$F$32,2,FALSE),VLOOKUP(V$1,test!$A$3:$F$32,2,FALSE))&lt;test!$K$16,$A30&lt;&gt;V$1,feasible_mat!V30=1),SUM(VLOOKUP($A30,test!$A$3:$F$32,2,FALSE),VLOOKUP(V$1,test!$A$3:$F$32,2,FALSE)),0)</f>
        <v>0</v>
      </c>
      <c r="W30">
        <f>IF(AND(SUM(VLOOKUP($A30,test!$A$3:$F$32,2,FALSE),VLOOKUP(W$1,test!$A$3:$F$32,2,FALSE))&lt;test!$K$16,$A30&lt;&gt;W$1,feasible_mat!W30=1),SUM(VLOOKUP($A30,test!$A$3:$F$32,2,FALSE),VLOOKUP(W$1,test!$A$3:$F$32,2,FALSE)),0)</f>
        <v>0</v>
      </c>
      <c r="X30">
        <f>IF(AND(SUM(VLOOKUP($A30,test!$A$3:$F$32,2,FALSE),VLOOKUP(X$1,test!$A$3:$F$32,2,FALSE))&lt;test!$K$16,$A30&lt;&gt;X$1,feasible_mat!X30=1),SUM(VLOOKUP($A30,test!$A$3:$F$32,2,FALSE),VLOOKUP(X$1,test!$A$3:$F$32,2,FALSE)),0)</f>
        <v>0</v>
      </c>
      <c r="Y30">
        <f>IF(AND(SUM(VLOOKUP($A30,test!$A$3:$F$32,2,FALSE),VLOOKUP(Y$1,test!$A$3:$F$32,2,FALSE))&lt;test!$K$16,$A30&lt;&gt;Y$1,feasible_mat!Y30=1),SUM(VLOOKUP($A30,test!$A$3:$F$32,2,FALSE),VLOOKUP(Y$1,test!$A$3:$F$32,2,FALSE)),0)</f>
        <v>0</v>
      </c>
      <c r="Z30">
        <f>IF(AND(SUM(VLOOKUP($A30,test!$A$3:$F$32,2,FALSE),VLOOKUP(Z$1,test!$A$3:$F$32,2,FALSE))&lt;test!$K$16,$A30&lt;&gt;Z$1,feasible_mat!Z30=1),SUM(VLOOKUP($A30,test!$A$3:$F$32,2,FALSE),VLOOKUP(Z$1,test!$A$3:$F$32,2,FALSE)),0)</f>
        <v>0</v>
      </c>
      <c r="AA30">
        <f>IF(AND(SUM(VLOOKUP($A30,test!$A$3:$F$32,2,FALSE),VLOOKUP(AA$1,test!$A$3:$F$32,2,FALSE))&lt;test!$K$16,$A30&lt;&gt;AA$1,feasible_mat!AA30=1),SUM(VLOOKUP($A30,test!$A$3:$F$32,2,FALSE),VLOOKUP(AA$1,test!$A$3:$F$32,2,FALSE)),0)</f>
        <v>0</v>
      </c>
      <c r="AB30">
        <f>IF(AND(SUM(VLOOKUP($A30,test!$A$3:$F$32,2,FALSE),VLOOKUP(AB$1,test!$A$3:$F$32,2,FALSE))&lt;test!$K$16,$A30&lt;&gt;AB$1,feasible_mat!AB30=1),SUM(VLOOKUP($A30,test!$A$3:$F$32,2,FALSE),VLOOKUP(AB$1,test!$A$3:$F$32,2,FALSE)),0)</f>
        <v>0</v>
      </c>
      <c r="AC30">
        <f>IF(AND(SUM(VLOOKUP($A30,test!$A$3:$F$32,2,FALSE),VLOOKUP(AC$1,test!$A$3:$F$32,2,FALSE))&lt;test!$K$16,$A30&lt;&gt;AC$1,feasible_mat!AC30=1),SUM(VLOOKUP($A30,test!$A$3:$F$32,2,FALSE),VLOOKUP(AC$1,test!$A$3:$F$32,2,FALSE)),0)</f>
        <v>0</v>
      </c>
      <c r="AD30">
        <f>IF(AND(SUM(VLOOKUP($A30,test!$A$3:$F$32,2,FALSE),VLOOKUP(AD$1,test!$A$3:$F$32,2,FALSE))&lt;test!$K$16,$A30&lt;&gt;AD$1,feasible_mat!AD30=1),SUM(VLOOKUP($A30,test!$A$3:$F$32,2,FALSE),VLOOKUP(AD$1,test!$A$3:$F$32,2,FALSE)),0)</f>
        <v>0</v>
      </c>
      <c r="AE30">
        <f>IF(AND(SUM(VLOOKUP($A30,test!$A$3:$F$32,2,FALSE),VLOOKUP(AE$1,test!$A$3:$F$32,2,FALSE))&lt;test!$K$16,$A30&lt;&gt;AE$1,feasible_mat!AE30=1),SUM(VLOOKUP($A30,test!$A$3:$F$32,2,FALSE),VLOOKUP(AE$1,test!$A$3:$F$32,2,FALSE)),0)</f>
        <v>0</v>
      </c>
      <c r="AF30">
        <f>IF(AND(SUM(VLOOKUP($A30,test!$A$3:$F$32,2,FALSE),VLOOKUP(AF$1,test!$A$3:$F$32,2,FALSE))&lt;test!$K$16,$A30&lt;&gt;AF$1,feasible_mat!AF30=1),SUM(VLOOKUP($A30,test!$A$3:$F$32,2,FALSE),VLOOKUP(AF$1,test!$A$3:$F$32,2,FALSE)),0)</f>
        <v>0</v>
      </c>
      <c r="AG30">
        <v>60</v>
      </c>
      <c r="AH30">
        <v>75</v>
      </c>
      <c r="AI30">
        <v>70</v>
      </c>
    </row>
    <row r="31" spans="1:35" x14ac:dyDescent="0.25">
      <c r="A31" t="s">
        <v>40</v>
      </c>
      <c r="B31">
        <v>0</v>
      </c>
      <c r="C31">
        <f>IF(AND(SUM(VLOOKUP($A31,test!$A$3:$F$32,2,FALSE),VLOOKUP(C$1,test!$A$3:$F$32,2,FALSE))&lt;test!$K$16,$A31&lt;&gt;C$1,feasible_mat!C31=1),SUM(VLOOKUP($A31,test!$A$3:$F$32,2,FALSE),VLOOKUP(C$1,test!$A$3:$F$32,2,FALSE)),0)</f>
        <v>0</v>
      </c>
      <c r="D31">
        <f>IF(AND(SUM(VLOOKUP($A31,test!$A$3:$F$32,2,FALSE),VLOOKUP(D$1,test!$A$3:$F$32,2,FALSE))&lt;test!$K$16,$A31&lt;&gt;D$1,feasible_mat!D31=1),SUM(VLOOKUP($A31,test!$A$3:$F$32,2,FALSE),VLOOKUP(D$1,test!$A$3:$F$32,2,FALSE)),0)</f>
        <v>0</v>
      </c>
      <c r="E31">
        <f>IF(AND(SUM(VLOOKUP($A31,test!$A$3:$F$32,2,FALSE),VLOOKUP(E$1,test!$A$3:$F$32,2,FALSE))&lt;test!$K$16,$A31&lt;&gt;E$1,feasible_mat!E31=1),SUM(VLOOKUP($A31,test!$A$3:$F$32,2,FALSE),VLOOKUP(E$1,test!$A$3:$F$32,2,FALSE)),0)</f>
        <v>0</v>
      </c>
      <c r="F31">
        <f>IF(AND(SUM(VLOOKUP($A31,test!$A$3:$F$32,2,FALSE),VLOOKUP(F$1,test!$A$3:$F$32,2,FALSE))&lt;test!$K$16,$A31&lt;&gt;F$1,feasible_mat!F31=1),SUM(VLOOKUP($A31,test!$A$3:$F$32,2,FALSE),VLOOKUP(F$1,test!$A$3:$F$32,2,FALSE)),0)</f>
        <v>0</v>
      </c>
      <c r="G31">
        <f>IF(AND(SUM(VLOOKUP($A31,test!$A$3:$F$32,2,FALSE),VLOOKUP(G$1,test!$A$3:$F$32,2,FALSE))&lt;test!$K$16,$A31&lt;&gt;G$1,feasible_mat!G31=1),SUM(VLOOKUP($A31,test!$A$3:$F$32,2,FALSE),VLOOKUP(G$1,test!$A$3:$F$32,2,FALSE)),0)</f>
        <v>0</v>
      </c>
      <c r="H31">
        <f>IF(AND(SUM(VLOOKUP($A31,test!$A$3:$F$32,2,FALSE),VLOOKUP(H$1,test!$A$3:$F$32,2,FALSE))&lt;test!$K$16,$A31&lt;&gt;H$1,feasible_mat!H31=1),SUM(VLOOKUP($A31,test!$A$3:$F$32,2,FALSE),VLOOKUP(H$1,test!$A$3:$F$32,2,FALSE)),0)</f>
        <v>0</v>
      </c>
      <c r="I31">
        <f>IF(AND(SUM(VLOOKUP($A31,test!$A$3:$F$32,2,FALSE),VLOOKUP(I$1,test!$A$3:$F$32,2,FALSE))&lt;test!$K$16,$A31&lt;&gt;I$1,feasible_mat!I31=1),SUM(VLOOKUP($A31,test!$A$3:$F$32,2,FALSE),VLOOKUP(I$1,test!$A$3:$F$32,2,FALSE)),0)</f>
        <v>345</v>
      </c>
      <c r="J31">
        <f>IF(AND(SUM(VLOOKUP($A31,test!$A$3:$F$32,2,FALSE),VLOOKUP(J$1,test!$A$3:$F$32,2,FALSE))&lt;test!$K$16,$A31&lt;&gt;J$1,feasible_mat!J31=1),SUM(VLOOKUP($A31,test!$A$3:$F$32,2,FALSE),VLOOKUP(J$1,test!$A$3:$F$32,2,FALSE)),0)</f>
        <v>345</v>
      </c>
      <c r="K31">
        <f>IF(AND(SUM(VLOOKUP($A31,test!$A$3:$F$32,2,FALSE),VLOOKUP(K$1,test!$A$3:$F$32,2,FALSE))&lt;test!$K$16,$A31&lt;&gt;K$1,feasible_mat!K31=1),SUM(VLOOKUP($A31,test!$A$3:$F$32,2,FALSE),VLOOKUP(K$1,test!$A$3:$F$32,2,FALSE)),0)</f>
        <v>0</v>
      </c>
      <c r="L31">
        <f>IF(AND(SUM(VLOOKUP($A31,test!$A$3:$F$32,2,FALSE),VLOOKUP(L$1,test!$A$3:$F$32,2,FALSE))&lt;test!$K$16,$A31&lt;&gt;L$1,feasible_mat!L31=1),SUM(VLOOKUP($A31,test!$A$3:$F$32,2,FALSE),VLOOKUP(L$1,test!$A$3:$F$32,2,FALSE)),0)</f>
        <v>0</v>
      </c>
      <c r="M31">
        <f>IF(AND(SUM(VLOOKUP($A31,test!$A$3:$F$32,2,FALSE),VLOOKUP(M$1,test!$A$3:$F$32,2,FALSE))&lt;test!$K$16,$A31&lt;&gt;M$1,feasible_mat!M31=1),SUM(VLOOKUP($A31,test!$A$3:$F$32,2,FALSE),VLOOKUP(M$1,test!$A$3:$F$32,2,FALSE)),0)</f>
        <v>0</v>
      </c>
      <c r="N31">
        <f>IF(AND(SUM(VLOOKUP($A31,test!$A$3:$F$32,2,FALSE),VLOOKUP(N$1,test!$A$3:$F$32,2,FALSE))&lt;test!$K$16,$A31&lt;&gt;N$1,feasible_mat!N31=1),SUM(VLOOKUP($A31,test!$A$3:$F$32,2,FALSE),VLOOKUP(N$1,test!$A$3:$F$32,2,FALSE)),0)</f>
        <v>0</v>
      </c>
      <c r="O31">
        <f>IF(AND(SUM(VLOOKUP($A31,test!$A$3:$F$32,2,FALSE),VLOOKUP(O$1,test!$A$3:$F$32,2,FALSE))&lt;test!$K$16,$A31&lt;&gt;O$1,feasible_mat!O31=1),SUM(VLOOKUP($A31,test!$A$3:$F$32,2,FALSE),VLOOKUP(O$1,test!$A$3:$F$32,2,FALSE)),0)</f>
        <v>0</v>
      </c>
      <c r="P31">
        <f>IF(AND(SUM(VLOOKUP($A31,test!$A$3:$F$32,2,FALSE),VLOOKUP(P$1,test!$A$3:$F$32,2,FALSE))&lt;test!$K$16,$A31&lt;&gt;P$1,feasible_mat!P31=1),SUM(VLOOKUP($A31,test!$A$3:$F$32,2,FALSE),VLOOKUP(P$1,test!$A$3:$F$32,2,FALSE)),0)</f>
        <v>0</v>
      </c>
      <c r="Q31">
        <f>IF(AND(SUM(VLOOKUP($A31,test!$A$3:$F$32,2,FALSE),VLOOKUP(Q$1,test!$A$3:$F$32,2,FALSE))&lt;test!$K$16,$A31&lt;&gt;Q$1,feasible_mat!Q31=1),SUM(VLOOKUP($A31,test!$A$3:$F$32,2,FALSE),VLOOKUP(Q$1,test!$A$3:$F$32,2,FALSE)),0)</f>
        <v>0</v>
      </c>
      <c r="R31">
        <f>IF(AND(SUM(VLOOKUP($A31,test!$A$3:$F$32,2,FALSE),VLOOKUP(R$1,test!$A$3:$F$32,2,FALSE))&lt;test!$K$16,$A31&lt;&gt;R$1,feasible_mat!R31=1),SUM(VLOOKUP($A31,test!$A$3:$F$32,2,FALSE),VLOOKUP(R$1,test!$A$3:$F$32,2,FALSE)),0)</f>
        <v>0</v>
      </c>
      <c r="S31">
        <f>IF(AND(SUM(VLOOKUP($A31,test!$A$3:$F$32,2,FALSE),VLOOKUP(S$1,test!$A$3:$F$32,2,FALSE))&lt;test!$K$16,$A31&lt;&gt;S$1,feasible_mat!S31=1),SUM(VLOOKUP($A31,test!$A$3:$F$32,2,FALSE),VLOOKUP(S$1,test!$A$3:$F$32,2,FALSE)),0)</f>
        <v>0</v>
      </c>
      <c r="T31">
        <f>IF(AND(SUM(VLOOKUP($A31,test!$A$3:$F$32,2,FALSE),VLOOKUP(T$1,test!$A$3:$F$32,2,FALSE))&lt;test!$K$16,$A31&lt;&gt;T$1,feasible_mat!T31=1),SUM(VLOOKUP($A31,test!$A$3:$F$32,2,FALSE),VLOOKUP(T$1,test!$A$3:$F$32,2,FALSE)),0)</f>
        <v>0</v>
      </c>
      <c r="U31">
        <f>IF(AND(SUM(VLOOKUP($A31,test!$A$3:$F$32,2,FALSE),VLOOKUP(U$1,test!$A$3:$F$32,2,FALSE))&lt;test!$K$16,$A31&lt;&gt;U$1,feasible_mat!U31=1),SUM(VLOOKUP($A31,test!$A$3:$F$32,2,FALSE),VLOOKUP(U$1,test!$A$3:$F$32,2,FALSE)),0)</f>
        <v>0</v>
      </c>
      <c r="V31">
        <f>IF(AND(SUM(VLOOKUP($A31,test!$A$3:$F$32,2,FALSE),VLOOKUP(V$1,test!$A$3:$F$32,2,FALSE))&lt;test!$K$16,$A31&lt;&gt;V$1,feasible_mat!V31=1),SUM(VLOOKUP($A31,test!$A$3:$F$32,2,FALSE),VLOOKUP(V$1,test!$A$3:$F$32,2,FALSE)),0)</f>
        <v>0</v>
      </c>
      <c r="W31">
        <f>IF(AND(SUM(VLOOKUP($A31,test!$A$3:$F$32,2,FALSE),VLOOKUP(W$1,test!$A$3:$F$32,2,FALSE))&lt;test!$K$16,$A31&lt;&gt;W$1,feasible_mat!W31=1),SUM(VLOOKUP($A31,test!$A$3:$F$32,2,FALSE),VLOOKUP(W$1,test!$A$3:$F$32,2,FALSE)),0)</f>
        <v>0</v>
      </c>
      <c r="X31">
        <f>IF(AND(SUM(VLOOKUP($A31,test!$A$3:$F$32,2,FALSE),VLOOKUP(X$1,test!$A$3:$F$32,2,FALSE))&lt;test!$K$16,$A31&lt;&gt;X$1,feasible_mat!X31=1),SUM(VLOOKUP($A31,test!$A$3:$F$32,2,FALSE),VLOOKUP(X$1,test!$A$3:$F$32,2,FALSE)),0)</f>
        <v>0</v>
      </c>
      <c r="Y31">
        <f>IF(AND(SUM(VLOOKUP($A31,test!$A$3:$F$32,2,FALSE),VLOOKUP(Y$1,test!$A$3:$F$32,2,FALSE))&lt;test!$K$16,$A31&lt;&gt;Y$1,feasible_mat!Y31=1),SUM(VLOOKUP($A31,test!$A$3:$F$32,2,FALSE),VLOOKUP(Y$1,test!$A$3:$F$32,2,FALSE)),0)</f>
        <v>0</v>
      </c>
      <c r="Z31">
        <f>IF(AND(SUM(VLOOKUP($A31,test!$A$3:$F$32,2,FALSE),VLOOKUP(Z$1,test!$A$3:$F$32,2,FALSE))&lt;test!$K$16,$A31&lt;&gt;Z$1,feasible_mat!Z31=1),SUM(VLOOKUP($A31,test!$A$3:$F$32,2,FALSE),VLOOKUP(Z$1,test!$A$3:$F$32,2,FALSE)),0)</f>
        <v>0</v>
      </c>
      <c r="AA31">
        <f>IF(AND(SUM(VLOOKUP($A31,test!$A$3:$F$32,2,FALSE),VLOOKUP(AA$1,test!$A$3:$F$32,2,FALSE))&lt;test!$K$16,$A31&lt;&gt;AA$1,feasible_mat!AA31=1),SUM(VLOOKUP($A31,test!$A$3:$F$32,2,FALSE),VLOOKUP(AA$1,test!$A$3:$F$32,2,FALSE)),0)</f>
        <v>0</v>
      </c>
      <c r="AB31">
        <f>IF(AND(SUM(VLOOKUP($A31,test!$A$3:$F$32,2,FALSE),VLOOKUP(AB$1,test!$A$3:$F$32,2,FALSE))&lt;test!$K$16,$A31&lt;&gt;AB$1,feasible_mat!AB31=1),SUM(VLOOKUP($A31,test!$A$3:$F$32,2,FALSE),VLOOKUP(AB$1,test!$A$3:$F$32,2,FALSE)),0)</f>
        <v>0</v>
      </c>
      <c r="AC31">
        <f>IF(AND(SUM(VLOOKUP($A31,test!$A$3:$F$32,2,FALSE),VLOOKUP(AC$1,test!$A$3:$F$32,2,FALSE))&lt;test!$K$16,$A31&lt;&gt;AC$1,feasible_mat!AC31=1),SUM(VLOOKUP($A31,test!$A$3:$F$32,2,FALSE),VLOOKUP(AC$1,test!$A$3:$F$32,2,FALSE)),0)</f>
        <v>0</v>
      </c>
      <c r="AD31">
        <f>IF(AND(SUM(VLOOKUP($A31,test!$A$3:$F$32,2,FALSE),VLOOKUP(AD$1,test!$A$3:$F$32,2,FALSE))&lt;test!$K$16,$A31&lt;&gt;AD$1,feasible_mat!AD31=1),SUM(VLOOKUP($A31,test!$A$3:$F$32,2,FALSE),VLOOKUP(AD$1,test!$A$3:$F$32,2,FALSE)),0)</f>
        <v>0</v>
      </c>
      <c r="AE31">
        <f>IF(AND(SUM(VLOOKUP($A31,test!$A$3:$F$32,2,FALSE),VLOOKUP(AE$1,test!$A$3:$F$32,2,FALSE))&lt;test!$K$16,$A31&lt;&gt;AE$1,feasible_mat!AE31=1),SUM(VLOOKUP($A31,test!$A$3:$F$32,2,FALSE),VLOOKUP(AE$1,test!$A$3:$F$32,2,FALSE)),0)</f>
        <v>0</v>
      </c>
      <c r="AF31">
        <f>IF(AND(SUM(VLOOKUP($A31,test!$A$3:$F$32,2,FALSE),VLOOKUP(AF$1,test!$A$3:$F$32,2,FALSE))&lt;test!$K$16,$A31&lt;&gt;AF$1,feasible_mat!AF31=1),SUM(VLOOKUP($A31,test!$A$3:$F$32,2,FALSE),VLOOKUP(AF$1,test!$A$3:$F$32,2,FALSE)),0)</f>
        <v>0</v>
      </c>
      <c r="AG31">
        <v>60</v>
      </c>
      <c r="AH31">
        <v>75</v>
      </c>
      <c r="AI31">
        <v>70</v>
      </c>
    </row>
    <row r="32" spans="1:35" x14ac:dyDescent="0.25">
      <c r="A32" t="s">
        <v>41</v>
      </c>
      <c r="B32">
        <v>0</v>
      </c>
      <c r="C32">
        <f>IF(AND(SUM(VLOOKUP($A32,test!$A$3:$F$32,2,FALSE),VLOOKUP(C$1,test!$A$3:$F$32,2,FALSE))&lt;test!$K$16,$A32&lt;&gt;C$1,feasible_mat!C32=1),SUM(VLOOKUP($A32,test!$A$3:$F$32,2,FALSE),VLOOKUP(C$1,test!$A$3:$F$32,2,FALSE)),0)</f>
        <v>0</v>
      </c>
      <c r="D32">
        <f>IF(AND(SUM(VLOOKUP($A32,test!$A$3:$F$32,2,FALSE),VLOOKUP(D$1,test!$A$3:$F$32,2,FALSE))&lt;test!$K$16,$A32&lt;&gt;D$1,feasible_mat!D32=1),SUM(VLOOKUP($A32,test!$A$3:$F$32,2,FALSE),VLOOKUP(D$1,test!$A$3:$F$32,2,FALSE)),0)</f>
        <v>0</v>
      </c>
      <c r="E32">
        <f>IF(AND(SUM(VLOOKUP($A32,test!$A$3:$F$32,2,FALSE),VLOOKUP(E$1,test!$A$3:$F$32,2,FALSE))&lt;test!$K$16,$A32&lt;&gt;E$1,feasible_mat!E32=1),SUM(VLOOKUP($A32,test!$A$3:$F$32,2,FALSE),VLOOKUP(E$1,test!$A$3:$F$32,2,FALSE)),0)</f>
        <v>0</v>
      </c>
      <c r="F32">
        <f>IF(AND(SUM(VLOOKUP($A32,test!$A$3:$F$32,2,FALSE),VLOOKUP(F$1,test!$A$3:$F$32,2,FALSE))&lt;test!$K$16,$A32&lt;&gt;F$1,feasible_mat!F32=1),SUM(VLOOKUP($A32,test!$A$3:$F$32,2,FALSE),VLOOKUP(F$1,test!$A$3:$F$32,2,FALSE)),0)</f>
        <v>0</v>
      </c>
      <c r="G32">
        <f>IF(AND(SUM(VLOOKUP($A32,test!$A$3:$F$32,2,FALSE),VLOOKUP(G$1,test!$A$3:$F$32,2,FALSE))&lt;test!$K$16,$A32&lt;&gt;G$1,feasible_mat!G32=1),SUM(VLOOKUP($A32,test!$A$3:$F$32,2,FALSE),VLOOKUP(G$1,test!$A$3:$F$32,2,FALSE)),0)</f>
        <v>0</v>
      </c>
      <c r="H32">
        <f>IF(AND(SUM(VLOOKUP($A32,test!$A$3:$F$32,2,FALSE),VLOOKUP(H$1,test!$A$3:$F$32,2,FALSE))&lt;test!$K$16,$A32&lt;&gt;H$1,feasible_mat!H32=1),SUM(VLOOKUP($A32,test!$A$3:$F$32,2,FALSE),VLOOKUP(H$1,test!$A$3:$F$32,2,FALSE)),0)</f>
        <v>0</v>
      </c>
      <c r="I32">
        <f>IF(AND(SUM(VLOOKUP($A32,test!$A$3:$F$32,2,FALSE),VLOOKUP(I$1,test!$A$3:$F$32,2,FALSE))&lt;test!$K$16,$A32&lt;&gt;I$1,feasible_mat!I32=1),SUM(VLOOKUP($A32,test!$A$3:$F$32,2,FALSE),VLOOKUP(I$1,test!$A$3:$F$32,2,FALSE)),0)</f>
        <v>0</v>
      </c>
      <c r="J32">
        <f>IF(AND(SUM(VLOOKUP($A32,test!$A$3:$F$32,2,FALSE),VLOOKUP(J$1,test!$A$3:$F$32,2,FALSE))&lt;test!$K$16,$A32&lt;&gt;J$1,feasible_mat!J32=1),SUM(VLOOKUP($A32,test!$A$3:$F$32,2,FALSE),VLOOKUP(J$1,test!$A$3:$F$32,2,FALSE)),0)</f>
        <v>0</v>
      </c>
      <c r="K32">
        <f>IF(AND(SUM(VLOOKUP($A32,test!$A$3:$F$32,2,FALSE),VLOOKUP(K$1,test!$A$3:$F$32,2,FALSE))&lt;test!$K$16,$A32&lt;&gt;K$1,feasible_mat!K32=1),SUM(VLOOKUP($A32,test!$A$3:$F$32,2,FALSE),VLOOKUP(K$1,test!$A$3:$F$32,2,FALSE)),0)</f>
        <v>0</v>
      </c>
      <c r="L32">
        <f>IF(AND(SUM(VLOOKUP($A32,test!$A$3:$F$32,2,FALSE),VLOOKUP(L$1,test!$A$3:$F$32,2,FALSE))&lt;test!$K$16,$A32&lt;&gt;L$1,feasible_mat!L32=1),SUM(VLOOKUP($A32,test!$A$3:$F$32,2,FALSE),VLOOKUP(L$1,test!$A$3:$F$32,2,FALSE)),0)</f>
        <v>0</v>
      </c>
      <c r="M32">
        <f>IF(AND(SUM(VLOOKUP($A32,test!$A$3:$F$32,2,FALSE),VLOOKUP(M$1,test!$A$3:$F$32,2,FALSE))&lt;test!$K$16,$A32&lt;&gt;M$1,feasible_mat!M32=1),SUM(VLOOKUP($A32,test!$A$3:$F$32,2,FALSE),VLOOKUP(M$1,test!$A$3:$F$32,2,FALSE)),0)</f>
        <v>0</v>
      </c>
      <c r="N32">
        <f>IF(AND(SUM(VLOOKUP($A32,test!$A$3:$F$32,2,FALSE),VLOOKUP(N$1,test!$A$3:$F$32,2,FALSE))&lt;test!$K$16,$A32&lt;&gt;N$1,feasible_mat!N32=1),SUM(VLOOKUP($A32,test!$A$3:$F$32,2,FALSE),VLOOKUP(N$1,test!$A$3:$F$32,2,FALSE)),0)</f>
        <v>0</v>
      </c>
      <c r="O32">
        <f>IF(AND(SUM(VLOOKUP($A32,test!$A$3:$F$32,2,FALSE),VLOOKUP(O$1,test!$A$3:$F$32,2,FALSE))&lt;test!$K$16,$A32&lt;&gt;O$1,feasible_mat!O32=1),SUM(VLOOKUP($A32,test!$A$3:$F$32,2,FALSE),VLOOKUP(O$1,test!$A$3:$F$32,2,FALSE)),0)</f>
        <v>0</v>
      </c>
      <c r="P32">
        <f>IF(AND(SUM(VLOOKUP($A32,test!$A$3:$F$32,2,FALSE),VLOOKUP(P$1,test!$A$3:$F$32,2,FALSE))&lt;test!$K$16,$A32&lt;&gt;P$1,feasible_mat!P32=1),SUM(VLOOKUP($A32,test!$A$3:$F$32,2,FALSE),VLOOKUP(P$1,test!$A$3:$F$32,2,FALSE)),0)</f>
        <v>0</v>
      </c>
      <c r="Q32">
        <f>IF(AND(SUM(VLOOKUP($A32,test!$A$3:$F$32,2,FALSE),VLOOKUP(Q$1,test!$A$3:$F$32,2,FALSE))&lt;test!$K$16,$A32&lt;&gt;Q$1,feasible_mat!Q32=1),SUM(VLOOKUP($A32,test!$A$3:$F$32,2,FALSE),VLOOKUP(Q$1,test!$A$3:$F$32,2,FALSE)),0)</f>
        <v>0</v>
      </c>
      <c r="R32">
        <f>IF(AND(SUM(VLOOKUP($A32,test!$A$3:$F$32,2,FALSE),VLOOKUP(R$1,test!$A$3:$F$32,2,FALSE))&lt;test!$K$16,$A32&lt;&gt;R$1,feasible_mat!R32=1),SUM(VLOOKUP($A32,test!$A$3:$F$32,2,FALSE),VLOOKUP(R$1,test!$A$3:$F$32,2,FALSE)),0)</f>
        <v>0</v>
      </c>
      <c r="S32">
        <f>IF(AND(SUM(VLOOKUP($A32,test!$A$3:$F$32,2,FALSE),VLOOKUP(S$1,test!$A$3:$F$32,2,FALSE))&lt;test!$K$16,$A32&lt;&gt;S$1,feasible_mat!S32=1),SUM(VLOOKUP($A32,test!$A$3:$F$32,2,FALSE),VLOOKUP(S$1,test!$A$3:$F$32,2,FALSE)),0)</f>
        <v>0</v>
      </c>
      <c r="T32">
        <f>IF(AND(SUM(VLOOKUP($A32,test!$A$3:$F$32,2,FALSE),VLOOKUP(T$1,test!$A$3:$F$32,2,FALSE))&lt;test!$K$16,$A32&lt;&gt;T$1,feasible_mat!T32=1),SUM(VLOOKUP($A32,test!$A$3:$F$32,2,FALSE),VLOOKUP(T$1,test!$A$3:$F$32,2,FALSE)),0)</f>
        <v>0</v>
      </c>
      <c r="U32">
        <f>IF(AND(SUM(VLOOKUP($A32,test!$A$3:$F$32,2,FALSE),VLOOKUP(U$1,test!$A$3:$F$32,2,FALSE))&lt;test!$K$16,$A32&lt;&gt;U$1,feasible_mat!U32=1),SUM(VLOOKUP($A32,test!$A$3:$F$32,2,FALSE),VLOOKUP(U$1,test!$A$3:$F$32,2,FALSE)),0)</f>
        <v>0</v>
      </c>
      <c r="V32">
        <f>IF(AND(SUM(VLOOKUP($A32,test!$A$3:$F$32,2,FALSE),VLOOKUP(V$1,test!$A$3:$F$32,2,FALSE))&lt;test!$K$16,$A32&lt;&gt;V$1,feasible_mat!V32=1),SUM(VLOOKUP($A32,test!$A$3:$F$32,2,FALSE),VLOOKUP(V$1,test!$A$3:$F$32,2,FALSE)),0)</f>
        <v>0</v>
      </c>
      <c r="W32">
        <f>IF(AND(SUM(VLOOKUP($A32,test!$A$3:$F$32,2,FALSE),VLOOKUP(W$1,test!$A$3:$F$32,2,FALSE))&lt;test!$K$16,$A32&lt;&gt;W$1,feasible_mat!W32=1),SUM(VLOOKUP($A32,test!$A$3:$F$32,2,FALSE),VLOOKUP(W$1,test!$A$3:$F$32,2,FALSE)),0)</f>
        <v>0</v>
      </c>
      <c r="X32">
        <f>IF(AND(SUM(VLOOKUP($A32,test!$A$3:$F$32,2,FALSE),VLOOKUP(X$1,test!$A$3:$F$32,2,FALSE))&lt;test!$K$16,$A32&lt;&gt;X$1,feasible_mat!X32=1),SUM(VLOOKUP($A32,test!$A$3:$F$32,2,FALSE),VLOOKUP(X$1,test!$A$3:$F$32,2,FALSE)),0)</f>
        <v>0</v>
      </c>
      <c r="Y32">
        <f>IF(AND(SUM(VLOOKUP($A32,test!$A$3:$F$32,2,FALSE),VLOOKUP(Y$1,test!$A$3:$F$32,2,FALSE))&lt;test!$K$16,$A32&lt;&gt;Y$1,feasible_mat!Y32=1),SUM(VLOOKUP($A32,test!$A$3:$F$32,2,FALSE),VLOOKUP(Y$1,test!$A$3:$F$32,2,FALSE)),0)</f>
        <v>0</v>
      </c>
      <c r="Z32">
        <f>IF(AND(SUM(VLOOKUP($A32,test!$A$3:$F$32,2,FALSE),VLOOKUP(Z$1,test!$A$3:$F$32,2,FALSE))&lt;test!$K$16,$A32&lt;&gt;Z$1,feasible_mat!Z32=1),SUM(VLOOKUP($A32,test!$A$3:$F$32,2,FALSE),VLOOKUP(Z$1,test!$A$3:$F$32,2,FALSE)),0)</f>
        <v>0</v>
      </c>
      <c r="AA32">
        <f>IF(AND(SUM(VLOOKUP($A32,test!$A$3:$F$32,2,FALSE),VLOOKUP(AA$1,test!$A$3:$F$32,2,FALSE))&lt;test!$K$16,$A32&lt;&gt;AA$1,feasible_mat!AA32=1),SUM(VLOOKUP($A32,test!$A$3:$F$32,2,FALSE),VLOOKUP(AA$1,test!$A$3:$F$32,2,FALSE)),0)</f>
        <v>0</v>
      </c>
      <c r="AB32">
        <f>IF(AND(SUM(VLOOKUP($A32,test!$A$3:$F$32,2,FALSE),VLOOKUP(AB$1,test!$A$3:$F$32,2,FALSE))&lt;test!$K$16,$A32&lt;&gt;AB$1,feasible_mat!AB32=1),SUM(VLOOKUP($A32,test!$A$3:$F$32,2,FALSE),VLOOKUP(AB$1,test!$A$3:$F$32,2,FALSE)),0)</f>
        <v>0</v>
      </c>
      <c r="AC32">
        <f>IF(AND(SUM(VLOOKUP($A32,test!$A$3:$F$32,2,FALSE),VLOOKUP(AC$1,test!$A$3:$F$32,2,FALSE))&lt;test!$K$16,$A32&lt;&gt;AC$1,feasible_mat!AC32=1),SUM(VLOOKUP($A32,test!$A$3:$F$32,2,FALSE),VLOOKUP(AC$1,test!$A$3:$F$32,2,FALSE)),0)</f>
        <v>0</v>
      </c>
      <c r="AD32">
        <f>IF(AND(SUM(VLOOKUP($A32,test!$A$3:$F$32,2,FALSE),VLOOKUP(AD$1,test!$A$3:$F$32,2,FALSE))&lt;test!$K$16,$A32&lt;&gt;AD$1,feasible_mat!AD32=1),SUM(VLOOKUP($A32,test!$A$3:$F$32,2,FALSE),VLOOKUP(AD$1,test!$A$3:$F$32,2,FALSE)),0)</f>
        <v>0</v>
      </c>
      <c r="AE32">
        <f>IF(AND(SUM(VLOOKUP($A32,test!$A$3:$F$32,2,FALSE),VLOOKUP(AE$1,test!$A$3:$F$32,2,FALSE))&lt;test!$K$16,$A32&lt;&gt;AE$1,feasible_mat!AE32=1),SUM(VLOOKUP($A32,test!$A$3:$F$32,2,FALSE),VLOOKUP(AE$1,test!$A$3:$F$32,2,FALSE)),0)</f>
        <v>0</v>
      </c>
      <c r="AF32">
        <f>IF(AND(SUM(VLOOKUP($A32,test!$A$3:$F$32,2,FALSE),VLOOKUP(AF$1,test!$A$3:$F$32,2,FALSE))&lt;test!$K$16,$A32&lt;&gt;AF$1,feasible_mat!AF32=1),SUM(VLOOKUP($A32,test!$A$3:$F$32,2,FALSE),VLOOKUP(AF$1,test!$A$3:$F$32,2,FALSE)),0)</f>
        <v>0</v>
      </c>
      <c r="AG32">
        <v>60</v>
      </c>
      <c r="AH32">
        <v>75</v>
      </c>
      <c r="AI32">
        <v>70</v>
      </c>
    </row>
    <row r="33" spans="1:35" x14ac:dyDescent="0.25">
      <c r="A33" t="s">
        <v>49</v>
      </c>
      <c r="B33">
        <v>0</v>
      </c>
      <c r="C33">
        <v>60</v>
      </c>
      <c r="D33">
        <v>60</v>
      </c>
      <c r="E33">
        <v>60</v>
      </c>
      <c r="F33">
        <v>60</v>
      </c>
      <c r="G33">
        <v>60</v>
      </c>
      <c r="H33">
        <v>60</v>
      </c>
      <c r="I33">
        <v>60</v>
      </c>
      <c r="J33">
        <v>60</v>
      </c>
      <c r="K33">
        <v>60</v>
      </c>
      <c r="L33">
        <v>60</v>
      </c>
      <c r="M33">
        <v>60</v>
      </c>
      <c r="N33">
        <v>60</v>
      </c>
      <c r="O33">
        <v>60</v>
      </c>
      <c r="P33">
        <v>60</v>
      </c>
      <c r="Q33">
        <v>60</v>
      </c>
      <c r="R33">
        <v>60</v>
      </c>
      <c r="S33">
        <v>60</v>
      </c>
      <c r="T33">
        <v>60</v>
      </c>
      <c r="U33">
        <v>60</v>
      </c>
      <c r="V33">
        <v>60</v>
      </c>
      <c r="W33">
        <v>60</v>
      </c>
      <c r="X33">
        <v>60</v>
      </c>
      <c r="Y33">
        <v>60</v>
      </c>
      <c r="Z33">
        <v>60</v>
      </c>
      <c r="AA33">
        <v>60</v>
      </c>
      <c r="AB33">
        <v>60</v>
      </c>
      <c r="AC33">
        <v>60</v>
      </c>
      <c r="AD33">
        <v>60</v>
      </c>
      <c r="AE33">
        <v>60</v>
      </c>
      <c r="AF33">
        <v>60</v>
      </c>
      <c r="AG33">
        <v>0</v>
      </c>
      <c r="AH33">
        <v>0</v>
      </c>
      <c r="AI33">
        <v>0</v>
      </c>
    </row>
    <row r="34" spans="1:35" x14ac:dyDescent="0.25">
      <c r="A34" t="s">
        <v>59</v>
      </c>
      <c r="B34">
        <v>0</v>
      </c>
      <c r="C34">
        <v>75</v>
      </c>
      <c r="D34">
        <v>75</v>
      </c>
      <c r="E34">
        <v>75</v>
      </c>
      <c r="F34">
        <v>75</v>
      </c>
      <c r="G34">
        <v>75</v>
      </c>
      <c r="H34">
        <v>75</v>
      </c>
      <c r="I34">
        <v>75</v>
      </c>
      <c r="J34">
        <v>75</v>
      </c>
      <c r="K34">
        <v>75</v>
      </c>
      <c r="L34">
        <v>75</v>
      </c>
      <c r="M34">
        <v>75</v>
      </c>
      <c r="N34">
        <v>75</v>
      </c>
      <c r="O34">
        <v>75</v>
      </c>
      <c r="P34">
        <v>75</v>
      </c>
      <c r="Q34">
        <v>75</v>
      </c>
      <c r="R34">
        <v>75</v>
      </c>
      <c r="S34">
        <v>75</v>
      </c>
      <c r="T34">
        <v>75</v>
      </c>
      <c r="U34">
        <v>75</v>
      </c>
      <c r="V34">
        <v>75</v>
      </c>
      <c r="W34">
        <v>75</v>
      </c>
      <c r="X34">
        <v>75</v>
      </c>
      <c r="Y34">
        <v>75</v>
      </c>
      <c r="Z34">
        <v>75</v>
      </c>
      <c r="AA34">
        <v>75</v>
      </c>
      <c r="AB34">
        <v>75</v>
      </c>
      <c r="AC34">
        <v>75</v>
      </c>
      <c r="AD34">
        <v>75</v>
      </c>
      <c r="AE34">
        <v>75</v>
      </c>
      <c r="AF34">
        <v>75</v>
      </c>
      <c r="AG34">
        <v>0</v>
      </c>
      <c r="AH34">
        <v>0</v>
      </c>
      <c r="AI34">
        <v>0</v>
      </c>
    </row>
    <row r="35" spans="1:35" x14ac:dyDescent="0.25">
      <c r="A35" t="s">
        <v>60</v>
      </c>
      <c r="B35">
        <v>0</v>
      </c>
      <c r="C35">
        <v>70</v>
      </c>
      <c r="D35">
        <v>70</v>
      </c>
      <c r="E35">
        <v>70</v>
      </c>
      <c r="F35">
        <v>70</v>
      </c>
      <c r="G35">
        <v>70</v>
      </c>
      <c r="H35">
        <v>70</v>
      </c>
      <c r="I35">
        <v>70</v>
      </c>
      <c r="J35">
        <v>70</v>
      </c>
      <c r="K35">
        <v>70</v>
      </c>
      <c r="L35">
        <v>70</v>
      </c>
      <c r="M35">
        <v>70</v>
      </c>
      <c r="N35">
        <v>70</v>
      </c>
      <c r="O35">
        <v>70</v>
      </c>
      <c r="P35">
        <v>70</v>
      </c>
      <c r="Q35">
        <v>70</v>
      </c>
      <c r="R35">
        <v>70</v>
      </c>
      <c r="S35">
        <v>70</v>
      </c>
      <c r="T35">
        <v>70</v>
      </c>
      <c r="U35">
        <v>70</v>
      </c>
      <c r="V35">
        <v>70</v>
      </c>
      <c r="W35">
        <v>70</v>
      </c>
      <c r="X35">
        <v>70</v>
      </c>
      <c r="Y35">
        <v>70</v>
      </c>
      <c r="Z35">
        <v>70</v>
      </c>
      <c r="AA35">
        <v>70</v>
      </c>
      <c r="AB35">
        <v>70</v>
      </c>
      <c r="AC35">
        <v>70</v>
      </c>
      <c r="AD35">
        <v>70</v>
      </c>
      <c r="AE35">
        <v>70</v>
      </c>
      <c r="AF35">
        <v>70</v>
      </c>
      <c r="AG35">
        <v>0</v>
      </c>
      <c r="AH35">
        <v>0</v>
      </c>
      <c r="AI3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3A09-77CB-480E-A128-4A5BE093D235}">
  <dimension ref="A1:AJ125"/>
  <sheetViews>
    <sheetView topLeftCell="A96" workbookViewId="0">
      <selection activeCell="M126" sqref="M126"/>
    </sheetView>
  </sheetViews>
  <sheetFormatPr defaultRowHeight="15" x14ac:dyDescent="0.25"/>
  <cols>
    <col min="1" max="4" width="9.140625" style="19"/>
    <col min="5" max="5" width="14.42578125" style="19" bestFit="1" customWidth="1"/>
    <col min="6" max="6" width="12" style="19" bestFit="1" customWidth="1"/>
    <col min="7" max="21" width="9.140625" style="19"/>
    <col min="22" max="22" width="16.7109375" style="19" bestFit="1" customWidth="1"/>
    <col min="23" max="16384" width="9.140625" style="19"/>
  </cols>
  <sheetData>
    <row r="1" spans="1:36" x14ac:dyDescent="0.25">
      <c r="A1"/>
      <c r="B1" t="s">
        <v>47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18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</row>
    <row r="2" spans="1:36" x14ac:dyDescent="0.25">
      <c r="A2" t="s">
        <v>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6</v>
      </c>
      <c r="B3">
        <v>0</v>
      </c>
      <c r="C3">
        <f>IF(AND(SUM(VLOOKUP($A3,test!$A$3:$F$32,2,FALSE),VLOOKUP(C$1,test!$A$3:$F$32,2,FALSE))&lt;test!$K$16,$A3&lt;&gt;C$1,feasible_mat!C3=1),(VLOOKUP(C$1,test!$A$3:$I$32,8,FALSE))-(VLOOKUP($A3,test!$A$3:$I$32,9,FALSE)),0)</f>
        <v>0</v>
      </c>
      <c r="D3">
        <f>IF(AND(SUM(VLOOKUP($A3,test!$A$3:$F$32,2,FALSE),VLOOKUP(D$1,test!$A$3:$F$32,2,FALSE))&lt;test!$K$16,$A3&lt;&gt;D$1,feasible_mat!D3=1),(VLOOKUP(D$1,test!$A$3:$I$32,8,FALSE))-(VLOOKUP($A3,test!$A$3:$I$32,9,FALSE)),0)</f>
        <v>0</v>
      </c>
      <c r="E3">
        <f>IF(AND(SUM(VLOOKUP($A3,test!$A$3:$F$32,2,FALSE),VLOOKUP(E$1,test!$A$3:$F$32,2,FALSE))&lt;test!$K$16,$A3&lt;&gt;E$1,feasible_mat!E3=1),(VLOOKUP(E$1,test!$A$3:$I$32,8,FALSE))-(VLOOKUP($A3,test!$A$3:$I$32,9,FALSE)),0)</f>
        <v>0</v>
      </c>
      <c r="F3">
        <f>IF(AND(SUM(VLOOKUP($A3,test!$A$3:$F$32,2,FALSE),VLOOKUP(F$1,test!$A$3:$F$32,2,FALSE))&lt;test!$K$16,$A3&lt;&gt;F$1,feasible_mat!F3=1),(VLOOKUP(F$1,test!$A$3:$I$32,8,FALSE))-(VLOOKUP($A3,test!$A$3:$I$32,9,FALSE)),0)</f>
        <v>0</v>
      </c>
      <c r="G3">
        <f>IF(AND(SUM(VLOOKUP($A3,test!$A$3:$F$32,2,FALSE),VLOOKUP(G$1,test!$A$3:$F$32,2,FALSE))&lt;test!$K$16,$A3&lt;&gt;G$1,feasible_mat!G3=1),(VLOOKUP(G$1,test!$A$3:$I$32,8,FALSE))-(VLOOKUP($A3,test!$A$3:$I$32,9,FALSE)),0)</f>
        <v>0</v>
      </c>
      <c r="H3">
        <f>IF(AND(SUM(VLOOKUP($A3,test!$A$3:$F$32,2,FALSE),VLOOKUP(H$1,test!$A$3:$F$32,2,FALSE))&lt;test!$K$16,$A3&lt;&gt;H$1,feasible_mat!H3=1),(VLOOKUP(H$1,test!$A$3:$I$32,8,FALSE))-(VLOOKUP($A3,test!$A$3:$I$32,9,FALSE)),0)</f>
        <v>0</v>
      </c>
      <c r="I3">
        <f>IF(AND(SUM(VLOOKUP($A3,test!$A$3:$F$32,2,FALSE),VLOOKUP(I$1,test!$A$3:$F$32,2,FALSE))&lt;test!$K$16,$A3&lt;&gt;I$1,feasible_mat!I3=1),(VLOOKUP(I$1,test!$A$3:$I$32,8,FALSE))-(VLOOKUP($A3,test!$A$3:$I$32,9,FALSE)),0)</f>
        <v>0</v>
      </c>
      <c r="J3">
        <f>IF(AND(SUM(VLOOKUP($A3,test!$A$3:$F$32,2,FALSE),VLOOKUP(J$1,test!$A$3:$F$32,2,FALSE))&lt;test!$K$16,$A3&lt;&gt;J$1,feasible_mat!J3=1),(VLOOKUP(J$1,test!$A$3:$I$32,8,FALSE))-(VLOOKUP($A3,test!$A$3:$I$32,9,FALSE)),0)</f>
        <v>0</v>
      </c>
      <c r="K3">
        <f>IF(AND(SUM(VLOOKUP($A3,test!$A$3:$F$32,2,FALSE),VLOOKUP(K$1,test!$A$3:$F$32,2,FALSE))&lt;test!$K$16,$A3&lt;&gt;K$1,feasible_mat!K3=1),(VLOOKUP(K$1,test!$A$3:$I$32,8,FALSE))-(VLOOKUP($A3,test!$A$3:$I$32,9,FALSE)),0)</f>
        <v>0</v>
      </c>
      <c r="L3">
        <f>IF(AND(SUM(VLOOKUP($A3,test!$A$3:$F$32,2,FALSE),VLOOKUP(L$1,test!$A$3:$F$32,2,FALSE))&lt;test!$K$16,$A3&lt;&gt;L$1,feasible_mat!L3=1),(VLOOKUP(L$1,test!$A$3:$I$32,8,FALSE))-(VLOOKUP($A3,test!$A$3:$I$32,9,FALSE)),0)</f>
        <v>0</v>
      </c>
      <c r="M3">
        <f>IF(AND(SUM(VLOOKUP($A3,test!$A$3:$F$32,2,FALSE),VLOOKUP(M$1,test!$A$3:$F$32,2,FALSE))&lt;test!$K$16,$A3&lt;&gt;M$1,feasible_mat!M3=1),(VLOOKUP(M$1,test!$A$3:$I$32,8,FALSE))-(VLOOKUP($A3,test!$A$3:$I$32,9,FALSE)),0)</f>
        <v>0</v>
      </c>
      <c r="N3">
        <f>IF(AND(SUM(VLOOKUP($A3,test!$A$3:$F$32,2,FALSE),VLOOKUP(N$1,test!$A$3:$F$32,2,FALSE))&lt;test!$K$16,$A3&lt;&gt;N$1,feasible_mat!N3=1),(VLOOKUP(N$1,test!$A$3:$I$32,8,FALSE))-(VLOOKUP($A3,test!$A$3:$I$32,9,FALSE)),0)</f>
        <v>0</v>
      </c>
      <c r="O3">
        <f>IF(AND(SUM(VLOOKUP($A3,test!$A$3:$F$32,2,FALSE),VLOOKUP(O$1,test!$A$3:$F$32,2,FALSE))&lt;test!$K$16,$A3&lt;&gt;O$1,feasible_mat!O3=1),(VLOOKUP(O$1,test!$A$3:$I$32,8,FALSE))-(VLOOKUP($A3,test!$A$3:$I$32,9,FALSE)),0)</f>
        <v>0</v>
      </c>
      <c r="P3">
        <f>IF(AND(SUM(VLOOKUP($A3,test!$A$3:$F$32,2,FALSE),VLOOKUP(P$1,test!$A$3:$F$32,2,FALSE))&lt;test!$K$16,$A3&lt;&gt;P$1,feasible_mat!P3=1),(VLOOKUP(P$1,test!$A$3:$I$32,8,FALSE))-(VLOOKUP($A3,test!$A$3:$I$32,9,FALSE)),0)</f>
        <v>0</v>
      </c>
      <c r="Q3">
        <f>IF(AND(SUM(VLOOKUP($A3,test!$A$3:$F$32,2,FALSE),VLOOKUP(Q$1,test!$A$3:$F$32,2,FALSE))&lt;test!$K$16,$A3&lt;&gt;Q$1,feasible_mat!Q3=1),(VLOOKUP(Q$1,test!$A$3:$I$32,8,FALSE))-(VLOOKUP($A3,test!$A$3:$I$32,9,FALSE)),0)</f>
        <v>0</v>
      </c>
      <c r="R3">
        <f>IF(AND(SUM(VLOOKUP($A3,test!$A$3:$F$32,2,FALSE),VLOOKUP(R$1,test!$A$3:$F$32,2,FALSE))&lt;test!$K$16,$A3&lt;&gt;R$1,feasible_mat!R3=1),(VLOOKUP(R$1,test!$A$3:$I$32,8,FALSE))-(VLOOKUP($A3,test!$A$3:$I$32,9,FALSE)),0)</f>
        <v>0</v>
      </c>
      <c r="S3">
        <f>IF(AND(SUM(VLOOKUP($A3,test!$A$3:$F$32,2,FALSE),VLOOKUP(S$1,test!$A$3:$F$32,2,FALSE))&lt;test!$K$16,$A3&lt;&gt;S$1,feasible_mat!S3=1),(VLOOKUP(S$1,test!$A$3:$I$32,8,FALSE))-(VLOOKUP($A3,test!$A$3:$I$32,9,FALSE)),0)</f>
        <v>25</v>
      </c>
      <c r="T3">
        <f>IF(AND(SUM(VLOOKUP($A3,test!$A$3:$F$32,2,FALSE),VLOOKUP(T$1,test!$A$3:$F$32,2,FALSE))&lt;test!$K$16,$A3&lt;&gt;T$1,feasible_mat!T3=1),(VLOOKUP(T$1,test!$A$3:$I$32,8,FALSE))-(VLOOKUP($A3,test!$A$3:$I$32,9,FALSE)),0)</f>
        <v>115</v>
      </c>
      <c r="U3">
        <f>IF(AND(SUM(VLOOKUP($A3,test!$A$3:$F$32,2,FALSE),VLOOKUP(U$1,test!$A$3:$F$32,2,FALSE))&lt;test!$K$16,$A3&lt;&gt;U$1,feasible_mat!U3=1),(VLOOKUP(U$1,test!$A$3:$I$32,8,FALSE))-(VLOOKUP($A3,test!$A$3:$I$32,9,FALSE)),0)</f>
        <v>205</v>
      </c>
      <c r="V3">
        <f>IF(AND(SUM(VLOOKUP($A3,test!$A$3:$F$32,2,FALSE),VLOOKUP(V$1,test!$A$3:$F$32,2,FALSE))&lt;test!$K$16,$A3&lt;&gt;V$1,feasible_mat!V3=1),(VLOOKUP(V$1,test!$A$3:$I$32,8,FALSE))-(VLOOKUP($A3,test!$A$3:$I$32,9,FALSE)),0)</f>
        <v>295</v>
      </c>
      <c r="W3">
        <f>IF(AND(SUM(VLOOKUP($A3,test!$A$3:$F$32,2,FALSE),VLOOKUP(W$1,test!$A$3:$F$32,2,FALSE))&lt;test!$K$16,$A3&lt;&gt;W$1,feasible_mat!W3=1),(VLOOKUP(W$1,test!$A$3:$I$32,8,FALSE))-(VLOOKUP($A3,test!$A$3:$I$32,9,FALSE)),0)</f>
        <v>385</v>
      </c>
      <c r="X3">
        <f>IF(AND(SUM(VLOOKUP($A3,test!$A$3:$F$32,2,FALSE),VLOOKUP(X$1,test!$A$3:$F$32,2,FALSE))&lt;test!$K$16,$A3&lt;&gt;X$1,feasible_mat!X3=1),(VLOOKUP(X$1,test!$A$3:$I$32,8,FALSE))-(VLOOKUP($A3,test!$A$3:$I$32,9,FALSE)),0)</f>
        <v>445</v>
      </c>
      <c r="Y3">
        <f>IF(AND(SUM(VLOOKUP($A3,test!$A$3:$F$32,2,FALSE),VLOOKUP(Y$1,test!$A$3:$F$32,2,FALSE))&lt;test!$K$16,$A3&lt;&gt;Y$1,feasible_mat!Y3=1),(VLOOKUP(Y$1,test!$A$3:$I$32,8,FALSE))-(VLOOKUP($A3,test!$A$3:$I$32,9,FALSE)),0)</f>
        <v>0</v>
      </c>
      <c r="Z3">
        <f>IF(AND(SUM(VLOOKUP($A3,test!$A$3:$F$32,2,FALSE),VLOOKUP(Z$1,test!$A$3:$F$32,2,FALSE))&lt;test!$K$16,$A3&lt;&gt;Z$1,feasible_mat!Z3=1),(VLOOKUP(Z$1,test!$A$3:$I$32,8,FALSE))-(VLOOKUP($A3,test!$A$3:$I$32,9,FALSE)),0)</f>
        <v>0</v>
      </c>
      <c r="AA3">
        <f>IF(AND(SUM(VLOOKUP($A3,test!$A$3:$F$32,2,FALSE),VLOOKUP(AA$1,test!$A$3:$F$32,2,FALSE))&lt;test!$K$16,$A3&lt;&gt;AA$1,feasible_mat!AA3=1),(VLOOKUP(AA$1,test!$A$3:$I$32,8,FALSE))-(VLOOKUP($A3,test!$A$3:$I$32,9,FALSE)),0)</f>
        <v>0</v>
      </c>
      <c r="AB3">
        <f>IF(AND(SUM(VLOOKUP($A3,test!$A$3:$F$32,2,FALSE),VLOOKUP(AB$1,test!$A$3:$F$32,2,FALSE))&lt;test!$K$16,$A3&lt;&gt;AB$1,feasible_mat!AB3=1),(VLOOKUP(AB$1,test!$A$3:$I$32,8,FALSE))-(VLOOKUP($A3,test!$A$3:$I$32,9,FALSE)),0)</f>
        <v>0</v>
      </c>
      <c r="AC3">
        <f>IF(AND(SUM(VLOOKUP($A3,test!$A$3:$F$32,2,FALSE),VLOOKUP(AC$1,test!$A$3:$F$32,2,FALSE))&lt;test!$K$16,$A3&lt;&gt;AC$1,feasible_mat!AC3=1),(VLOOKUP(AC$1,test!$A$3:$I$32,8,FALSE))-(VLOOKUP($A3,test!$A$3:$I$32,9,FALSE)),0)</f>
        <v>0</v>
      </c>
      <c r="AD3">
        <f>IF(AND(SUM(VLOOKUP($A3,test!$A$3:$F$32,2,FALSE),VLOOKUP(AD$1,test!$A$3:$F$32,2,FALSE))&lt;test!$K$16,$A3&lt;&gt;AD$1,feasible_mat!AD3=1),(VLOOKUP(AD$1,test!$A$3:$F$32,8,FALSE))-(VLOOKUP($A3,test!$A$3:$F$32,9,FALSE)),0)</f>
        <v>0</v>
      </c>
      <c r="AE3">
        <f>IF(AND(SUM(VLOOKUP($A3,test!$A$3:$F$32,2,FALSE),VLOOKUP(AE$1,test!$A$3:$F$32,2,FALSE))&lt;test!$K$16,$A3&lt;&gt;AE$1,feasible_mat!AE3=1),(VLOOKUP(AE$1,test!$A$3:$F$32,8,FALSE))-(VLOOKUP($A3,test!$A$3:$F$32,9,FALSE)),0)</f>
        <v>0</v>
      </c>
      <c r="AF3">
        <f>IF(AND(SUM(VLOOKUP($A3,test!$A$3:$F$32,2,FALSE),VLOOKUP(AF$1,test!$A$3:$F$32,2,FALSE))&lt;test!$K$16,$A3&lt;&gt;AF$1,feasible_mat!AF3=1),(VLOOKUP(AF$1,test!$A$3:$F$32,8,FALSE))-(VLOOKUP($A3,test!$A$3:$F$32,9,FALSE)),0)</f>
        <v>0</v>
      </c>
    </row>
    <row r="4" spans="1:36" x14ac:dyDescent="0.25">
      <c r="A4" t="s">
        <v>9</v>
      </c>
      <c r="B4">
        <v>0</v>
      </c>
      <c r="C4">
        <f>IF(AND(SUM(VLOOKUP($A4,test!$A$3:$F$32,2,FALSE),VLOOKUP(C$1,test!$A$3:$F$32,2,FALSE))&lt;test!$K$16,$A4&lt;&gt;C$1,feasible_mat!C4=1),(VLOOKUP(C$1,test!$A$3:$I$32,8,FALSE))-(VLOOKUP($A4,test!$A$3:$I$32,9,FALSE)),0)</f>
        <v>0</v>
      </c>
      <c r="D4">
        <f>IF(AND(SUM(VLOOKUP($A4,test!$A$3:$F$32,2,FALSE),VLOOKUP(D$1,test!$A$3:$F$32,2,FALSE))&lt;test!$K$16,$A4&lt;&gt;D$1,feasible_mat!D4=1),(VLOOKUP(D$1,test!$A$3:$I$32,8,FALSE))-(VLOOKUP($A4,test!$A$3:$I$32,9,FALSE)),0)</f>
        <v>0</v>
      </c>
      <c r="E4">
        <f>IF(AND(SUM(VLOOKUP($A4,test!$A$3:$F$32,2,FALSE),VLOOKUP(E$1,test!$A$3:$F$32,2,FALSE))&lt;test!$K$16,$A4&lt;&gt;E$1,feasible_mat!E4=1),(VLOOKUP(E$1,test!$A$3:$I$32,8,FALSE))-(VLOOKUP($A4,test!$A$3:$I$32,9,FALSE)),0)</f>
        <v>0</v>
      </c>
      <c r="F4">
        <f>IF(AND(SUM(VLOOKUP($A4,test!$A$3:$F$32,2,FALSE),VLOOKUP(F$1,test!$A$3:$F$32,2,FALSE))&lt;test!$K$16,$A4&lt;&gt;F$1,feasible_mat!F4=1),(VLOOKUP(F$1,test!$A$3:$I$32,8,FALSE))-(VLOOKUP($A4,test!$A$3:$I$32,9,FALSE)),0)</f>
        <v>0</v>
      </c>
      <c r="G4">
        <f>IF(AND(SUM(VLOOKUP($A4,test!$A$3:$F$32,2,FALSE),VLOOKUP(G$1,test!$A$3:$F$32,2,FALSE))&lt;test!$K$16,$A4&lt;&gt;G$1,feasible_mat!G4=1),(VLOOKUP(G$1,test!$A$3:$I$32,8,FALSE))-(VLOOKUP($A4,test!$A$3:$I$32,9,FALSE)),0)</f>
        <v>0</v>
      </c>
      <c r="H4">
        <f>IF(AND(SUM(VLOOKUP($A4,test!$A$3:$F$32,2,FALSE),VLOOKUP(H$1,test!$A$3:$F$32,2,FALSE))&lt;test!$K$16,$A4&lt;&gt;H$1,feasible_mat!H4=1),(VLOOKUP(H$1,test!$A$3:$I$32,8,FALSE))-(VLOOKUP($A4,test!$A$3:$I$32,9,FALSE)),0)</f>
        <v>0</v>
      </c>
      <c r="I4">
        <f>IF(AND(SUM(VLOOKUP($A4,test!$A$3:$F$32,2,FALSE),VLOOKUP(I$1,test!$A$3:$F$32,2,FALSE))&lt;test!$K$16,$A4&lt;&gt;I$1,feasible_mat!I4=1),(VLOOKUP(I$1,test!$A$3:$I$32,8,FALSE))-(VLOOKUP($A4,test!$A$3:$I$32,9,FALSE)),0)</f>
        <v>0</v>
      </c>
      <c r="J4">
        <f>IF(AND(SUM(VLOOKUP($A4,test!$A$3:$F$32,2,FALSE),VLOOKUP(J$1,test!$A$3:$F$32,2,FALSE))&lt;test!$K$16,$A4&lt;&gt;J$1,feasible_mat!J4=1),(VLOOKUP(J$1,test!$A$3:$I$32,8,FALSE))-(VLOOKUP($A4,test!$A$3:$I$32,9,FALSE)),0)</f>
        <v>0</v>
      </c>
      <c r="K4">
        <f>IF(AND(SUM(VLOOKUP($A4,test!$A$3:$F$32,2,FALSE),VLOOKUP(K$1,test!$A$3:$F$32,2,FALSE))&lt;test!$K$16,$A4&lt;&gt;K$1,feasible_mat!K4=1),(VLOOKUP(K$1,test!$A$3:$I$32,8,FALSE))-(VLOOKUP($A4,test!$A$3:$I$32,9,FALSE)),0)</f>
        <v>0</v>
      </c>
      <c r="L4">
        <f>IF(AND(SUM(VLOOKUP($A4,test!$A$3:$F$32,2,FALSE),VLOOKUP(L$1,test!$A$3:$F$32,2,FALSE))&lt;test!$K$16,$A4&lt;&gt;L$1,feasible_mat!L4=1),(VLOOKUP(L$1,test!$A$3:$I$32,8,FALSE))-(VLOOKUP($A4,test!$A$3:$I$32,9,FALSE)),0)</f>
        <v>0</v>
      </c>
      <c r="M4">
        <f>IF(AND(SUM(VLOOKUP($A4,test!$A$3:$F$32,2,FALSE),VLOOKUP(M$1,test!$A$3:$F$32,2,FALSE))&lt;test!$K$16,$A4&lt;&gt;M$1,feasible_mat!M4=1),(VLOOKUP(M$1,test!$A$3:$I$32,8,FALSE))-(VLOOKUP($A4,test!$A$3:$I$32,9,FALSE)),0)</f>
        <v>0</v>
      </c>
      <c r="N4">
        <f>IF(AND(SUM(VLOOKUP($A4,test!$A$3:$F$32,2,FALSE),VLOOKUP(N$1,test!$A$3:$F$32,2,FALSE))&lt;test!$K$16,$A4&lt;&gt;N$1,feasible_mat!N4=1),(VLOOKUP(N$1,test!$A$3:$I$32,8,FALSE))-(VLOOKUP($A4,test!$A$3:$I$32,9,FALSE)),0)</f>
        <v>0</v>
      </c>
      <c r="O4">
        <f>IF(AND(SUM(VLOOKUP($A4,test!$A$3:$F$32,2,FALSE),VLOOKUP(O$1,test!$A$3:$F$32,2,FALSE))&lt;test!$K$16,$A4&lt;&gt;O$1,feasible_mat!O4=1),(VLOOKUP(O$1,test!$A$3:$I$32,8,FALSE))-(VLOOKUP($A4,test!$A$3:$I$32,9,FALSE)),0)</f>
        <v>0</v>
      </c>
      <c r="P4">
        <f>IF(AND(SUM(VLOOKUP($A4,test!$A$3:$F$32,2,FALSE),VLOOKUP(P$1,test!$A$3:$F$32,2,FALSE))&lt;test!$K$16,$A4&lt;&gt;P$1,feasible_mat!P4=1),(VLOOKUP(P$1,test!$A$3:$I$32,8,FALSE))-(VLOOKUP($A4,test!$A$3:$I$32,9,FALSE)),0)</f>
        <v>0</v>
      </c>
      <c r="Q4">
        <f>IF(AND(SUM(VLOOKUP($A4,test!$A$3:$F$32,2,FALSE),VLOOKUP(Q$1,test!$A$3:$F$32,2,FALSE))&lt;test!$K$16,$A4&lt;&gt;Q$1,feasible_mat!Q4=1),(VLOOKUP(Q$1,test!$A$3:$I$32,8,FALSE))-(VLOOKUP($A4,test!$A$3:$I$32,9,FALSE)),0)</f>
        <v>0</v>
      </c>
      <c r="R4">
        <f>IF(AND(SUM(VLOOKUP($A4,test!$A$3:$F$32,2,FALSE),VLOOKUP(R$1,test!$A$3:$F$32,2,FALSE))&lt;test!$K$16,$A4&lt;&gt;R$1,feasible_mat!R4=1),(VLOOKUP(R$1,test!$A$3:$I$32,8,FALSE))-(VLOOKUP($A4,test!$A$3:$I$32,9,FALSE)),0)</f>
        <v>0</v>
      </c>
      <c r="S4">
        <f>IF(AND(SUM(VLOOKUP($A4,test!$A$3:$F$32,2,FALSE),VLOOKUP(S$1,test!$A$3:$F$32,2,FALSE))&lt;test!$K$16,$A4&lt;&gt;S$1,feasible_mat!S4=1),(VLOOKUP(S$1,test!$A$3:$I$32,8,FALSE))-(VLOOKUP($A4,test!$A$3:$I$32,9,FALSE)),0)</f>
        <v>0</v>
      </c>
      <c r="T4">
        <f>IF(AND(SUM(VLOOKUP($A4,test!$A$3:$F$32,2,FALSE),VLOOKUP(T$1,test!$A$3:$F$32,2,FALSE))&lt;test!$K$16,$A4&lt;&gt;T$1,feasible_mat!T4=1),(VLOOKUP(T$1,test!$A$3:$I$32,8,FALSE))-(VLOOKUP($A4,test!$A$3:$I$32,9,FALSE)),0)</f>
        <v>0</v>
      </c>
      <c r="U4">
        <v>25</v>
      </c>
      <c r="V4">
        <v>115</v>
      </c>
      <c r="W4">
        <v>205</v>
      </c>
      <c r="X4">
        <v>265</v>
      </c>
      <c r="Y4">
        <f>IF(AND(SUM(VLOOKUP($A4,test!$A$3:$F$32,2,FALSE),VLOOKUP(Y$1,test!$A$3:$F$32,2,FALSE))&lt;test!$K$16,$A4&lt;&gt;Y$1,feasible_mat!Y4=1),(VLOOKUP(Y$1,test!$A$3:$I$32,8,FALSE))-(VLOOKUP($A4,test!$A$3:$I$32,9,FALSE)),0)</f>
        <v>0</v>
      </c>
      <c r="Z4">
        <f>IF(AND(SUM(VLOOKUP($A4,test!$A$3:$F$32,2,FALSE),VLOOKUP(Z$1,test!$A$3:$F$32,2,FALSE))&lt;test!$K$16,$A4&lt;&gt;Z$1,feasible_mat!Z4=1),(VLOOKUP(Z$1,test!$A$3:$I$32,8,FALSE))-(VLOOKUP($A4,test!$A$3:$I$32,9,FALSE)),0)</f>
        <v>0</v>
      </c>
      <c r="AA4">
        <f>IF(AND(SUM(VLOOKUP($A4,test!$A$3:$F$32,2,FALSE),VLOOKUP(AA$1,test!$A$3:$F$32,2,FALSE))&lt;test!$K$16,$A4&lt;&gt;AA$1,feasible_mat!AA4=1),(VLOOKUP(AA$1,test!$A$3:$I$32,8,FALSE))-(VLOOKUP($A4,test!$A$3:$I$32,9,FALSE)),0)</f>
        <v>0</v>
      </c>
      <c r="AB4">
        <f>IF(AND(SUM(VLOOKUP($A4,test!$A$3:$F$32,2,FALSE),VLOOKUP(AB$1,test!$A$3:$F$32,2,FALSE))&lt;test!$K$16,$A4&lt;&gt;AB$1,feasible_mat!AB4=1),(VLOOKUP(AB$1,test!$A$3:$I$32,8,FALSE))-(VLOOKUP($A4,test!$A$3:$I$32,9,FALSE)),0)</f>
        <v>0</v>
      </c>
      <c r="AC4">
        <f>IF(AND(SUM(VLOOKUP($A4,test!$A$3:$F$32,2,FALSE),VLOOKUP(AC$1,test!$A$3:$F$32,2,FALSE))&lt;test!$K$16,$A4&lt;&gt;AC$1,feasible_mat!AC4=1),(VLOOKUP(AC$1,test!$A$3:$I$32,8,FALSE))-(VLOOKUP($A4,test!$A$3:$I$32,9,FALSE)),0)</f>
        <v>0</v>
      </c>
      <c r="AD4">
        <f>IF(AND(SUM(VLOOKUP($A4,test!$A$3:$F$32,2,FALSE),VLOOKUP(AD$1,test!$A$3:$F$32,2,FALSE))&lt;test!$K$16,$A4&lt;&gt;AD$1,feasible_mat!AD4=1),(VLOOKUP(AD$1,test!$A$3:$F$32,8,FALSE))-(VLOOKUP($A4,test!$A$3:$F$32,9,FALSE)),0)</f>
        <v>0</v>
      </c>
      <c r="AE4">
        <f>IF(AND(SUM(VLOOKUP($A4,test!$A$3:$F$32,2,FALSE),VLOOKUP(AE$1,test!$A$3:$F$32,2,FALSE))&lt;test!$K$16,$A4&lt;&gt;AE$1,feasible_mat!AE4=1),(VLOOKUP(AE$1,test!$A$3:$F$32,8,FALSE))-(VLOOKUP($A4,test!$A$3:$F$32,9,FALSE)),0)</f>
        <v>0</v>
      </c>
      <c r="AF4">
        <f>IF(AND(SUM(VLOOKUP($A4,test!$A$3:$F$32,2,FALSE),VLOOKUP(AF$1,test!$A$3:$F$32,2,FALSE))&lt;test!$K$16,$A4&lt;&gt;AF$1,feasible_mat!AF4=1),(VLOOKUP(AF$1,test!$A$3:$F$32,8,FALSE))-(VLOOKUP($A4,test!$A$3:$F$32,9,FALSE)),0)</f>
        <v>0</v>
      </c>
      <c r="AJ4" s="19" t="s">
        <v>72</v>
      </c>
    </row>
    <row r="5" spans="1:36" x14ac:dyDescent="0.25">
      <c r="A5" t="s">
        <v>10</v>
      </c>
      <c r="B5">
        <v>0</v>
      </c>
      <c r="C5">
        <f>IF(AND(SUM(VLOOKUP($A5,test!$A$3:$F$32,2,FALSE),VLOOKUP(C$1,test!$A$3:$F$32,2,FALSE))&lt;test!$K$16,$A5&lt;&gt;C$1,feasible_mat!C5=1),(VLOOKUP(C$1,test!$A$3:$I$32,8,FALSE))-(VLOOKUP($A5,test!$A$3:$I$32,9,FALSE)),0)</f>
        <v>0</v>
      </c>
      <c r="D5">
        <f>IF(AND(SUM(VLOOKUP($A5,test!$A$3:$F$32,2,FALSE),VLOOKUP(D$1,test!$A$3:$F$32,2,FALSE))&lt;test!$K$16,$A5&lt;&gt;D$1,feasible_mat!D5=1),(VLOOKUP(D$1,test!$A$3:$I$32,8,FALSE))-(VLOOKUP($A5,test!$A$3:$I$32,9,FALSE)),0)</f>
        <v>0</v>
      </c>
      <c r="E5">
        <f>IF(AND(SUM(VLOOKUP($A5,test!$A$3:$F$32,2,FALSE),VLOOKUP(E$1,test!$A$3:$F$32,2,FALSE))&lt;test!$K$16,$A5&lt;&gt;E$1,feasible_mat!E5=1),(VLOOKUP(E$1,test!$A$3:$I$32,8,FALSE))-(VLOOKUP($A5,test!$A$3:$I$32,9,FALSE)),0)</f>
        <v>0</v>
      </c>
      <c r="F5">
        <f>IF(AND(SUM(VLOOKUP($A5,test!$A$3:$F$32,2,FALSE),VLOOKUP(F$1,test!$A$3:$F$32,2,FALSE))&lt;test!$K$16,$A5&lt;&gt;F$1,feasible_mat!F5=1),(VLOOKUP(F$1,test!$A$3:$I$32,8,FALSE))-(VLOOKUP($A5,test!$A$3:$I$32,9,FALSE)),0)</f>
        <v>0</v>
      </c>
      <c r="G5">
        <f>IF(AND(SUM(VLOOKUP($A5,test!$A$3:$F$32,2,FALSE),VLOOKUP(G$1,test!$A$3:$F$32,2,FALSE))&lt;test!$K$16,$A5&lt;&gt;G$1,feasible_mat!G5=1),(VLOOKUP(G$1,test!$A$3:$I$32,8,FALSE))-(VLOOKUP($A5,test!$A$3:$I$32,9,FALSE)),0)</f>
        <v>0</v>
      </c>
      <c r="H5">
        <f>IF(AND(SUM(VLOOKUP($A5,test!$A$3:$F$32,2,FALSE),VLOOKUP(H$1,test!$A$3:$F$32,2,FALSE))&lt;test!$K$16,$A5&lt;&gt;H$1,feasible_mat!H5=1),(VLOOKUP(H$1,test!$A$3:$I$32,8,FALSE))-(VLOOKUP($A5,test!$A$3:$I$32,9,FALSE)),0)</f>
        <v>0</v>
      </c>
      <c r="I5">
        <f>IF(AND(SUM(VLOOKUP($A5,test!$A$3:$F$32,2,FALSE),VLOOKUP(I$1,test!$A$3:$F$32,2,FALSE))&lt;test!$K$16,$A5&lt;&gt;I$1,feasible_mat!I5=1),(VLOOKUP(I$1,test!$A$3:$I$32,8,FALSE))-(VLOOKUP($A5,test!$A$3:$I$32,9,FALSE)),0)</f>
        <v>0</v>
      </c>
      <c r="J5">
        <f>IF(AND(SUM(VLOOKUP($A5,test!$A$3:$F$32,2,FALSE),VLOOKUP(J$1,test!$A$3:$F$32,2,FALSE))&lt;test!$K$16,$A5&lt;&gt;J$1,feasible_mat!J5=1),(VLOOKUP(J$1,test!$A$3:$I$32,8,FALSE))-(VLOOKUP($A5,test!$A$3:$I$32,9,FALSE)),0)</f>
        <v>0</v>
      </c>
      <c r="K5">
        <f>IF(AND(SUM(VLOOKUP($A5,test!$A$3:$F$32,2,FALSE),VLOOKUP(K$1,test!$A$3:$F$32,2,FALSE))&lt;test!$K$16,$A5&lt;&gt;K$1,feasible_mat!K5=1),(VLOOKUP(K$1,test!$A$3:$I$32,8,FALSE))-(VLOOKUP($A5,test!$A$3:$I$32,9,FALSE)),0)</f>
        <v>0</v>
      </c>
      <c r="L5">
        <f>IF(AND(SUM(VLOOKUP($A5,test!$A$3:$F$32,2,FALSE),VLOOKUP(L$1,test!$A$3:$F$32,2,FALSE))&lt;test!$K$16,$A5&lt;&gt;L$1,feasible_mat!L5=1),(VLOOKUP(L$1,test!$A$3:$I$32,8,FALSE))-(VLOOKUP($A5,test!$A$3:$I$32,9,FALSE)),0)</f>
        <v>0</v>
      </c>
      <c r="M5">
        <f>IF(AND(SUM(VLOOKUP($A5,test!$A$3:$F$32,2,FALSE),VLOOKUP(M$1,test!$A$3:$F$32,2,FALSE))&lt;test!$K$16,$A5&lt;&gt;M$1,feasible_mat!M5=1),(VLOOKUP(M$1,test!$A$3:$I$32,8,FALSE))-(VLOOKUP($A5,test!$A$3:$I$32,9,FALSE)),0)</f>
        <v>0</v>
      </c>
      <c r="N5">
        <f>IF(AND(SUM(VLOOKUP($A5,test!$A$3:$F$32,2,FALSE),VLOOKUP(N$1,test!$A$3:$F$32,2,FALSE))&lt;test!$K$16,$A5&lt;&gt;N$1,feasible_mat!N5=1),(VLOOKUP(N$1,test!$A$3:$I$32,8,FALSE))-(VLOOKUP($A5,test!$A$3:$I$32,9,FALSE)),0)</f>
        <v>0</v>
      </c>
      <c r="O5">
        <f>IF(AND(SUM(VLOOKUP($A5,test!$A$3:$F$32,2,FALSE),VLOOKUP(O$1,test!$A$3:$F$32,2,FALSE))&lt;test!$K$16,$A5&lt;&gt;O$1,feasible_mat!O5=1),(VLOOKUP(O$1,test!$A$3:$I$32,8,FALSE))-(VLOOKUP($A5,test!$A$3:$I$32,9,FALSE)),0)</f>
        <v>0</v>
      </c>
      <c r="P5">
        <f>IF(AND(SUM(VLOOKUP($A5,test!$A$3:$F$32,2,FALSE),VLOOKUP(P$1,test!$A$3:$F$32,2,FALSE))&lt;test!$K$16,$A5&lt;&gt;P$1,feasible_mat!P5=1),(VLOOKUP(P$1,test!$A$3:$I$32,8,FALSE))-(VLOOKUP($A5,test!$A$3:$I$32,9,FALSE)),0)</f>
        <v>0</v>
      </c>
      <c r="Q5">
        <f>IF(AND(SUM(VLOOKUP($A5,test!$A$3:$F$32,2,FALSE),VLOOKUP(Q$1,test!$A$3:$F$32,2,FALSE))&lt;test!$K$16,$A5&lt;&gt;Q$1,feasible_mat!Q5=1),(VLOOKUP(Q$1,test!$A$3:$I$32,8,FALSE))-(VLOOKUP($A5,test!$A$3:$I$32,9,FALSE)),0)</f>
        <v>0</v>
      </c>
      <c r="R5">
        <f>IF(AND(SUM(VLOOKUP($A5,test!$A$3:$F$32,2,FALSE),VLOOKUP(R$1,test!$A$3:$F$32,2,FALSE))&lt;test!$K$16,$A5&lt;&gt;R$1,feasible_mat!R5=1),(VLOOKUP(R$1,test!$A$3:$I$32,8,FALSE))-(VLOOKUP($A5,test!$A$3:$I$32,9,FALSE)),0)</f>
        <v>0</v>
      </c>
      <c r="S5">
        <f>IF(AND(SUM(VLOOKUP($A5,test!$A$3:$F$32,2,FALSE),VLOOKUP(S$1,test!$A$3:$F$32,2,FALSE))&lt;test!$K$16,$A5&lt;&gt;S$1,feasible_mat!S5=1),(VLOOKUP(S$1,test!$A$3:$I$32,8,FALSE))-(VLOOKUP($A5,test!$A$3:$I$32,9,FALSE)),0)</f>
        <v>0</v>
      </c>
      <c r="T5">
        <f>IF(AND(SUM(VLOOKUP($A5,test!$A$3:$F$32,2,FALSE),VLOOKUP(T$1,test!$A$3:$F$32,2,FALSE))&lt;test!$K$16,$A5&lt;&gt;T$1,feasible_mat!T5=1),(VLOOKUP(T$1,test!$A$3:$I$32,8,FALSE))-(VLOOKUP($A5,test!$A$3:$I$32,9,FALSE)),0)</f>
        <v>0</v>
      </c>
      <c r="U5">
        <f>IF(AND(SUM(VLOOKUP($A5,test!$A$3:$F$32,2,FALSE),VLOOKUP(U$1,test!$A$3:$F$32,2,FALSE))&lt;test!$K$16,$A5&lt;&gt;U$1,feasible_mat!U5=1),(VLOOKUP(U$1,test!$A$3:$I$32,8,FALSE))-(VLOOKUP($A5,test!$A$3:$I$32,9,FALSE)),0)</f>
        <v>0</v>
      </c>
      <c r="V5">
        <f>VLOOKUP(V$1,test!$A$3:$I$32,8,FALSE)-VLOOKUP($A5,test!$A$3:$I$32,9,FALSE)</f>
        <v>25</v>
      </c>
      <c r="W5">
        <f>IF(AND(SUM(VLOOKUP($A5,test!$A$3:$F$32,2,FALSE),VLOOKUP(W$1,test!$A$3:$F$32,2,FALSE))&lt;test!$K$16,$A5&lt;&gt;W$1,feasible_mat!W5=1),VLOOKUP(W$1,test!$A$3:$I$32,8,FALSE)-VLOOKUP($A5,test!$A$3:$I$32,9,FALSE),0)</f>
        <v>115</v>
      </c>
      <c r="X5">
        <f>IF(AND(SUM(VLOOKUP($A5,test!$A$3:$F$32,2,FALSE),VLOOKUP(X$1,test!$A$3:$F$32,2,FALSE))&lt;test!$K$16,$A5&lt;&gt;X$1,feasible_mat!X5=1),VLOOKUP(X$1,test!$A$3:$I$32,8,FALSE)-VLOOKUP($A5,test!$A$3:$I$32,9,FALSE),0)</f>
        <v>175</v>
      </c>
      <c r="Y5">
        <f>IF(AND(SUM(VLOOKUP($A5,test!$A$3:$F$32,2,FALSE),VLOOKUP(Y$1,test!$A$3:$F$32,2,FALSE))&lt;test!$K$16,$A5&lt;&gt;Y$1,feasible_mat!Y5=1),(VLOOKUP(Y$1,test!$A$3:$I$32,8,FALSE))-(VLOOKUP($A5,test!$A$3:$I$32,9,FALSE)),0)</f>
        <v>0</v>
      </c>
      <c r="Z5">
        <f>IF(AND(SUM(VLOOKUP($A5,test!$A$3:$F$32,2,FALSE),VLOOKUP(Z$1,test!$A$3:$F$32,2,FALSE))&lt;test!$K$16,$A5&lt;&gt;Z$1,feasible_mat!Z5=1),(VLOOKUP(Z$1,test!$A$3:$I$32,8,FALSE))-(VLOOKUP($A5,test!$A$3:$I$32,9,FALSE)),0)</f>
        <v>0</v>
      </c>
      <c r="AA5">
        <f>IF(AND(SUM(VLOOKUP($A5,test!$A$3:$F$32,2,FALSE),VLOOKUP(AA$1,test!$A$3:$F$32,2,FALSE))&lt;test!$K$16,$A5&lt;&gt;AA$1,feasible_mat!AA5=1),(VLOOKUP(AA$1,test!$A$3:$I$32,8,FALSE))-(VLOOKUP($A5,test!$A$3:$I$32,9,FALSE)),0)</f>
        <v>0</v>
      </c>
      <c r="AB5">
        <f>IF(AND(SUM(VLOOKUP($A5,test!$A$3:$F$32,2,FALSE),VLOOKUP(AB$1,test!$A$3:$F$32,2,FALSE))&lt;test!$K$16,$A5&lt;&gt;AB$1,feasible_mat!AB5=1),(VLOOKUP(AB$1,test!$A$3:$I$32,8,FALSE))-(VLOOKUP($A5,test!$A$3:$I$32,9,FALSE)),0)</f>
        <v>0</v>
      </c>
      <c r="AC5">
        <f>IF(AND(SUM(VLOOKUP($A5,test!$A$3:$F$32,2,FALSE),VLOOKUP(AC$1,test!$A$3:$F$32,2,FALSE))&lt;test!$K$16,$A5&lt;&gt;AC$1,feasible_mat!AC5=1),(VLOOKUP(AC$1,test!$A$3:$I$32,8,FALSE))-(VLOOKUP($A5,test!$A$3:$I$32,9,FALSE)),0)</f>
        <v>0</v>
      </c>
      <c r="AD5">
        <f>IF(AND(SUM(VLOOKUP($A5,test!$A$3:$F$32,2,FALSE),VLOOKUP(AD$1,test!$A$3:$F$32,2,FALSE))&lt;test!$K$16,$A5&lt;&gt;AD$1,feasible_mat!AD5=1),(VLOOKUP(AD$1,test!$A$3:$F$32,8,FALSE))-(VLOOKUP($A5,test!$A$3:$F$32,9,FALSE)),0)</f>
        <v>0</v>
      </c>
      <c r="AE5">
        <f>IF(AND(SUM(VLOOKUP($A5,test!$A$3:$F$32,2,FALSE),VLOOKUP(AE$1,test!$A$3:$F$32,2,FALSE))&lt;test!$K$16,$A5&lt;&gt;AE$1,feasible_mat!AE5=1),(VLOOKUP(AE$1,test!$A$3:$F$32,8,FALSE))-(VLOOKUP($A5,test!$A$3:$F$32,9,FALSE)),0)</f>
        <v>0</v>
      </c>
      <c r="AF5">
        <f>IF(AND(SUM(VLOOKUP($A5,test!$A$3:$F$32,2,FALSE),VLOOKUP(AF$1,test!$A$3:$F$32,2,FALSE))&lt;test!$K$16,$A5&lt;&gt;AF$1,feasible_mat!AF5=1),(VLOOKUP(AF$1,test!$A$3:$F$32,8,FALSE))-(VLOOKUP($A5,test!$A$3:$F$32,9,FALSE)),0)</f>
        <v>0</v>
      </c>
    </row>
    <row r="6" spans="1:36" x14ac:dyDescent="0.25">
      <c r="A6" t="s">
        <v>11</v>
      </c>
      <c r="B6">
        <v>0</v>
      </c>
      <c r="C6">
        <f>IF(AND(SUM(VLOOKUP($A6,test!$A$3:$F$32,2,FALSE),VLOOKUP(C$1,test!$A$3:$F$32,2,FALSE))&lt;test!$K$16,$A6&lt;&gt;C$1,feasible_mat!C6=1),(VLOOKUP(C$1,test!$A$3:$I$32,8,FALSE))-(VLOOKUP($A6,test!$A$3:$I$32,9,FALSE)),0)</f>
        <v>0</v>
      </c>
      <c r="D6">
        <f>IF(AND(SUM(VLOOKUP($A6,test!$A$3:$F$32,2,FALSE),VLOOKUP(D$1,test!$A$3:$F$32,2,FALSE))&lt;test!$K$16,$A6&lt;&gt;D$1,feasible_mat!D6=1),(VLOOKUP(D$1,test!$A$3:$I$32,8,FALSE))-(VLOOKUP($A6,test!$A$3:$I$32,9,FALSE)),0)</f>
        <v>0</v>
      </c>
      <c r="E6">
        <f>IF(AND(SUM(VLOOKUP($A6,test!$A$3:$F$32,2,FALSE),VLOOKUP(E$1,test!$A$3:$F$32,2,FALSE))&lt;test!$K$16,$A6&lt;&gt;E$1,feasible_mat!E6=1),(VLOOKUP(E$1,test!$A$3:$I$32,8,FALSE))-(VLOOKUP($A6,test!$A$3:$I$32,9,FALSE)),0)</f>
        <v>0</v>
      </c>
      <c r="F6">
        <f>IF(AND(SUM(VLOOKUP($A6,test!$A$3:$F$32,2,FALSE),VLOOKUP(F$1,test!$A$3:$F$32,2,FALSE))&lt;test!$K$16,$A6&lt;&gt;F$1,feasible_mat!F6=1),(VLOOKUP(F$1,test!$A$3:$I$32,8,FALSE))-(VLOOKUP($A6,test!$A$3:$I$32,9,FALSE)),0)</f>
        <v>0</v>
      </c>
      <c r="G6">
        <f>IF(AND(SUM(VLOOKUP($A6,test!$A$3:$F$32,2,FALSE),VLOOKUP(G$1,test!$A$3:$F$32,2,FALSE))&lt;test!$K$16,$A6&lt;&gt;G$1,feasible_mat!G6=1),(VLOOKUP(G$1,test!$A$3:$I$32,8,FALSE))-(VLOOKUP($A6,test!$A$3:$I$32,9,FALSE)),0)</f>
        <v>0</v>
      </c>
      <c r="H6">
        <f>IF(AND(SUM(VLOOKUP($A6,test!$A$3:$F$32,2,FALSE),VLOOKUP(H$1,test!$A$3:$F$32,2,FALSE))&lt;test!$K$16,$A6&lt;&gt;H$1,feasible_mat!H6=1),(VLOOKUP(H$1,test!$A$3:$I$32,8,FALSE))-(VLOOKUP($A6,test!$A$3:$I$32,9,FALSE)),0)</f>
        <v>0</v>
      </c>
      <c r="I6">
        <f>IF(AND(SUM(VLOOKUP($A6,test!$A$3:$F$32,2,FALSE),VLOOKUP(I$1,test!$A$3:$F$32,2,FALSE))&lt;test!$K$16,$A6&lt;&gt;I$1,feasible_mat!I6=1),(VLOOKUP(I$1,test!$A$3:$I$32,8,FALSE))-(VLOOKUP($A6,test!$A$3:$I$32,9,FALSE)),0)</f>
        <v>0</v>
      </c>
      <c r="J6">
        <f>IF(AND(SUM(VLOOKUP($A6,test!$A$3:$F$32,2,FALSE),VLOOKUP(J$1,test!$A$3:$F$32,2,FALSE))&lt;test!$K$16,$A6&lt;&gt;J$1,feasible_mat!J6=1),(VLOOKUP(J$1,test!$A$3:$I$32,8,FALSE))-(VLOOKUP($A6,test!$A$3:$I$32,9,FALSE)),0)</f>
        <v>0</v>
      </c>
      <c r="K6">
        <f>IF(AND(SUM(VLOOKUP($A6,test!$A$3:$F$32,2,FALSE),VLOOKUP(K$1,test!$A$3:$F$32,2,FALSE))&lt;test!$K$16,$A6&lt;&gt;K$1,feasible_mat!K6=1),(VLOOKUP(K$1,test!$A$3:$I$32,8,FALSE))-(VLOOKUP($A6,test!$A$3:$I$32,9,FALSE)),0)</f>
        <v>0</v>
      </c>
      <c r="L6">
        <f>IF(AND(SUM(VLOOKUP($A6,test!$A$3:$F$32,2,FALSE),VLOOKUP(L$1,test!$A$3:$F$32,2,FALSE))&lt;test!$K$16,$A6&lt;&gt;L$1,feasible_mat!L6=1),(VLOOKUP(L$1,test!$A$3:$I$32,8,FALSE))-(VLOOKUP($A6,test!$A$3:$I$32,9,FALSE)),0)</f>
        <v>0</v>
      </c>
      <c r="M6">
        <f>IF(AND(SUM(VLOOKUP($A6,test!$A$3:$F$32,2,FALSE),VLOOKUP(M$1,test!$A$3:$F$32,2,FALSE))&lt;test!$K$16,$A6&lt;&gt;M$1,feasible_mat!M6=1),(VLOOKUP(M$1,test!$A$3:$I$32,8,FALSE))-(VLOOKUP($A6,test!$A$3:$I$32,9,FALSE)),0)</f>
        <v>0</v>
      </c>
      <c r="N6">
        <f>IF(AND(SUM(VLOOKUP($A6,test!$A$3:$F$32,2,FALSE),VLOOKUP(N$1,test!$A$3:$F$32,2,FALSE))&lt;test!$K$16,$A6&lt;&gt;N$1,feasible_mat!N6=1),(VLOOKUP(N$1,test!$A$3:$I$32,8,FALSE))-(VLOOKUP($A6,test!$A$3:$I$32,9,FALSE)),0)</f>
        <v>0</v>
      </c>
      <c r="O6">
        <f>IF(AND(SUM(VLOOKUP($A6,test!$A$3:$F$32,2,FALSE),VLOOKUP(O$1,test!$A$3:$F$32,2,FALSE))&lt;test!$K$16,$A6&lt;&gt;O$1,feasible_mat!O6=1),(VLOOKUP(O$1,test!$A$3:$I$32,8,FALSE))-(VLOOKUP($A6,test!$A$3:$I$32,9,FALSE)),0)</f>
        <v>0</v>
      </c>
      <c r="P6">
        <f>IF(AND(SUM(VLOOKUP($A6,test!$A$3:$F$32,2,FALSE),VLOOKUP(P$1,test!$A$3:$F$32,2,FALSE))&lt;test!$K$16,$A6&lt;&gt;P$1,feasible_mat!P6=1),(VLOOKUP(P$1,test!$A$3:$I$32,8,FALSE))-(VLOOKUP($A6,test!$A$3:$I$32,9,FALSE)),0)</f>
        <v>0</v>
      </c>
      <c r="Q6">
        <f>IF(AND(SUM(VLOOKUP($A6,test!$A$3:$F$32,2,FALSE),VLOOKUP(Q$1,test!$A$3:$F$32,2,FALSE))&lt;test!$K$16,$A6&lt;&gt;Q$1,feasible_mat!Q6=1),(VLOOKUP(Q$1,test!$A$3:$I$32,8,FALSE))-(VLOOKUP($A6,test!$A$3:$I$32,9,FALSE)),0)</f>
        <v>0</v>
      </c>
      <c r="R6">
        <f>IF(AND(SUM(VLOOKUP($A6,test!$A$3:$F$32,2,FALSE),VLOOKUP(R$1,test!$A$3:$F$32,2,FALSE))&lt;test!$K$16,$A6&lt;&gt;R$1,feasible_mat!R6=1),(VLOOKUP(R$1,test!$A$3:$I$32,8,FALSE))-(VLOOKUP($A6,test!$A$3:$I$32,9,FALSE)),0)</f>
        <v>0</v>
      </c>
      <c r="S6">
        <f>IF(AND(SUM(VLOOKUP($A6,test!$A$3:$F$32,2,FALSE),VLOOKUP(S$1,test!$A$3:$F$32,2,FALSE))&lt;test!$K$16,$A6&lt;&gt;S$1,feasible_mat!S6=1),(VLOOKUP(S$1,test!$A$3:$I$32,8,FALSE))-(VLOOKUP($A6,test!$A$3:$I$32,9,FALSE)),0)</f>
        <v>0</v>
      </c>
      <c r="T6">
        <f>IF(AND(SUM(VLOOKUP($A6,test!$A$3:$F$32,2,FALSE),VLOOKUP(T$1,test!$A$3:$F$32,2,FALSE))&lt;test!$K$16,$A6&lt;&gt;T$1,feasible_mat!T6=1),(VLOOKUP(T$1,test!$A$3:$I$32,8,FALSE))-(VLOOKUP($A6,test!$A$3:$I$32,9,FALSE)),0)</f>
        <v>0</v>
      </c>
      <c r="U6">
        <f>IF(AND(SUM(VLOOKUP($A6,test!$A$3:$F$32,2,FALSE),VLOOKUP(U$1,test!$A$3:$F$32,2,FALSE))&lt;test!$K$16,$A6&lt;&gt;U$1,feasible_mat!U6=1),(VLOOKUP(U$1,test!$A$3:$I$32,8,FALSE))-(VLOOKUP($A6,test!$A$3:$I$32,9,FALSE)),0)</f>
        <v>0</v>
      </c>
      <c r="V6">
        <f>IF(AND(SUM(VLOOKUP($A6,test!$A$3:$F$32,2,FALSE),VLOOKUP(V$1,test!$A$3:$F$32,2,FALSE))&lt;test!$K$16,$A6&lt;&gt;V$1,feasible_mat!V6=1),VLOOKUP(V$1,test!$A$3:$I$32,8,FALSE)-VLOOKUP($A6,test!$A$3:$I$32,9,FALSE),0)</f>
        <v>0</v>
      </c>
      <c r="W6">
        <f>IF(AND(SUM(VLOOKUP($A6,test!$A$3:$F$32,2,FALSE),VLOOKUP(W$1,test!$A$3:$F$32,2,FALSE))&lt;test!$K$16,$A6&lt;&gt;W$1,feasible_mat!W6=1),VLOOKUP(W$1,test!$A$3:$I$32,8,FALSE)-VLOOKUP($A6,test!$A$3:$I$32,9,FALSE),0)</f>
        <v>25</v>
      </c>
      <c r="X6">
        <f>IF(AND(SUM(VLOOKUP($A6,test!$A$3:$F$32,2,FALSE),VLOOKUP(X$1,test!$A$3:$F$32,2,FALSE))&lt;test!$K$16,$A6&lt;&gt;X$1,feasible_mat!X6=1),VLOOKUP(X$1,test!$A$3:$I$32,8,FALSE)-VLOOKUP($A6,test!$A$3:$I$32,9,FALSE),0)</f>
        <v>85</v>
      </c>
      <c r="Y6">
        <f>IF(AND(SUM(VLOOKUP($A6,test!$A$3:$F$32,2,FALSE),VLOOKUP(Y$1,test!$A$3:$F$32,2,FALSE))&lt;test!$K$16,$A6&lt;&gt;Y$1,feasible_mat!Y6=1),(VLOOKUP(Y$1,test!$A$3:$I$32,8,FALSE))-(VLOOKUP($A6,test!$A$3:$I$32,9,FALSE)),0)</f>
        <v>0</v>
      </c>
      <c r="Z6">
        <f>IF(AND(SUM(VLOOKUP($A6,test!$A$3:$F$32,2,FALSE),VLOOKUP(Z$1,test!$A$3:$F$32,2,FALSE))&lt;test!$K$16,$A6&lt;&gt;Z$1,feasible_mat!Z6=1),(VLOOKUP(Z$1,test!$A$3:$I$32,8,FALSE))-(VLOOKUP($A6,test!$A$3:$I$32,9,FALSE)),0)</f>
        <v>0</v>
      </c>
      <c r="AA6">
        <f>IF(AND(SUM(VLOOKUP($A6,test!$A$3:$F$32,2,FALSE),VLOOKUP(AA$1,test!$A$3:$F$32,2,FALSE))&lt;test!$K$16,$A6&lt;&gt;AA$1,feasible_mat!AA6=1),(VLOOKUP(AA$1,test!$A$3:$I$32,8,FALSE))-(VLOOKUP($A6,test!$A$3:$I$32,9,FALSE)),0)</f>
        <v>0</v>
      </c>
      <c r="AB6">
        <f>IF(AND(SUM(VLOOKUP($A6,test!$A$3:$F$32,2,FALSE),VLOOKUP(AB$1,test!$A$3:$F$32,2,FALSE))&lt;test!$K$16,$A6&lt;&gt;AB$1,feasible_mat!AB6=1),(VLOOKUP(AB$1,test!$A$3:$I$32,8,FALSE))-(VLOOKUP($A6,test!$A$3:$I$32,9,FALSE)),0)</f>
        <v>0</v>
      </c>
      <c r="AC6">
        <f>IF(AND(SUM(VLOOKUP($A6,test!$A$3:$F$32,2,FALSE),VLOOKUP(AC$1,test!$A$3:$F$32,2,FALSE))&lt;test!$K$16,$A6&lt;&gt;AC$1,feasible_mat!AC6=1),(VLOOKUP(AC$1,test!$A$3:$I$32,8,FALSE))-(VLOOKUP($A6,test!$A$3:$I$32,9,FALSE)),0)</f>
        <v>0</v>
      </c>
      <c r="AD6">
        <f>IF(AND(SUM(VLOOKUP($A6,test!$A$3:$F$32,2,FALSE),VLOOKUP(AD$1,test!$A$3:$F$32,2,FALSE))&lt;test!$K$16,$A6&lt;&gt;AD$1,feasible_mat!AD6=1),(VLOOKUP(AD$1,test!$A$3:$F$32,8,FALSE))-(VLOOKUP($A6,test!$A$3:$F$32,9,FALSE)),0)</f>
        <v>0</v>
      </c>
      <c r="AE6">
        <f>IF(AND(SUM(VLOOKUP($A6,test!$A$3:$F$32,2,FALSE),VLOOKUP(AE$1,test!$A$3:$F$32,2,FALSE))&lt;test!$K$16,$A6&lt;&gt;AE$1,feasible_mat!AE6=1),(VLOOKUP(AE$1,test!$A$3:$F$32,8,FALSE))-(VLOOKUP($A6,test!$A$3:$F$32,9,FALSE)),0)</f>
        <v>0</v>
      </c>
      <c r="AF6">
        <f>IF(AND(SUM(VLOOKUP($A6,test!$A$3:$F$32,2,FALSE),VLOOKUP(AF$1,test!$A$3:$F$32,2,FALSE))&lt;test!$K$16,$A6&lt;&gt;AF$1,feasible_mat!AF6=1),(VLOOKUP(AF$1,test!$A$3:$F$32,8,FALSE))-(VLOOKUP($A6,test!$A$3:$F$32,9,FALSE)),0)</f>
        <v>0</v>
      </c>
    </row>
    <row r="7" spans="1:36" x14ac:dyDescent="0.25">
      <c r="A7" t="s">
        <v>12</v>
      </c>
      <c r="B7">
        <v>0</v>
      </c>
      <c r="C7">
        <f>IF(AND(SUM(VLOOKUP($A7,test!$A$3:$F$32,2,FALSE),VLOOKUP(C$1,test!$A$3:$F$32,2,FALSE))&lt;test!$K$16,$A7&lt;&gt;C$1,feasible_mat!C7=1),(VLOOKUP(C$1,test!$A$3:$I$32,8,FALSE))-(VLOOKUP($A7,test!$A$3:$I$32,9,FALSE)),0)</f>
        <v>0</v>
      </c>
      <c r="D7">
        <f>IF(AND(SUM(VLOOKUP($A7,test!$A$3:$F$32,2,FALSE),VLOOKUP(D$1,test!$A$3:$F$32,2,FALSE))&lt;test!$K$16,$A7&lt;&gt;D$1,feasible_mat!D7=1),(VLOOKUP(D$1,test!$A$3:$I$32,8,FALSE))-(VLOOKUP($A7,test!$A$3:$I$32,9,FALSE)),0)</f>
        <v>0</v>
      </c>
      <c r="E7">
        <f>IF(AND(SUM(VLOOKUP($A7,test!$A$3:$F$32,2,FALSE),VLOOKUP(E$1,test!$A$3:$F$32,2,FALSE))&lt;test!$K$16,$A7&lt;&gt;E$1,feasible_mat!E7=1),(VLOOKUP(E$1,test!$A$3:$I$32,8,FALSE))-(VLOOKUP($A7,test!$A$3:$I$32,9,FALSE)),0)</f>
        <v>0</v>
      </c>
      <c r="F7">
        <f>IF(AND(SUM(VLOOKUP($A7,test!$A$3:$F$32,2,FALSE),VLOOKUP(F$1,test!$A$3:$F$32,2,FALSE))&lt;test!$K$16,$A7&lt;&gt;F$1,feasible_mat!F7=1),(VLOOKUP(F$1,test!$A$3:$I$32,8,FALSE))-(VLOOKUP($A7,test!$A$3:$I$32,9,FALSE)),0)</f>
        <v>0</v>
      </c>
      <c r="G7">
        <f>IF(AND(SUM(VLOOKUP($A7,test!$A$3:$F$32,2,FALSE),VLOOKUP(G$1,test!$A$3:$F$32,2,FALSE))&lt;test!$K$16,$A7&lt;&gt;G$1,feasible_mat!G7=1),(VLOOKUP(G$1,test!$A$3:$I$32,8,FALSE))-(VLOOKUP($A7,test!$A$3:$I$32,9,FALSE)),0)</f>
        <v>0</v>
      </c>
      <c r="H7">
        <f>IF(AND(SUM(VLOOKUP($A7,test!$A$3:$F$32,2,FALSE),VLOOKUP(H$1,test!$A$3:$F$32,2,FALSE))&lt;test!$K$16,$A7&lt;&gt;H$1,feasible_mat!H7=1),(VLOOKUP(H$1,test!$A$3:$I$32,8,FALSE))-(VLOOKUP($A7,test!$A$3:$I$32,9,FALSE)),0)</f>
        <v>0</v>
      </c>
      <c r="I7">
        <f>IF(AND(SUM(VLOOKUP($A7,test!$A$3:$F$32,2,FALSE),VLOOKUP(I$1,test!$A$3:$F$32,2,FALSE))&lt;test!$K$16,$A7&lt;&gt;I$1,feasible_mat!I7=1),(VLOOKUP(I$1,test!$A$3:$I$32,8,FALSE))-(VLOOKUP($A7,test!$A$3:$I$32,9,FALSE)),0)</f>
        <v>0</v>
      </c>
      <c r="J7">
        <f>IF(AND(SUM(VLOOKUP($A7,test!$A$3:$F$32,2,FALSE),VLOOKUP(J$1,test!$A$3:$F$32,2,FALSE))&lt;test!$K$16,$A7&lt;&gt;J$1,feasible_mat!J7=1),(VLOOKUP(J$1,test!$A$3:$I$32,8,FALSE))-(VLOOKUP($A7,test!$A$3:$I$32,9,FALSE)),0)</f>
        <v>0</v>
      </c>
      <c r="K7">
        <f>IF(AND(SUM(VLOOKUP($A7,test!$A$3:$F$32,2,FALSE),VLOOKUP(K$1,test!$A$3:$F$32,2,FALSE))&lt;test!$K$16,$A7&lt;&gt;K$1,feasible_mat!K7=1),(VLOOKUP(K$1,test!$A$3:$I$32,8,FALSE))-(VLOOKUP($A7,test!$A$3:$I$32,9,FALSE)),0)</f>
        <v>0</v>
      </c>
      <c r="L7">
        <f>IF(AND(SUM(VLOOKUP($A7,test!$A$3:$F$32,2,FALSE),VLOOKUP(L$1,test!$A$3:$F$32,2,FALSE))&lt;test!$K$16,$A7&lt;&gt;L$1,feasible_mat!L7=1),(VLOOKUP(L$1,test!$A$3:$I$32,8,FALSE))-(VLOOKUP($A7,test!$A$3:$I$32,9,FALSE)),0)</f>
        <v>0</v>
      </c>
      <c r="M7">
        <f>IF(AND(SUM(VLOOKUP($A7,test!$A$3:$F$32,2,FALSE),VLOOKUP(M$1,test!$A$3:$F$32,2,FALSE))&lt;test!$K$16,$A7&lt;&gt;M$1,feasible_mat!M7=1),(VLOOKUP(M$1,test!$A$3:$I$32,8,FALSE))-(VLOOKUP($A7,test!$A$3:$I$32,9,FALSE)),0)</f>
        <v>0</v>
      </c>
      <c r="N7">
        <f>IF(AND(SUM(VLOOKUP($A7,test!$A$3:$F$32,2,FALSE),VLOOKUP(N$1,test!$A$3:$F$32,2,FALSE))&lt;test!$K$16,$A7&lt;&gt;N$1,feasible_mat!N7=1),(VLOOKUP(N$1,test!$A$3:$I$32,8,FALSE))-(VLOOKUP($A7,test!$A$3:$I$32,9,FALSE)),0)</f>
        <v>0</v>
      </c>
      <c r="O7">
        <f>IF(AND(SUM(VLOOKUP($A7,test!$A$3:$F$32,2,FALSE),VLOOKUP(O$1,test!$A$3:$F$32,2,FALSE))&lt;test!$K$16,$A7&lt;&gt;O$1,feasible_mat!O7=1),(VLOOKUP(O$1,test!$A$3:$I$32,8,FALSE))-(VLOOKUP($A7,test!$A$3:$I$32,9,FALSE)),0)</f>
        <v>0</v>
      </c>
      <c r="P7">
        <f>IF(AND(SUM(VLOOKUP($A7,test!$A$3:$F$32,2,FALSE),VLOOKUP(P$1,test!$A$3:$F$32,2,FALSE))&lt;test!$K$16,$A7&lt;&gt;P$1,feasible_mat!P7=1),(VLOOKUP(P$1,test!$A$3:$I$32,8,FALSE))-(VLOOKUP($A7,test!$A$3:$I$32,9,FALSE)),0)</f>
        <v>0</v>
      </c>
      <c r="Q7">
        <f>IF(AND(SUM(VLOOKUP($A7,test!$A$3:$F$32,2,FALSE),VLOOKUP(Q$1,test!$A$3:$F$32,2,FALSE))&lt;test!$K$16,$A7&lt;&gt;Q$1,feasible_mat!Q7=1),(VLOOKUP(Q$1,test!$A$3:$I$32,8,FALSE))-(VLOOKUP($A7,test!$A$3:$I$32,9,FALSE)),0)</f>
        <v>0</v>
      </c>
      <c r="R7">
        <f>IF(AND(SUM(VLOOKUP($A7,test!$A$3:$F$32,2,FALSE),VLOOKUP(R$1,test!$A$3:$F$32,2,FALSE))&lt;test!$K$16,$A7&lt;&gt;R$1,feasible_mat!R7=1),(VLOOKUP(R$1,test!$A$3:$I$32,8,FALSE))-(VLOOKUP($A7,test!$A$3:$I$32,9,FALSE)),0)</f>
        <v>0</v>
      </c>
      <c r="S7">
        <f>IF(AND(SUM(VLOOKUP($A7,test!$A$3:$F$32,2,FALSE),VLOOKUP(S$1,test!$A$3:$F$32,2,FALSE))&lt;test!$K$16,$A7&lt;&gt;S$1,feasible_mat!S7=1),(VLOOKUP(S$1,test!$A$3:$I$32,8,FALSE))-(VLOOKUP($A7,test!$A$3:$I$32,9,FALSE)),0)</f>
        <v>0</v>
      </c>
      <c r="T7">
        <f>IF(AND(SUM(VLOOKUP($A7,test!$A$3:$F$32,2,FALSE),VLOOKUP(T$1,test!$A$3:$F$32,2,FALSE))&lt;test!$K$16,$A7&lt;&gt;T$1,feasible_mat!T7=1),(VLOOKUP(T$1,test!$A$3:$I$32,8,FALSE))-(VLOOKUP($A7,test!$A$3:$I$32,9,FALSE)),0)</f>
        <v>0</v>
      </c>
      <c r="U7">
        <f>IF(AND(SUM(VLOOKUP($A7,test!$A$3:$F$32,2,FALSE),VLOOKUP(U$1,test!$A$3:$F$32,2,FALSE))&lt;test!$K$16,$A7&lt;&gt;U$1,feasible_mat!U7=1),(VLOOKUP(U$1,test!$A$3:$I$32,8,FALSE))-(VLOOKUP($A7,test!$A$3:$I$32,9,FALSE)),0)</f>
        <v>0</v>
      </c>
      <c r="V7">
        <f>IF(AND(SUM(VLOOKUP($A7,test!$A$3:$F$32,2,FALSE),VLOOKUP(V$1,test!$A$3:$F$32,2,FALSE))&lt;test!$K$16,$A7&lt;&gt;V$1,feasible_mat!V7=1),(VLOOKUP(V$1,test!$A$3:$I$32,8,FALSE))-(VLOOKUP($A7,test!$A$3:$I$32,9,FALSE)),0)</f>
        <v>0</v>
      </c>
      <c r="W7">
        <f>IF(AND(SUM(VLOOKUP($A7,test!$A$3:$F$32,2,FALSE),VLOOKUP(W$1,test!$A$3:$F$32,2,FALSE))&lt;test!$K$16,$A7&lt;&gt;W$1,feasible_mat!W7=1),(VLOOKUP(W$1,test!$A$3:$I$32,8,FALSE))-(VLOOKUP($A7,test!$A$3:$I$32,9,FALSE)),0)</f>
        <v>0</v>
      </c>
      <c r="X7">
        <f>IF(AND(SUM(VLOOKUP($A7,test!$A$3:$F$32,2,FALSE),VLOOKUP(X$1,test!$A$3:$F$32,2,FALSE))&lt;test!$K$16,$A7&lt;&gt;X$1,feasible_mat!X7=1),(VLOOKUP(X$1,test!$A$3:$I$32,8,FALSE))-(VLOOKUP($A7,test!$A$3:$I$32,9,FALSE)),0)</f>
        <v>25</v>
      </c>
      <c r="Y7">
        <f>IF(AND(SUM(VLOOKUP($A7,test!$A$3:$F$32,2,FALSE),VLOOKUP(Y$1,test!$A$3:$F$32,2,FALSE))&lt;test!$K$16,$A7&lt;&gt;Y$1,feasible_mat!Y7=1),(VLOOKUP(Y$1,test!$A$3:$I$32,8,FALSE))-(VLOOKUP($A7,test!$A$3:$I$32,9,FALSE)),0)</f>
        <v>0</v>
      </c>
      <c r="Z7">
        <f>IF(AND(SUM(VLOOKUP($A7,test!$A$3:$F$32,2,FALSE),VLOOKUP(Z$1,test!$A$3:$F$32,2,FALSE))&lt;test!$K$16,$A7&lt;&gt;Z$1,feasible_mat!Z7=1),(VLOOKUP(Z$1,test!$A$3:$I$32,8,FALSE))-(VLOOKUP($A7,test!$A$3:$I$32,9,FALSE)),0)</f>
        <v>0</v>
      </c>
      <c r="AA7">
        <f>IF(AND(SUM(VLOOKUP($A7,test!$A$3:$F$32,2,FALSE),VLOOKUP(AA$1,test!$A$3:$F$32,2,FALSE))&lt;test!$K$16,$A7&lt;&gt;AA$1,feasible_mat!AA7=1),(VLOOKUP(AA$1,test!$A$3:$I$32,8,FALSE))-(VLOOKUP($A7,test!$A$3:$I$32,9,FALSE)),0)</f>
        <v>0</v>
      </c>
      <c r="AB7">
        <f>IF(AND(SUM(VLOOKUP($A7,test!$A$3:$F$32,2,FALSE),VLOOKUP(AB$1,test!$A$3:$F$32,2,FALSE))&lt;test!$K$16,$A7&lt;&gt;AB$1,feasible_mat!AB7=1),(VLOOKUP(AB$1,test!$A$3:$I$32,8,FALSE))-(VLOOKUP($A7,test!$A$3:$I$32,9,FALSE)),0)</f>
        <v>0</v>
      </c>
      <c r="AC7">
        <f>IF(AND(SUM(VLOOKUP($A7,test!$A$3:$F$32,2,FALSE),VLOOKUP(AC$1,test!$A$3:$F$32,2,FALSE))&lt;test!$K$16,$A7&lt;&gt;AC$1,feasible_mat!AC7=1),(VLOOKUP(AC$1,test!$A$3:$I$32,8,FALSE))-(VLOOKUP($A7,test!$A$3:$I$32,9,FALSE)),0)</f>
        <v>0</v>
      </c>
      <c r="AD7">
        <f>IF(AND(SUM(VLOOKUP($A7,test!$A$3:$F$32,2,FALSE),VLOOKUP(AD$1,test!$A$3:$F$32,2,FALSE))&lt;test!$K$16,$A7&lt;&gt;AD$1,feasible_mat!AD7=1),(VLOOKUP(AD$1,test!$A$3:$F$32,8,FALSE))-(VLOOKUP($A7,test!$A$3:$F$32,9,FALSE)),0)</f>
        <v>0</v>
      </c>
      <c r="AE7">
        <f>IF(AND(SUM(VLOOKUP($A7,test!$A$3:$F$32,2,FALSE),VLOOKUP(AE$1,test!$A$3:$F$32,2,FALSE))&lt;test!$K$16,$A7&lt;&gt;AE$1,feasible_mat!AE7=1),(VLOOKUP(AE$1,test!$A$3:$F$32,8,FALSE))-(VLOOKUP($A7,test!$A$3:$F$32,9,FALSE)),0)</f>
        <v>0</v>
      </c>
      <c r="AF7">
        <f>IF(AND(SUM(VLOOKUP($A7,test!$A$3:$F$32,2,FALSE),VLOOKUP(AF$1,test!$A$3:$F$32,2,FALSE))&lt;test!$K$16,$A7&lt;&gt;AF$1,feasible_mat!AF7=1),(VLOOKUP(AF$1,test!$A$3:$F$32,8,FALSE))-(VLOOKUP($A7,test!$A$3:$F$32,9,FALSE)),0)</f>
        <v>0</v>
      </c>
    </row>
    <row r="8" spans="1:36" x14ac:dyDescent="0.25">
      <c r="A8" t="s">
        <v>13</v>
      </c>
      <c r="B8">
        <v>0</v>
      </c>
      <c r="C8">
        <f>IF(AND(SUM(VLOOKUP($A8,test!$A$3:$F$32,2,FALSE),VLOOKUP(C$1,test!$A$3:$F$32,2,FALSE))&lt;test!$K$16,$A8&lt;&gt;C$1,feasible_mat!C8=1),(VLOOKUP(C$1,test!$A$3:$I$32,8,FALSE))-(VLOOKUP($A8,test!$A$3:$I$32,9,FALSE)),0)</f>
        <v>0</v>
      </c>
      <c r="D8">
        <f>IF(AND(SUM(VLOOKUP($A8,test!$A$3:$F$32,2,FALSE),VLOOKUP(D$1,test!$A$3:$F$32,2,FALSE))&lt;test!$K$16,$A8&lt;&gt;D$1,feasible_mat!D8=1),(VLOOKUP(D$1,test!$A$3:$I$32,8,FALSE))-(VLOOKUP($A8,test!$A$3:$I$32,9,FALSE)),0)</f>
        <v>0</v>
      </c>
      <c r="E8">
        <f>IF(AND(SUM(VLOOKUP($A8,test!$A$3:$F$32,2,FALSE),VLOOKUP(E$1,test!$A$3:$F$32,2,FALSE))&lt;test!$K$16,$A8&lt;&gt;E$1,feasible_mat!E8=1),(VLOOKUP(E$1,test!$A$3:$I$32,8,FALSE))-(VLOOKUP($A8,test!$A$3:$I$32,9,FALSE)),0)</f>
        <v>0</v>
      </c>
      <c r="F8">
        <f>IF(AND(SUM(VLOOKUP($A8,test!$A$3:$F$32,2,FALSE),VLOOKUP(F$1,test!$A$3:$F$32,2,FALSE))&lt;test!$K$16,$A8&lt;&gt;F$1,feasible_mat!F8=1),(VLOOKUP(F$1,test!$A$3:$I$32,8,FALSE))-(VLOOKUP($A8,test!$A$3:$I$32,9,FALSE)),0)</f>
        <v>0</v>
      </c>
      <c r="G8">
        <f>IF(AND(SUM(VLOOKUP($A8,test!$A$3:$F$32,2,FALSE),VLOOKUP(G$1,test!$A$3:$F$32,2,FALSE))&lt;test!$K$16,$A8&lt;&gt;G$1,feasible_mat!G8=1),(VLOOKUP(G$1,test!$A$3:$I$32,8,FALSE))-(VLOOKUP($A8,test!$A$3:$I$32,9,FALSE)),0)</f>
        <v>0</v>
      </c>
      <c r="H8">
        <f>IF(AND(SUM(VLOOKUP($A8,test!$A$3:$F$32,2,FALSE),VLOOKUP(H$1,test!$A$3:$F$32,2,FALSE))&lt;test!$K$16,$A8&lt;&gt;H$1,feasible_mat!H8=1),(VLOOKUP(H$1,test!$A$3:$I$32,8,FALSE))-(VLOOKUP($A8,test!$A$3:$I$32,9,FALSE)),0)</f>
        <v>0</v>
      </c>
      <c r="I8">
        <f>IF(AND(SUM(VLOOKUP($A8,test!$A$3:$F$32,2,FALSE),VLOOKUP(I$1,test!$A$3:$F$32,2,FALSE))&lt;test!$K$16,$A8&lt;&gt;I$1,feasible_mat!I8=1),(VLOOKUP(I$1,test!$A$3:$I$32,8,FALSE))-(VLOOKUP($A8,test!$A$3:$I$32,9,FALSE)),0)</f>
        <v>0</v>
      </c>
      <c r="J8">
        <f>IF(AND(SUM(VLOOKUP($A8,test!$A$3:$F$32,2,FALSE),VLOOKUP(J$1,test!$A$3:$F$32,2,FALSE))&lt;test!$K$16,$A8&lt;&gt;J$1,feasible_mat!J8=1),(VLOOKUP(J$1,test!$A$3:$I$32,8,FALSE))-(VLOOKUP($A8,test!$A$3:$I$32,9,FALSE)),0)</f>
        <v>0</v>
      </c>
      <c r="K8">
        <f>IF(AND(SUM(VLOOKUP($A8,test!$A$3:$F$32,2,FALSE),VLOOKUP(K$1,test!$A$3:$F$32,2,FALSE))&lt;test!$K$16,$A8&lt;&gt;K$1,feasible_mat!K8=1),(VLOOKUP(K$1,test!$A$3:$I$32,8,FALSE))-(VLOOKUP($A8,test!$A$3:$I$32,9,FALSE)),0)</f>
        <v>0</v>
      </c>
      <c r="L8">
        <f>IF(AND(SUM(VLOOKUP($A8,test!$A$3:$F$32,2,FALSE),VLOOKUP(L$1,test!$A$3:$F$32,2,FALSE))&lt;test!$K$16,$A8&lt;&gt;L$1,feasible_mat!L8=1),(VLOOKUP(L$1,test!$A$3:$I$32,8,FALSE))-(VLOOKUP($A8,test!$A$3:$I$32,9,FALSE)),0)</f>
        <v>0</v>
      </c>
      <c r="M8">
        <f>IF(AND(SUM(VLOOKUP($A8,test!$A$3:$F$32,2,FALSE),VLOOKUP(M$1,test!$A$3:$F$32,2,FALSE))&lt;test!$K$16,$A8&lt;&gt;M$1,feasible_mat!M8=1),(VLOOKUP(M$1,test!$A$3:$I$32,8,FALSE))-(VLOOKUP($A8,test!$A$3:$I$32,9,FALSE)),0)</f>
        <v>0</v>
      </c>
      <c r="N8">
        <f>IF(AND(SUM(VLOOKUP($A8,test!$A$3:$F$32,2,FALSE),VLOOKUP(N$1,test!$A$3:$F$32,2,FALSE))&lt;test!$K$16,$A8&lt;&gt;N$1,feasible_mat!N8=1),(VLOOKUP(N$1,test!$A$3:$I$32,8,FALSE))-(VLOOKUP($A8,test!$A$3:$I$32,9,FALSE)),0)</f>
        <v>0</v>
      </c>
      <c r="O8">
        <f>IF(AND(SUM(VLOOKUP($A8,test!$A$3:$F$32,2,FALSE),VLOOKUP(O$1,test!$A$3:$F$32,2,FALSE))&lt;test!$K$16,$A8&lt;&gt;O$1,feasible_mat!O8=1),(VLOOKUP(O$1,test!$A$3:$I$32,8,FALSE))-(VLOOKUP($A8,test!$A$3:$I$32,9,FALSE)),0)</f>
        <v>0</v>
      </c>
      <c r="P8">
        <f>IF(AND(SUM(VLOOKUP($A8,test!$A$3:$F$32,2,FALSE),VLOOKUP(P$1,test!$A$3:$F$32,2,FALSE))&lt;test!$K$16,$A8&lt;&gt;P$1,feasible_mat!P8=1),(VLOOKUP(P$1,test!$A$3:$I$32,8,FALSE))-(VLOOKUP($A8,test!$A$3:$I$32,9,FALSE)),0)</f>
        <v>0</v>
      </c>
      <c r="Q8">
        <f>IF(AND(SUM(VLOOKUP($A8,test!$A$3:$F$32,2,FALSE),VLOOKUP(Q$1,test!$A$3:$F$32,2,FALSE))&lt;test!$K$16,$A8&lt;&gt;Q$1,feasible_mat!Q8=1),(VLOOKUP(Q$1,test!$A$3:$I$32,8,FALSE))-(VLOOKUP($A8,test!$A$3:$I$32,9,FALSE)),0)</f>
        <v>0</v>
      </c>
      <c r="R8">
        <f>IF(AND(SUM(VLOOKUP($A8,test!$A$3:$F$32,2,FALSE),VLOOKUP(R$1,test!$A$3:$F$32,2,FALSE))&lt;test!$K$16,$A8&lt;&gt;R$1,feasible_mat!R8=1),(VLOOKUP(R$1,test!$A$3:$I$32,8,FALSE))-(VLOOKUP($A8,test!$A$3:$I$32,9,FALSE)),0)</f>
        <v>0</v>
      </c>
      <c r="S8">
        <f>IF(AND(SUM(VLOOKUP($A8,test!$A$3:$F$32,2,FALSE),VLOOKUP(S$1,test!$A$3:$F$32,2,FALSE))&lt;test!$K$16,$A8&lt;&gt;S$1,feasible_mat!S8=1),(VLOOKUP(S$1,test!$A$3:$I$32,8,FALSE))-(VLOOKUP($A8,test!$A$3:$I$32,9,FALSE)),0)</f>
        <v>0</v>
      </c>
      <c r="T8">
        <f>IF(AND(SUM(VLOOKUP($A8,test!$A$3:$F$32,2,FALSE),VLOOKUP(T$1,test!$A$3:$F$32,2,FALSE))&lt;test!$K$16,$A8&lt;&gt;T$1,feasible_mat!T8=1),(VLOOKUP(T$1,test!$A$3:$I$32,8,FALSE))-(VLOOKUP($A8,test!$A$3:$I$32,9,FALSE)),0)</f>
        <v>0</v>
      </c>
      <c r="U8">
        <f>IF(AND(SUM(VLOOKUP($A8,test!$A$3:$F$32,2,FALSE),VLOOKUP(U$1,test!$A$3:$F$32,2,FALSE))&lt;test!$K$16,$A8&lt;&gt;U$1,feasible_mat!U8=1),(VLOOKUP(U$1,test!$A$3:$I$32,8,FALSE))-(VLOOKUP($A8,test!$A$3:$I$32,9,FALSE)),0)</f>
        <v>0</v>
      </c>
      <c r="V8">
        <f>IF(AND(SUM(VLOOKUP($A8,test!$A$3:$F$32,2,FALSE),VLOOKUP(V$1,test!$A$3:$F$32,2,FALSE))&lt;test!$K$16,$A8&lt;&gt;V$1,feasible_mat!V8=1),(VLOOKUP(V$1,test!$A$3:$I$32,8,FALSE))-(VLOOKUP($A8,test!$A$3:$I$32,9,FALSE)),0)</f>
        <v>0</v>
      </c>
      <c r="W8">
        <f>IF(AND(SUM(VLOOKUP($A8,test!$A$3:$F$32,2,FALSE),VLOOKUP(W$1,test!$A$3:$F$32,2,FALSE))&lt;test!$K$16,$A8&lt;&gt;W$1,feasible_mat!W8=1),(VLOOKUP(W$1,test!$A$3:$I$32,8,FALSE))-(VLOOKUP($A8,test!$A$3:$I$32,9,FALSE)),0)</f>
        <v>0</v>
      </c>
      <c r="X8">
        <f>IF(AND(SUM(VLOOKUP($A8,test!$A$3:$F$32,2,FALSE),VLOOKUP(X$1,test!$A$3:$F$32,2,FALSE))&lt;test!$K$16,$A8&lt;&gt;X$1,feasible_mat!X8=1),(VLOOKUP(X$1,test!$A$3:$I$32,8,FALSE))-(VLOOKUP($A8,test!$A$3:$I$32,9,FALSE)),0)</f>
        <v>0</v>
      </c>
      <c r="Y8">
        <f>IF(AND(SUM(VLOOKUP($A8,test!$A$3:$F$32,2,FALSE),VLOOKUP(Y$1,test!$A$3:$F$32,2,FALSE))&lt;test!$K$16,$A8&lt;&gt;Y$1,feasible_mat!Y8=1),(VLOOKUP(Y$1,test!$A$3:$I$32,8,FALSE))-(VLOOKUP($A8,test!$A$3:$I$32,9,FALSE)),0)</f>
        <v>0</v>
      </c>
      <c r="Z8">
        <f>IF(AND(SUM(VLOOKUP($A8,test!$A$3:$F$32,2,FALSE),VLOOKUP(Z$1,test!$A$3:$F$32,2,FALSE))&lt;test!$K$16,$A8&lt;&gt;Z$1,feasible_mat!Z8=1),(VLOOKUP(Z$1,test!$A$3:$I$32,8,FALSE))-(VLOOKUP($A8,test!$A$3:$I$32,9,FALSE)),0)</f>
        <v>0</v>
      </c>
      <c r="AA8">
        <f>IF(AND(SUM(VLOOKUP($A8,test!$A$3:$F$32,2,FALSE),VLOOKUP(AA$1,test!$A$3:$F$32,2,FALSE))&lt;test!$K$16,$A8&lt;&gt;AA$1,feasible_mat!AA8=1),(VLOOKUP(AA$1,test!$A$3:$I$32,8,FALSE))-(VLOOKUP($A8,test!$A$3:$I$32,9,FALSE)),0)</f>
        <v>0</v>
      </c>
      <c r="AB8">
        <f>IF(AND(SUM(VLOOKUP($A8,test!$A$3:$F$32,2,FALSE),VLOOKUP(AB$1,test!$A$3:$F$32,2,FALSE))&lt;test!$K$16,$A8&lt;&gt;AB$1,feasible_mat!AB8=1),(VLOOKUP(AB$1,test!$A$3:$I$32,8,FALSE))-(VLOOKUP($A8,test!$A$3:$I$32,9,FALSE)),0)</f>
        <v>0</v>
      </c>
      <c r="AC8">
        <f>IF(AND(SUM(VLOOKUP($A8,test!$A$3:$F$32,2,FALSE),VLOOKUP(AC$1,test!$A$3:$F$32,2,FALSE))&lt;test!$K$16,$A8&lt;&gt;AC$1,feasible_mat!AC8=1),(VLOOKUP(AC$1,test!$A$3:$I$32,8,FALSE))-(VLOOKUP($A8,test!$A$3:$I$32,9,FALSE)),0)</f>
        <v>0</v>
      </c>
      <c r="AD8">
        <f>IF(AND(SUM(VLOOKUP($A8,test!$A$3:$F$32,2,FALSE),VLOOKUP(AD$1,test!$A$3:$F$32,2,FALSE))&lt;test!$K$16,$A8&lt;&gt;AD$1,feasible_mat!AD8=1),(VLOOKUP(AD$1,test!$A$3:$F$32,8,FALSE))-(VLOOKUP($A8,test!$A$3:$F$32,9,FALSE)),0)</f>
        <v>0</v>
      </c>
      <c r="AE8">
        <f>IF(AND(SUM(VLOOKUP($A8,test!$A$3:$F$32,2,FALSE),VLOOKUP(AE$1,test!$A$3:$F$32,2,FALSE))&lt;test!$K$16,$A8&lt;&gt;AE$1,feasible_mat!AE8=1),(VLOOKUP(AE$1,test!$A$3:$F$32,8,FALSE))-(VLOOKUP($A8,test!$A$3:$F$32,9,FALSE)),0)</f>
        <v>0</v>
      </c>
      <c r="AF8">
        <f>IF(AND(SUM(VLOOKUP($A8,test!$A$3:$F$32,2,FALSE),VLOOKUP(AF$1,test!$A$3:$F$32,2,FALSE))&lt;test!$K$16,$A8&lt;&gt;AF$1,feasible_mat!AF8=1),(VLOOKUP(AF$1,test!$A$3:$F$32,8,FALSE))-(VLOOKUP($A8,test!$A$3:$F$32,9,FALSE)),0)</f>
        <v>0</v>
      </c>
    </row>
    <row r="9" spans="1:36" x14ac:dyDescent="0.25">
      <c r="A9" t="s">
        <v>14</v>
      </c>
      <c r="B9">
        <v>0</v>
      </c>
      <c r="C9">
        <f>IF(AND(SUM(VLOOKUP($A9,test!$A$3:$F$32,2,FALSE),VLOOKUP(C$1,test!$A$3:$F$32,2,FALSE))&lt;test!$K$16,$A9&lt;&gt;C$1,feasible_mat!C9=1),(VLOOKUP(C$1,test!$A$3:$I$32,8,FALSE))-(VLOOKUP($A9,test!$A$3:$I$32,9,FALSE)),0)</f>
        <v>0</v>
      </c>
      <c r="D9">
        <f>IF(AND(SUM(VLOOKUP($A9,test!$A$3:$F$32,2,FALSE),VLOOKUP(D$1,test!$A$3:$F$32,2,FALSE))&lt;test!$K$16,$A9&lt;&gt;D$1,feasible_mat!D9=1),(VLOOKUP(D$1,test!$A$3:$I$32,8,FALSE))-(VLOOKUP($A9,test!$A$3:$I$32,9,FALSE)),0)</f>
        <v>0</v>
      </c>
      <c r="E9">
        <f>IF(AND(SUM(VLOOKUP($A9,test!$A$3:$F$32,2,FALSE),VLOOKUP(E$1,test!$A$3:$F$32,2,FALSE))&lt;test!$K$16,$A9&lt;&gt;E$1,feasible_mat!E9=1),(VLOOKUP(E$1,test!$A$3:$I$32,8,FALSE))-(VLOOKUP($A9,test!$A$3:$I$32,9,FALSE)),0)</f>
        <v>0</v>
      </c>
      <c r="F9">
        <f>IF(AND(SUM(VLOOKUP($A9,test!$A$3:$F$32,2,FALSE),VLOOKUP(F$1,test!$A$3:$F$32,2,FALSE))&lt;test!$K$16,$A9&lt;&gt;F$1,feasible_mat!F9=1),(VLOOKUP(F$1,test!$A$3:$I$32,8,FALSE))-(VLOOKUP($A9,test!$A$3:$I$32,9,FALSE)),0)</f>
        <v>0</v>
      </c>
      <c r="G9">
        <f>IF(AND(SUM(VLOOKUP($A9,test!$A$3:$F$32,2,FALSE),VLOOKUP(G$1,test!$A$3:$F$32,2,FALSE))&lt;test!$K$16,$A9&lt;&gt;G$1,feasible_mat!G9=1),(VLOOKUP(G$1,test!$A$3:$I$32,8,FALSE))-(VLOOKUP($A9,test!$A$3:$I$32,9,FALSE)),0)</f>
        <v>0</v>
      </c>
      <c r="H9">
        <f>IF(AND(SUM(VLOOKUP($A9,test!$A$3:$F$32,2,FALSE),VLOOKUP(H$1,test!$A$3:$F$32,2,FALSE))&lt;test!$K$16,$A9&lt;&gt;H$1,feasible_mat!H9=1),(VLOOKUP(H$1,test!$A$3:$I$32,8,FALSE))-(VLOOKUP($A9,test!$A$3:$I$32,9,FALSE)),0)</f>
        <v>0</v>
      </c>
      <c r="I9">
        <f>IF(AND(SUM(VLOOKUP($A9,test!$A$3:$F$32,2,FALSE),VLOOKUP(I$1,test!$A$3:$F$32,2,FALSE))&lt;test!$K$16,$A9&lt;&gt;I$1,feasible_mat!I9=1),(VLOOKUP(I$1,test!$A$3:$I$32,8,FALSE))-(VLOOKUP($A9,test!$A$3:$I$32,9,FALSE)),0)</f>
        <v>0</v>
      </c>
      <c r="J9">
        <f>IF(AND(SUM(VLOOKUP($A9,test!$A$3:$F$32,2,FALSE),VLOOKUP(J$1,test!$A$3:$F$32,2,FALSE))&lt;test!$K$16,$A9&lt;&gt;J$1,feasible_mat!J9=1),(VLOOKUP(J$1,test!$A$3:$I$32,8,FALSE))-(VLOOKUP($A9,test!$A$3:$I$32,9,FALSE)),0)</f>
        <v>0</v>
      </c>
      <c r="K9">
        <f>IF(AND(SUM(VLOOKUP($A9,test!$A$3:$F$32,2,FALSE),VLOOKUP(K$1,test!$A$3:$F$32,2,FALSE))&lt;test!$K$16,$A9&lt;&gt;K$1,feasible_mat!K9=1),(VLOOKUP(K$1,test!$A$3:$I$32,8,FALSE))-(VLOOKUP($A9,test!$A$3:$I$32,9,FALSE)),0)</f>
        <v>0</v>
      </c>
      <c r="L9">
        <f>IF(AND(SUM(VLOOKUP($A9,test!$A$3:$F$32,2,FALSE),VLOOKUP(L$1,test!$A$3:$F$32,2,FALSE))&lt;test!$K$16,$A9&lt;&gt;L$1,feasible_mat!L9=1),(VLOOKUP(L$1,test!$A$3:$I$32,8,FALSE))-(VLOOKUP($A9,test!$A$3:$I$32,9,FALSE)),0)</f>
        <v>0</v>
      </c>
      <c r="M9">
        <f>IF(AND(SUM(VLOOKUP($A9,test!$A$3:$F$32,2,FALSE),VLOOKUP(M$1,test!$A$3:$F$32,2,FALSE))&lt;test!$K$16,$A9&lt;&gt;M$1,feasible_mat!M9=1),(VLOOKUP(M$1,test!$A$3:$I$32,8,FALSE))-(VLOOKUP($A9,test!$A$3:$I$32,9,FALSE)),0)</f>
        <v>0</v>
      </c>
      <c r="N9">
        <f>IF(AND(SUM(VLOOKUP($A9,test!$A$3:$F$32,2,FALSE),VLOOKUP(N$1,test!$A$3:$F$32,2,FALSE))&lt;test!$K$16,$A9&lt;&gt;N$1,feasible_mat!N9=1),(VLOOKUP(N$1,test!$A$3:$I$32,8,FALSE))-(VLOOKUP($A9,test!$A$3:$I$32,9,FALSE)),0)</f>
        <v>0</v>
      </c>
      <c r="O9">
        <f>IF(AND(SUM(VLOOKUP($A9,test!$A$3:$F$32,2,FALSE),VLOOKUP(O$1,test!$A$3:$F$32,2,FALSE))&lt;test!$K$16,$A9&lt;&gt;O$1,feasible_mat!O9=1),(VLOOKUP(O$1,test!$A$3:$I$32,8,FALSE))-(VLOOKUP($A9,test!$A$3:$I$32,9,FALSE)),0)</f>
        <v>0</v>
      </c>
      <c r="P9">
        <f>IF(AND(SUM(VLOOKUP($A9,test!$A$3:$F$32,2,FALSE),VLOOKUP(P$1,test!$A$3:$F$32,2,FALSE))&lt;test!$K$16,$A9&lt;&gt;P$1,feasible_mat!P9=1),(VLOOKUP(P$1,test!$A$3:$I$32,8,FALSE))-(VLOOKUP($A9,test!$A$3:$I$32,9,FALSE)),0)</f>
        <v>0</v>
      </c>
      <c r="Q9">
        <f>IF(AND(SUM(VLOOKUP($A9,test!$A$3:$F$32,2,FALSE),VLOOKUP(Q$1,test!$A$3:$F$32,2,FALSE))&lt;test!$K$16,$A9&lt;&gt;Q$1,feasible_mat!Q9=1),(VLOOKUP(Q$1,test!$A$3:$I$32,8,FALSE))-(VLOOKUP($A9,test!$A$3:$I$32,9,FALSE)),0)</f>
        <v>0</v>
      </c>
      <c r="R9">
        <f>IF(AND(SUM(VLOOKUP($A9,test!$A$3:$F$32,2,FALSE),VLOOKUP(R$1,test!$A$3:$F$32,2,FALSE))&lt;test!$K$16,$A9&lt;&gt;R$1,feasible_mat!R9=1),(VLOOKUP(R$1,test!$A$3:$I$32,8,FALSE))-(VLOOKUP($A9,test!$A$3:$I$32,9,FALSE)),0)</f>
        <v>0</v>
      </c>
      <c r="S9">
        <f>IF(AND(SUM(VLOOKUP($A9,test!$A$3:$F$32,2,FALSE),VLOOKUP(S$1,test!$A$3:$F$32,2,FALSE))&lt;test!$K$16,$A9&lt;&gt;S$1,feasible_mat!S9=1),(VLOOKUP(S$1,test!$A$3:$I$32,8,FALSE))-(VLOOKUP($A9,test!$A$3:$I$32,9,FALSE)),0)</f>
        <v>0</v>
      </c>
      <c r="T9">
        <f>IF(AND(SUM(VLOOKUP($A9,test!$A$3:$F$32,2,FALSE),VLOOKUP(T$1,test!$A$3:$F$32,2,FALSE))&lt;test!$K$16,$A9&lt;&gt;T$1,feasible_mat!T9=1),(VLOOKUP(T$1,test!$A$3:$I$32,8,FALSE))-(VLOOKUP($A9,test!$A$3:$I$32,9,FALSE)),0)</f>
        <v>0</v>
      </c>
      <c r="U9">
        <f>IF(AND(SUM(VLOOKUP($A9,test!$A$3:$F$32,2,FALSE),VLOOKUP(U$1,test!$A$3:$F$32,2,FALSE))&lt;test!$K$16,$A9&lt;&gt;U$1,feasible_mat!U9=1),(VLOOKUP(U$1,test!$A$3:$I$32,8,FALSE))-(VLOOKUP($A9,test!$A$3:$I$32,9,FALSE)),0)</f>
        <v>0</v>
      </c>
      <c r="V9">
        <f>IF(AND(SUM(VLOOKUP($A9,test!$A$3:$F$32,2,FALSE),VLOOKUP(V$1,test!$A$3:$F$32,2,FALSE))&lt;test!$K$16,$A9&lt;&gt;V$1,feasible_mat!V9=1),(VLOOKUP(V$1,test!$A$3:$I$32,8,FALSE))-(VLOOKUP($A9,test!$A$3:$I$32,9,FALSE)),0)</f>
        <v>0</v>
      </c>
      <c r="W9">
        <f>IF(AND(SUM(VLOOKUP($A9,test!$A$3:$F$32,2,FALSE),VLOOKUP(W$1,test!$A$3:$F$32,2,FALSE))&lt;test!$K$16,$A9&lt;&gt;W$1,feasible_mat!W9=1),(VLOOKUP(W$1,test!$A$3:$I$32,8,FALSE))-(VLOOKUP($A9,test!$A$3:$I$32,9,FALSE)),0)</f>
        <v>0</v>
      </c>
      <c r="X9">
        <f>IF(AND(SUM(VLOOKUP($A9,test!$A$3:$F$32,2,FALSE),VLOOKUP(X$1,test!$A$3:$F$32,2,FALSE))&lt;test!$K$16,$A9&lt;&gt;X$1,feasible_mat!X9=1),(VLOOKUP(X$1,test!$A$3:$I$32,8,FALSE))-(VLOOKUP($A9,test!$A$3:$I$32,9,FALSE)),0)</f>
        <v>0</v>
      </c>
      <c r="Y9">
        <f>IF(AND(SUM(VLOOKUP($A9,test!$A$3:$F$32,2,FALSE),VLOOKUP(Y$1,test!$A$3:$F$32,2,FALSE))&lt;test!$K$16,$A9&lt;&gt;Y$1,feasible_mat!Y9=1),(VLOOKUP(Y$1,test!$A$3:$I$32,8,FALSE))-(VLOOKUP($A9,test!$A$3:$I$32,9,FALSE)),0)</f>
        <v>0</v>
      </c>
      <c r="Z9">
        <f>IF(AND(SUM(VLOOKUP($A9,test!$A$3:$F$32,2,FALSE),VLOOKUP(Z$1,test!$A$3:$F$32,2,FALSE))&lt;test!$K$16,$A9&lt;&gt;Z$1,feasible_mat!Z9=1),(VLOOKUP(Z$1,test!$A$3:$I$32,8,FALSE))-(VLOOKUP($A9,test!$A$3:$I$32,9,FALSE)),0)</f>
        <v>0</v>
      </c>
      <c r="AA9">
        <f>IF(AND(SUM(VLOOKUP($A9,test!$A$3:$F$32,2,FALSE),VLOOKUP(AA$1,test!$A$3:$F$32,2,FALSE))&lt;test!$K$16,$A9&lt;&gt;AA$1,feasible_mat!AA9=1),(VLOOKUP(AA$1,test!$A$3:$I$32,8,FALSE))-(VLOOKUP($A9,test!$A$3:$I$32,9,FALSE)),0)</f>
        <v>0</v>
      </c>
      <c r="AB9">
        <f>IF(AND(SUM(VLOOKUP($A9,test!$A$3:$F$32,2,FALSE),VLOOKUP(AB$1,test!$A$3:$F$32,2,FALSE))&lt;test!$K$16,$A9&lt;&gt;AB$1,feasible_mat!AB9=1),(VLOOKUP(AB$1,test!$A$3:$I$32,8,FALSE))-(VLOOKUP($A9,test!$A$3:$I$32,9,FALSE)),0)</f>
        <v>0</v>
      </c>
      <c r="AC9">
        <f>IF(AND(SUM(VLOOKUP($A9,test!$A$3:$F$32,2,FALSE),VLOOKUP(AC$1,test!$A$3:$F$32,2,FALSE))&lt;test!$K$16,$A9&lt;&gt;AC$1,feasible_mat!AC9=1),(VLOOKUP(AC$1,test!$A$3:$I$32,8,FALSE))-(VLOOKUP($A9,test!$A$3:$I$32,9,FALSE)),0)</f>
        <v>0</v>
      </c>
      <c r="AD9">
        <f>IF(AND(SUM(VLOOKUP($A9,test!$A$3:$F$32,2,FALSE),VLOOKUP(AD$1,test!$A$3:$F$32,2,FALSE))&lt;test!$K$16,$A9&lt;&gt;AD$1,feasible_mat!AD9=1),(VLOOKUP(AD$1,test!$A$3:$F$32,8,FALSE))-(VLOOKUP($A9,test!$A$3:$F$32,9,FALSE)),0)</f>
        <v>0</v>
      </c>
      <c r="AE9">
        <f>IF(AND(SUM(VLOOKUP($A9,test!$A$3:$F$32,2,FALSE),VLOOKUP(AE$1,test!$A$3:$F$32,2,FALSE))&lt;test!$K$16,$A9&lt;&gt;AE$1,feasible_mat!AE9=1),(VLOOKUP(AE$1,test!$A$3:$F$32,8,FALSE))-(VLOOKUP($A9,test!$A$3:$F$32,9,FALSE)),0)</f>
        <v>0</v>
      </c>
      <c r="AF9">
        <f>IF(AND(SUM(VLOOKUP($A9,test!$A$3:$F$32,2,FALSE),VLOOKUP(AF$1,test!$A$3:$F$32,2,FALSE))&lt;test!$K$16,$A9&lt;&gt;AF$1,feasible_mat!AF9=1),(VLOOKUP(AF$1,test!$A$3:$F$32,8,FALSE))-(VLOOKUP($A9,test!$A$3:$F$32,9,FALSE)),0)</f>
        <v>0</v>
      </c>
    </row>
    <row r="10" spans="1:36" x14ac:dyDescent="0.25">
      <c r="A10" t="s">
        <v>15</v>
      </c>
      <c r="B10">
        <v>0</v>
      </c>
      <c r="C10">
        <f>IF(AND(SUM(VLOOKUP($A10,test!$A$3:$F$32,2,FALSE),VLOOKUP(C$1,test!$A$3:$F$32,2,FALSE))&lt;test!$K$16,$A10&lt;&gt;C$1,feasible_mat!C10=1),(VLOOKUP(C$1,test!$A$3:$I$32,8,FALSE))-(VLOOKUP($A10,test!$A$3:$I$32,9,FALSE)),0)</f>
        <v>0</v>
      </c>
      <c r="D10">
        <f>IF(AND(SUM(VLOOKUP($A10,test!$A$3:$F$32,2,FALSE),VLOOKUP(D$1,test!$A$3:$F$32,2,FALSE))&lt;test!$K$16,$A10&lt;&gt;D$1,feasible_mat!D10=1),(VLOOKUP(D$1,test!$A$3:$I$32,8,FALSE))-(VLOOKUP($A10,test!$A$3:$I$32,9,FALSE)),0)</f>
        <v>0</v>
      </c>
      <c r="E10">
        <f>IF(AND(SUM(VLOOKUP($A10,test!$A$3:$F$32,2,FALSE),VLOOKUP(E$1,test!$A$3:$F$32,2,FALSE))&lt;test!$K$16,$A10&lt;&gt;E$1,feasible_mat!E10=1),(VLOOKUP(E$1,test!$A$3:$I$32,8,FALSE))-(VLOOKUP($A10,test!$A$3:$I$32,9,FALSE)),0)</f>
        <v>0</v>
      </c>
      <c r="F10">
        <f>IF(AND(SUM(VLOOKUP($A10,test!$A$3:$F$32,2,FALSE),VLOOKUP(F$1,test!$A$3:$F$32,2,FALSE))&lt;test!$K$16,$A10&lt;&gt;F$1,feasible_mat!F10=1),(VLOOKUP(F$1,test!$A$3:$I$32,8,FALSE))-(VLOOKUP($A10,test!$A$3:$I$32,9,FALSE)),0)</f>
        <v>0</v>
      </c>
      <c r="G10">
        <f>IF(AND(SUM(VLOOKUP($A10,test!$A$3:$F$32,2,FALSE),VLOOKUP(G$1,test!$A$3:$F$32,2,FALSE))&lt;test!$K$16,$A10&lt;&gt;G$1,feasible_mat!G10=1),(VLOOKUP(G$1,test!$A$3:$I$32,8,FALSE))-(VLOOKUP($A10,test!$A$3:$I$32,9,FALSE)),0)</f>
        <v>0</v>
      </c>
      <c r="H10">
        <f>IF(AND(SUM(VLOOKUP($A10,test!$A$3:$F$32,2,FALSE),VLOOKUP(H$1,test!$A$3:$F$32,2,FALSE))&lt;test!$K$16,$A10&lt;&gt;H$1,feasible_mat!H10=1),(VLOOKUP(H$1,test!$A$3:$I$32,8,FALSE))-(VLOOKUP($A10,test!$A$3:$I$32,9,FALSE)),0)</f>
        <v>0</v>
      </c>
      <c r="I10">
        <f>IF(AND(SUM(VLOOKUP($A10,test!$A$3:$F$32,2,FALSE),VLOOKUP(I$1,test!$A$3:$F$32,2,FALSE))&lt;test!$K$16,$A10&lt;&gt;I$1,feasible_mat!I10=1),(VLOOKUP(I$1,test!$A$3:$I$32,8,FALSE))-(VLOOKUP($A10,test!$A$3:$I$32,9,FALSE)),0)</f>
        <v>0</v>
      </c>
      <c r="J10">
        <f>IF(AND(SUM(VLOOKUP($A10,test!$A$3:$F$32,2,FALSE),VLOOKUP(J$1,test!$A$3:$F$32,2,FALSE))&lt;test!$K$16,$A10&lt;&gt;J$1,feasible_mat!J10=1),(VLOOKUP(J$1,test!$A$3:$I$32,8,FALSE))-(VLOOKUP($A10,test!$A$3:$I$32,9,FALSE)),0)</f>
        <v>0</v>
      </c>
      <c r="K10">
        <f>IF(AND(SUM(VLOOKUP($A10,test!$A$3:$F$32,2,FALSE),VLOOKUP(K$1,test!$A$3:$F$32,2,FALSE))&lt;test!$K$16,$A10&lt;&gt;K$1,feasible_mat!K10=1),(VLOOKUP(K$1,test!$A$3:$I$32,8,FALSE))-(VLOOKUP($A10,test!$A$3:$I$32,9,FALSE)),0)</f>
        <v>0</v>
      </c>
      <c r="L10">
        <f>IF(AND(SUM(VLOOKUP($A10,test!$A$3:$F$32,2,FALSE),VLOOKUP(L$1,test!$A$3:$F$32,2,FALSE))&lt;test!$K$16,$A10&lt;&gt;L$1,feasible_mat!L10=1),(VLOOKUP(L$1,test!$A$3:$I$32,8,FALSE))-(VLOOKUP($A10,test!$A$3:$I$32,9,FALSE)),0)</f>
        <v>0</v>
      </c>
      <c r="M10">
        <f>IF(AND(SUM(VLOOKUP($A10,test!$A$3:$F$32,2,FALSE),VLOOKUP(M$1,test!$A$3:$F$32,2,FALSE))&lt;test!$K$16,$A10&lt;&gt;M$1,feasible_mat!M10=1),(VLOOKUP(M$1,test!$A$3:$I$32,8,FALSE))-(VLOOKUP($A10,test!$A$3:$I$32,9,FALSE)),0)</f>
        <v>0</v>
      </c>
      <c r="N10">
        <f>IF(AND(SUM(VLOOKUP($A10,test!$A$3:$F$32,2,FALSE),VLOOKUP(N$1,test!$A$3:$F$32,2,FALSE))&lt;test!$K$16,$A10&lt;&gt;N$1,feasible_mat!N10=1),(VLOOKUP(N$1,test!$A$3:$I$32,8,FALSE))-(VLOOKUP($A10,test!$A$3:$I$32,9,FALSE)),0)</f>
        <v>0</v>
      </c>
      <c r="O10">
        <f>IF(AND(SUM(VLOOKUP($A10,test!$A$3:$F$32,2,FALSE),VLOOKUP(O$1,test!$A$3:$F$32,2,FALSE))&lt;test!$K$16,$A10&lt;&gt;O$1,feasible_mat!O10=1),(VLOOKUP(O$1,test!$A$3:$I$32,8,FALSE))-(VLOOKUP($A10,test!$A$3:$I$32,9,FALSE)),0)</f>
        <v>0</v>
      </c>
      <c r="P10">
        <f>IF(AND(SUM(VLOOKUP($A10,test!$A$3:$F$32,2,FALSE),VLOOKUP(P$1,test!$A$3:$F$32,2,FALSE))&lt;test!$K$16,$A10&lt;&gt;P$1,feasible_mat!P10=1),(VLOOKUP(P$1,test!$A$3:$I$32,8,FALSE))-(VLOOKUP($A10,test!$A$3:$I$32,9,FALSE)),0)</f>
        <v>0</v>
      </c>
      <c r="Q10">
        <f>IF(AND(SUM(VLOOKUP($A10,test!$A$3:$F$32,2,FALSE),VLOOKUP(Q$1,test!$A$3:$F$32,2,FALSE))&lt;test!$K$16,$A10&lt;&gt;Q$1,feasible_mat!Q10=1),(VLOOKUP(Q$1,test!$A$3:$I$32,8,FALSE))-(VLOOKUP($A10,test!$A$3:$I$32,9,FALSE)),0)</f>
        <v>0</v>
      </c>
      <c r="R10">
        <f>IF(AND(SUM(VLOOKUP($A10,test!$A$3:$F$32,2,FALSE),VLOOKUP(R$1,test!$A$3:$F$32,2,FALSE))&lt;test!$K$16,$A10&lt;&gt;R$1,feasible_mat!R10=1),(VLOOKUP(R$1,test!$A$3:$I$32,8,FALSE))-(VLOOKUP($A10,test!$A$3:$I$32,9,FALSE)),0)</f>
        <v>0</v>
      </c>
      <c r="S10">
        <f>IF(AND(SUM(VLOOKUP($A10,test!$A$3:$F$32,2,FALSE),VLOOKUP(S$1,test!$A$3:$F$32,2,FALSE))&lt;test!$K$16,$A10&lt;&gt;S$1,feasible_mat!S10=1),(VLOOKUP(S$1,test!$A$3:$I$32,8,FALSE))-(VLOOKUP($A10,test!$A$3:$I$32,9,FALSE)),0)</f>
        <v>0</v>
      </c>
      <c r="T10">
        <f>IF(AND(SUM(VLOOKUP($A10,test!$A$3:$F$32,2,FALSE),VLOOKUP(T$1,test!$A$3:$F$32,2,FALSE))&lt;test!$K$16,$A10&lt;&gt;T$1,feasible_mat!T10=1),(VLOOKUP(T$1,test!$A$3:$I$32,8,FALSE))-(VLOOKUP($A10,test!$A$3:$I$32,9,FALSE)),0)</f>
        <v>0</v>
      </c>
      <c r="U10">
        <f>IF(AND(SUM(VLOOKUP($A10,test!$A$3:$F$32,2,FALSE),VLOOKUP(U$1,test!$A$3:$F$32,2,FALSE))&lt;test!$K$16,$A10&lt;&gt;U$1,feasible_mat!U10=1),(VLOOKUP(U$1,test!$A$3:$I$32,8,FALSE))-(VLOOKUP($A10,test!$A$3:$I$32,9,FALSE)),0)</f>
        <v>0</v>
      </c>
      <c r="V10">
        <f>IF(AND(SUM(VLOOKUP($A10,test!$A$3:$F$32,2,FALSE),VLOOKUP(V$1,test!$A$3:$F$32,2,FALSE))&lt;test!$K$16,$A10&lt;&gt;V$1,feasible_mat!V10=1),(VLOOKUP(V$1,test!$A$3:$I$32,8,FALSE))-(VLOOKUP($A10,test!$A$3:$I$32,9,FALSE)),0)</f>
        <v>0</v>
      </c>
      <c r="W10">
        <f>IF(AND(SUM(VLOOKUP($A10,test!$A$3:$F$32,2,FALSE),VLOOKUP(W$1,test!$A$3:$F$32,2,FALSE))&lt;test!$K$16,$A10&lt;&gt;W$1,feasible_mat!W10=1),(VLOOKUP(W$1,test!$A$3:$I$32,8,FALSE))-(VLOOKUP($A10,test!$A$3:$I$32,9,FALSE)),0)</f>
        <v>0</v>
      </c>
      <c r="X10">
        <f>IF(AND(SUM(VLOOKUP($A10,test!$A$3:$F$32,2,FALSE),VLOOKUP(X$1,test!$A$3:$F$32,2,FALSE))&lt;test!$K$16,$A10&lt;&gt;X$1,feasible_mat!X10=1),(VLOOKUP(X$1,test!$A$3:$I$32,8,FALSE))-(VLOOKUP($A10,test!$A$3:$I$32,9,FALSE)),0)</f>
        <v>0</v>
      </c>
      <c r="Y10">
        <f>IF(AND(SUM(VLOOKUP($A10,test!$A$3:$F$32,2,FALSE),VLOOKUP(Y$1,test!$A$3:$F$32,2,FALSE))&lt;test!$K$16,$A10&lt;&gt;Y$1,feasible_mat!Y10=1),(VLOOKUP(Y$1,test!$A$3:$I$32,8,FALSE))-(VLOOKUP($A10,test!$A$3:$I$32,9,FALSE)),0)</f>
        <v>0</v>
      </c>
      <c r="Z10">
        <f>IF(AND(SUM(VLOOKUP($A10,test!$A$3:$F$32,2,FALSE),VLOOKUP(Z$1,test!$A$3:$F$32,2,FALSE))&lt;test!$K$16,$A10&lt;&gt;Z$1,feasible_mat!Z10=1),(VLOOKUP(Z$1,test!$A$3:$I$32,8,FALSE))-(VLOOKUP($A10,test!$A$3:$I$32,9,FALSE)),0)</f>
        <v>0</v>
      </c>
      <c r="AA10">
        <f>IF(AND(SUM(VLOOKUP($A10,test!$A$3:$F$32,2,FALSE),VLOOKUP(AA$1,test!$A$3:$F$32,2,FALSE))&lt;test!$K$16,$A10&lt;&gt;AA$1,feasible_mat!AA10=1),(VLOOKUP(AA$1,test!$A$3:$I$32,8,FALSE))-(VLOOKUP($A10,test!$A$3:$I$32,9,FALSE)),0)</f>
        <v>0</v>
      </c>
      <c r="AB10">
        <f>IF(AND(SUM(VLOOKUP($A10,test!$A$3:$F$32,2,FALSE),VLOOKUP(AB$1,test!$A$3:$F$32,2,FALSE))&lt;test!$K$16,$A10&lt;&gt;AB$1,feasible_mat!AB10=1),(VLOOKUP(AB$1,test!$A$3:$I$32,8,FALSE))-(VLOOKUP($A10,test!$A$3:$I$32,9,FALSE)),0)</f>
        <v>0</v>
      </c>
      <c r="AC10">
        <f>IF(AND(SUM(VLOOKUP($A10,test!$A$3:$F$32,2,FALSE),VLOOKUP(AC$1,test!$A$3:$F$32,2,FALSE))&lt;test!$K$16,$A10&lt;&gt;AC$1,feasible_mat!AC10=1),(VLOOKUP(AC$1,test!$A$3:$I$32,8,FALSE))-(VLOOKUP($A10,test!$A$3:$I$32,9,FALSE)),0)</f>
        <v>0</v>
      </c>
      <c r="AD10">
        <f>IF(AND(SUM(VLOOKUP($A10,test!$A$3:$F$32,2,FALSE),VLOOKUP(AD$1,test!$A$3:$F$32,2,FALSE))&lt;test!$K$16,$A10&lt;&gt;AD$1,feasible_mat!AD10=1),(VLOOKUP(AD$1,test!$A$3:$F$32,8,FALSE))-(VLOOKUP($A10,test!$A$3:$F$32,9,FALSE)),0)</f>
        <v>0</v>
      </c>
      <c r="AE10">
        <f>IF(AND(SUM(VLOOKUP($A10,test!$A$3:$F$32,2,FALSE),VLOOKUP(AE$1,test!$A$3:$F$32,2,FALSE))&lt;test!$K$16,$A10&lt;&gt;AE$1,feasible_mat!AE10=1),(VLOOKUP(AE$1,test!$A$3:$F$32,8,FALSE))-(VLOOKUP($A10,test!$A$3:$F$32,9,FALSE)),0)</f>
        <v>0</v>
      </c>
      <c r="AF10">
        <f>IF(AND(SUM(VLOOKUP($A10,test!$A$3:$F$32,2,FALSE),VLOOKUP(AF$1,test!$A$3:$F$32,2,FALSE))&lt;test!$K$16,$A10&lt;&gt;AF$1,feasible_mat!AF10=1),(VLOOKUP(AF$1,test!$A$3:$F$32,8,FALSE))-(VLOOKUP($A10,test!$A$3:$F$32,9,FALSE)),0)</f>
        <v>0</v>
      </c>
    </row>
    <row r="11" spans="1:36" x14ac:dyDescent="0.25">
      <c r="A11" t="s">
        <v>18</v>
      </c>
      <c r="B11">
        <v>0</v>
      </c>
      <c r="C11">
        <f>IF(AND(SUM(VLOOKUP($A11,test!$A$3:$F$32,2,FALSE),VLOOKUP(C$1,test!$A$3:$F$32,2,FALSE))&lt;test!$K$16,$A11&lt;&gt;C$1,feasible_mat!C11=1),(VLOOKUP(C$1,test!$A$3:$I$32,8,FALSE))-(VLOOKUP($A11,test!$A$3:$I$32,9,FALSE)),0)</f>
        <v>0</v>
      </c>
      <c r="D11">
        <f>IF(AND(SUM(VLOOKUP($A11,test!$A$3:$F$32,2,FALSE),VLOOKUP(D$1,test!$A$3:$F$32,2,FALSE))&lt;test!$K$16,$A11&lt;&gt;D$1,feasible_mat!D11=1),(VLOOKUP(D$1,test!$A$3:$I$32,8,FALSE))-(VLOOKUP($A11,test!$A$3:$I$32,9,FALSE)),0)</f>
        <v>0</v>
      </c>
      <c r="E11">
        <f>IF(AND(SUM(VLOOKUP($A11,test!$A$3:$F$32,2,FALSE),VLOOKUP(E$1,test!$A$3:$F$32,2,FALSE))&lt;test!$K$16,$A11&lt;&gt;E$1,feasible_mat!E11=1),(VLOOKUP(E$1,test!$A$3:$I$32,8,FALSE))-(VLOOKUP($A11,test!$A$3:$I$32,9,FALSE)),0)</f>
        <v>0</v>
      </c>
      <c r="F11">
        <f>IF(AND(SUM(VLOOKUP($A11,test!$A$3:$F$32,2,FALSE),VLOOKUP(F$1,test!$A$3:$F$32,2,FALSE))&lt;test!$K$16,$A11&lt;&gt;F$1,feasible_mat!F11=1),(VLOOKUP(F$1,test!$A$3:$I$32,8,FALSE))-(VLOOKUP($A11,test!$A$3:$I$32,9,FALSE)),0)</f>
        <v>0</v>
      </c>
      <c r="G11">
        <f>IF(AND(SUM(VLOOKUP($A11,test!$A$3:$F$32,2,FALSE),VLOOKUP(G$1,test!$A$3:$F$32,2,FALSE))&lt;test!$K$16,$A11&lt;&gt;G$1,feasible_mat!G11=1),(VLOOKUP(G$1,test!$A$3:$I$32,8,FALSE))-(VLOOKUP($A11,test!$A$3:$I$32,9,FALSE)),0)</f>
        <v>0</v>
      </c>
      <c r="H11">
        <f>IF(AND(SUM(VLOOKUP($A11,test!$A$3:$F$32,2,FALSE),VLOOKUP(H$1,test!$A$3:$F$32,2,FALSE))&lt;test!$K$16,$A11&lt;&gt;H$1,feasible_mat!H11=1),(VLOOKUP(H$1,test!$A$3:$I$32,8,FALSE))-(VLOOKUP($A11,test!$A$3:$I$32,9,FALSE)),0)</f>
        <v>0</v>
      </c>
      <c r="I11">
        <f>IF(AND(SUM(VLOOKUP($A11,test!$A$3:$F$32,2,FALSE),VLOOKUP(I$1,test!$A$3:$F$32,2,FALSE))&lt;test!$K$16,$A11&lt;&gt;I$1,feasible_mat!I11=1),(VLOOKUP(I$1,test!$A$3:$I$32,8,FALSE))-(VLOOKUP($A11,test!$A$3:$I$32,9,FALSE)),0)</f>
        <v>0</v>
      </c>
      <c r="J11">
        <f>IF(AND(SUM(VLOOKUP($A11,test!$A$3:$F$32,2,FALSE),VLOOKUP(J$1,test!$A$3:$F$32,2,FALSE))&lt;test!$K$16,$A11&lt;&gt;J$1,feasible_mat!J11=1),(VLOOKUP(J$1,test!$A$3:$I$32,8,FALSE))-(VLOOKUP($A11,test!$A$3:$I$32,9,FALSE)),0)</f>
        <v>0</v>
      </c>
      <c r="K11">
        <f>IF(AND(SUM(VLOOKUP($A11,test!$A$3:$F$32,2,FALSE),VLOOKUP(K$1,test!$A$3:$F$32,2,FALSE))&lt;test!$K$16,$A11&lt;&gt;K$1,feasible_mat!K11=1),(VLOOKUP(K$1,test!$A$3:$I$32,8,FALSE))-(VLOOKUP($A11,test!$A$3:$I$32,9,FALSE)),0)</f>
        <v>0</v>
      </c>
      <c r="L11">
        <f>IF(AND(SUM(VLOOKUP($A11,test!$A$3:$F$32,2,FALSE),VLOOKUP(L$1,test!$A$3:$F$32,2,FALSE))&lt;test!$K$16,$A11&lt;&gt;L$1,feasible_mat!L11=1),(VLOOKUP(L$1,test!$A$3:$I$32,8,FALSE))-(VLOOKUP($A11,test!$A$3:$I$32,9,FALSE)),0)</f>
        <v>0</v>
      </c>
      <c r="M11">
        <f>IF(AND(SUM(VLOOKUP($A11,test!$A$3:$F$32,2,FALSE),VLOOKUP(M$1,test!$A$3:$F$32,2,FALSE))&lt;test!$K$16,$A11&lt;&gt;M$1,feasible_mat!M11=1),(VLOOKUP(M$1,test!$A$3:$I$32,8,FALSE))-(VLOOKUP($A11,test!$A$3:$I$32,9,FALSE)),0)</f>
        <v>0</v>
      </c>
      <c r="N11">
        <f>IF(AND(SUM(VLOOKUP($A11,test!$A$3:$F$32,2,FALSE),VLOOKUP(N$1,test!$A$3:$F$32,2,FALSE))&lt;test!$K$16,$A11&lt;&gt;N$1,feasible_mat!N11=1),(VLOOKUP(N$1,test!$A$3:$I$32,8,FALSE))-(VLOOKUP($A11,test!$A$3:$I$32,9,FALSE)),0)</f>
        <v>0</v>
      </c>
      <c r="O11">
        <f>IF(AND(SUM(VLOOKUP($A11,test!$A$3:$F$32,2,FALSE),VLOOKUP(O$1,test!$A$3:$F$32,2,FALSE))&lt;test!$K$16,$A11&lt;&gt;O$1,feasible_mat!O11=1),(VLOOKUP(O$1,test!$A$3:$I$32,8,FALSE))-(VLOOKUP($A11,test!$A$3:$I$32,9,FALSE)),0)</f>
        <v>0</v>
      </c>
      <c r="P11">
        <f>IF(AND(SUM(VLOOKUP($A11,test!$A$3:$F$32,2,FALSE),VLOOKUP(P$1,test!$A$3:$F$32,2,FALSE))&lt;test!$K$16,$A11&lt;&gt;P$1,feasible_mat!P11=1),(VLOOKUP(P$1,test!$A$3:$I$32,8,FALSE))-(VLOOKUP($A11,test!$A$3:$I$32,9,FALSE)),0)</f>
        <v>0</v>
      </c>
      <c r="Q11">
        <f>IF(AND(SUM(VLOOKUP($A11,test!$A$3:$F$32,2,FALSE),VLOOKUP(Q$1,test!$A$3:$F$32,2,FALSE))&lt;test!$K$16,$A11&lt;&gt;Q$1,feasible_mat!Q11=1),(VLOOKUP(Q$1,test!$A$3:$I$32,8,FALSE))-(VLOOKUP($A11,test!$A$3:$I$32,9,FALSE)),0)</f>
        <v>0</v>
      </c>
      <c r="R11">
        <f>IF(AND(SUM(VLOOKUP($A11,test!$A$3:$F$32,2,FALSE),VLOOKUP(R$1,test!$A$3:$F$32,2,FALSE))&lt;test!$K$16,$A11&lt;&gt;R$1,feasible_mat!R11=1),(VLOOKUP(R$1,test!$A$3:$I$32,8,FALSE))-(VLOOKUP($A11,test!$A$3:$I$32,9,FALSE)),0)</f>
        <v>0</v>
      </c>
      <c r="S11">
        <f>IF(AND(SUM(VLOOKUP($A11,test!$A$3:$F$32,2,FALSE),VLOOKUP(S$1,test!$A$3:$F$32,2,FALSE))&lt;test!$K$16,$A11&lt;&gt;S$1,feasible_mat!S11=1),(VLOOKUP(S$1,test!$A$3:$I$32,8,FALSE))-(VLOOKUP($A11,test!$A$3:$I$32,9,FALSE)),0)</f>
        <v>0</v>
      </c>
      <c r="T11">
        <f>IF(AND(SUM(VLOOKUP($A11,test!$A$3:$F$32,2,FALSE),VLOOKUP(T$1,test!$A$3:$F$32,2,FALSE))&lt;test!$K$16,$A11&lt;&gt;T$1,feasible_mat!T11=1),(VLOOKUP(T$1,test!$A$3:$I$32,8,FALSE))-(VLOOKUP($A11,test!$A$3:$I$32,9,FALSE)),0)</f>
        <v>0</v>
      </c>
      <c r="U11">
        <f>IF(AND(SUM(VLOOKUP($A11,test!$A$3:$F$32,2,FALSE),VLOOKUP(U$1,test!$A$3:$F$32,2,FALSE))&lt;test!$K$16,$A11&lt;&gt;U$1,feasible_mat!U11=1),(VLOOKUP(U$1,test!$A$3:$I$32,8,FALSE))-(VLOOKUP($A11,test!$A$3:$I$32,9,FALSE)),0)</f>
        <v>0</v>
      </c>
      <c r="V11">
        <f>IF(AND(SUM(VLOOKUP($A11,test!$A$3:$F$32,2,FALSE),VLOOKUP(V$1,test!$A$3:$F$32,2,FALSE))&lt;test!$K$16,$A11&lt;&gt;V$1,feasible_mat!V11=1),(VLOOKUP(V$1,test!$A$3:$I$32,8,FALSE))-(VLOOKUP($A11,test!$A$3:$I$32,9,FALSE)),0)</f>
        <v>0</v>
      </c>
      <c r="W11">
        <f>IF(AND(SUM(VLOOKUP($A11,test!$A$3:$F$32,2,FALSE),VLOOKUP(W$1,test!$A$3:$F$32,2,FALSE))&lt;test!$K$16,$A11&lt;&gt;W$1,feasible_mat!W11=1),(VLOOKUP(W$1,test!$A$3:$I$32,8,FALSE))-(VLOOKUP($A11,test!$A$3:$I$32,9,FALSE)),0)</f>
        <v>0</v>
      </c>
      <c r="X11">
        <f>IF(AND(SUM(VLOOKUP($A11,test!$A$3:$F$32,2,FALSE),VLOOKUP(X$1,test!$A$3:$F$32,2,FALSE))&lt;test!$K$16,$A11&lt;&gt;X$1,feasible_mat!X11=1),(VLOOKUP(X$1,test!$A$3:$I$32,8,FALSE))-(VLOOKUP($A11,test!$A$3:$I$32,9,FALSE)),0)</f>
        <v>0</v>
      </c>
      <c r="Y11">
        <f>IF(AND(SUM(VLOOKUP($A11,test!$A$3:$F$32,2,FALSE),VLOOKUP(Y$1,test!$A$3:$F$32,2,FALSE))&lt;test!$K$16,$A11&lt;&gt;Y$1,feasible_mat!Y11=1),(VLOOKUP(Y$1,test!$A$3:$I$32,8,FALSE))-(VLOOKUP($A11,test!$A$3:$I$32,9,FALSE)),0)</f>
        <v>0</v>
      </c>
      <c r="Z11">
        <f>IF(AND(SUM(VLOOKUP($A11,test!$A$3:$F$32,2,FALSE),VLOOKUP(Z$1,test!$A$3:$F$32,2,FALSE))&lt;test!$K$16,$A11&lt;&gt;Z$1,feasible_mat!Z11=1),(VLOOKUP(Z$1,test!$A$3:$I$32,8,FALSE))-(VLOOKUP($A11,test!$A$3:$I$32,9,FALSE)),0)</f>
        <v>45</v>
      </c>
      <c r="AA11">
        <f>IF(AND(SUM(VLOOKUP($A11,test!$A$3:$F$32,2,FALSE),VLOOKUP(AA$1,test!$A$3:$F$32,2,FALSE))&lt;test!$K$16,$A11&lt;&gt;AA$1,feasible_mat!AA11=1),(VLOOKUP(AA$1,test!$A$3:$I$32,8,FALSE))-(VLOOKUP($A11,test!$A$3:$I$32,9,FALSE)),0)</f>
        <v>165</v>
      </c>
      <c r="AB11">
        <f>IF(AND(SUM(VLOOKUP($A11,test!$A$3:$F$32,2,FALSE),VLOOKUP(AB$1,test!$A$3:$F$32,2,FALSE))&lt;test!$K$16,$A11&lt;&gt;AB$1,feasible_mat!AB11=1),(VLOOKUP(AB$1,test!$A$3:$I$32,8,FALSE))-(VLOOKUP($A11,test!$A$3:$I$32,9,FALSE)),0)</f>
        <v>225</v>
      </c>
      <c r="AC11">
        <f>IF(AND(SUM(VLOOKUP($A11,test!$A$3:$F$32,2,FALSE),VLOOKUP(AC$1,test!$A$3:$F$32,2,FALSE))&lt;test!$K$16,$A11&lt;&gt;AC$1,feasible_mat!AC11=1),(VLOOKUP(AC$1,test!$A$3:$I$32,8,FALSE))-(VLOOKUP($A11,test!$A$3:$I$32,9,FALSE)),0)</f>
        <v>345</v>
      </c>
      <c r="AD11">
        <f>IF(AND(SUM(VLOOKUP($A11,test!$A$3:$F$32,2,FALSE),VLOOKUP(AD$1,test!$A$3:$F$32,2,FALSE))&lt;test!$K$16,$A11&lt;&gt;AD$1,feasible_mat!AD11=1),(VLOOKUP(AD$1,test!$A$3:$F$32,8,FALSE))-(VLOOKUP($A11,test!$A$3:$F$32,9,FALSE)),0)</f>
        <v>0</v>
      </c>
      <c r="AE11">
        <f>IF(AND(SUM(VLOOKUP($A11,test!$A$3:$F$32,2,FALSE),VLOOKUP(AE$1,test!$A$3:$F$32,2,FALSE))&lt;test!$K$16,$A11&lt;&gt;AE$1,feasible_mat!AE11=1),(VLOOKUP(AE$1,test!$A$3:$F$32,8,FALSE))-(VLOOKUP($A11,test!$A$3:$F$32,9,FALSE)),0)</f>
        <v>0</v>
      </c>
      <c r="AF11">
        <f>IF(AND(SUM(VLOOKUP($A11,test!$A$3:$F$32,2,FALSE),VLOOKUP(AF$1,test!$A$3:$F$32,2,FALSE))&lt;test!$K$16,$A11&lt;&gt;AF$1,feasible_mat!AF11=1),(VLOOKUP(AF$1,test!$A$3:$F$32,8,FALSE))-(VLOOKUP($A11,test!$A$3:$F$32,9,FALSE)),0)</f>
        <v>0</v>
      </c>
    </row>
    <row r="12" spans="1:36" x14ac:dyDescent="0.25">
      <c r="A12" t="s">
        <v>20</v>
      </c>
      <c r="B12">
        <v>0</v>
      </c>
      <c r="C12">
        <f>IF(AND(SUM(VLOOKUP($A12,test!$A$3:$F$32,2,FALSE),VLOOKUP(C$1,test!$A$3:$F$32,2,FALSE))&lt;test!$K$16,$A12&lt;&gt;C$1,feasible_mat!C12=1),(VLOOKUP(C$1,test!$A$3:$I$32,8,FALSE))-(VLOOKUP($A12,test!$A$3:$I$32,9,FALSE)),0)</f>
        <v>0</v>
      </c>
      <c r="D12">
        <f>IF(AND(SUM(VLOOKUP($A12,test!$A$3:$F$32,2,FALSE),VLOOKUP(D$1,test!$A$3:$F$32,2,FALSE))&lt;test!$K$16,$A12&lt;&gt;D$1,feasible_mat!D12=1),(VLOOKUP(D$1,test!$A$3:$I$32,8,FALSE))-(VLOOKUP($A12,test!$A$3:$I$32,9,FALSE)),0)</f>
        <v>0</v>
      </c>
      <c r="E12">
        <f>IF(AND(SUM(VLOOKUP($A12,test!$A$3:$F$32,2,FALSE),VLOOKUP(E$1,test!$A$3:$F$32,2,FALSE))&lt;test!$K$16,$A12&lt;&gt;E$1,feasible_mat!E12=1),(VLOOKUP(E$1,test!$A$3:$I$32,8,FALSE))-(VLOOKUP($A12,test!$A$3:$I$32,9,FALSE)),0)</f>
        <v>0</v>
      </c>
      <c r="F12">
        <f>IF(AND(SUM(VLOOKUP($A12,test!$A$3:$F$32,2,FALSE),VLOOKUP(F$1,test!$A$3:$F$32,2,FALSE))&lt;test!$K$16,$A12&lt;&gt;F$1,feasible_mat!F12=1),(VLOOKUP(F$1,test!$A$3:$I$32,8,FALSE))-(VLOOKUP($A12,test!$A$3:$I$32,9,FALSE)),0)</f>
        <v>0</v>
      </c>
      <c r="G12">
        <f>IF(AND(SUM(VLOOKUP($A12,test!$A$3:$F$32,2,FALSE),VLOOKUP(G$1,test!$A$3:$F$32,2,FALSE))&lt;test!$K$16,$A12&lt;&gt;G$1,feasible_mat!G12=1),(VLOOKUP(G$1,test!$A$3:$I$32,8,FALSE))-(VLOOKUP($A12,test!$A$3:$I$32,9,FALSE)),0)</f>
        <v>0</v>
      </c>
      <c r="H12">
        <f>IF(AND(SUM(VLOOKUP($A12,test!$A$3:$F$32,2,FALSE),VLOOKUP(H$1,test!$A$3:$F$32,2,FALSE))&lt;test!$K$16,$A12&lt;&gt;H$1,feasible_mat!H12=1),(VLOOKUP(H$1,test!$A$3:$I$32,8,FALSE))-(VLOOKUP($A12,test!$A$3:$I$32,9,FALSE)),0)</f>
        <v>0</v>
      </c>
      <c r="I12">
        <f>IF(AND(SUM(VLOOKUP($A12,test!$A$3:$F$32,2,FALSE),VLOOKUP(I$1,test!$A$3:$F$32,2,FALSE))&lt;test!$K$16,$A12&lt;&gt;I$1,feasible_mat!I12=1),(VLOOKUP(I$1,test!$A$3:$I$32,8,FALSE))-(VLOOKUP($A12,test!$A$3:$I$32,9,FALSE)),0)</f>
        <v>0</v>
      </c>
      <c r="J12">
        <f>IF(AND(SUM(VLOOKUP($A12,test!$A$3:$F$32,2,FALSE),VLOOKUP(J$1,test!$A$3:$F$32,2,FALSE))&lt;test!$K$16,$A12&lt;&gt;J$1,feasible_mat!J12=1),(VLOOKUP(J$1,test!$A$3:$I$32,8,FALSE))-(VLOOKUP($A12,test!$A$3:$I$32,9,FALSE)),0)</f>
        <v>0</v>
      </c>
      <c r="K12">
        <f>IF(AND(SUM(VLOOKUP($A12,test!$A$3:$F$32,2,FALSE),VLOOKUP(K$1,test!$A$3:$F$32,2,FALSE))&lt;test!$K$16,$A12&lt;&gt;K$1,feasible_mat!K12=1),(VLOOKUP(K$1,test!$A$3:$I$32,8,FALSE))-(VLOOKUP($A12,test!$A$3:$I$32,9,FALSE)),0)</f>
        <v>0</v>
      </c>
      <c r="L12">
        <f>IF(AND(SUM(VLOOKUP($A12,test!$A$3:$F$32,2,FALSE),VLOOKUP(L$1,test!$A$3:$F$32,2,FALSE))&lt;test!$K$16,$A12&lt;&gt;L$1,feasible_mat!L12=1),(VLOOKUP(L$1,test!$A$3:$I$32,8,FALSE))-(VLOOKUP($A12,test!$A$3:$I$32,9,FALSE)),0)</f>
        <v>0</v>
      </c>
      <c r="M12">
        <f>IF(AND(SUM(VLOOKUP($A12,test!$A$3:$F$32,2,FALSE),VLOOKUP(M$1,test!$A$3:$F$32,2,FALSE))&lt;test!$K$16,$A12&lt;&gt;M$1,feasible_mat!M12=1),(VLOOKUP(M$1,test!$A$3:$I$32,8,FALSE))-(VLOOKUP($A12,test!$A$3:$I$32,9,FALSE)),0)</f>
        <v>0</v>
      </c>
      <c r="N12">
        <f>IF(AND(SUM(VLOOKUP($A12,test!$A$3:$F$32,2,FALSE),VLOOKUP(N$1,test!$A$3:$F$32,2,FALSE))&lt;test!$K$16,$A12&lt;&gt;N$1,feasible_mat!N12=1),(VLOOKUP(N$1,test!$A$3:$I$32,8,FALSE))-(VLOOKUP($A12,test!$A$3:$I$32,9,FALSE)),0)</f>
        <v>0</v>
      </c>
      <c r="O12">
        <f>IF(AND(SUM(VLOOKUP($A12,test!$A$3:$F$32,2,FALSE),VLOOKUP(O$1,test!$A$3:$F$32,2,FALSE))&lt;test!$K$16,$A12&lt;&gt;O$1,feasible_mat!O12=1),(VLOOKUP(O$1,test!$A$3:$I$32,8,FALSE))-(VLOOKUP($A12,test!$A$3:$I$32,9,FALSE)),0)</f>
        <v>0</v>
      </c>
      <c r="P12">
        <f>IF(AND(SUM(VLOOKUP($A12,test!$A$3:$F$32,2,FALSE),VLOOKUP(P$1,test!$A$3:$F$32,2,FALSE))&lt;test!$K$16,$A12&lt;&gt;P$1,feasible_mat!P12=1),(VLOOKUP(P$1,test!$A$3:$I$32,8,FALSE))-(VLOOKUP($A12,test!$A$3:$I$32,9,FALSE)),0)</f>
        <v>0</v>
      </c>
      <c r="Q12">
        <f>IF(AND(SUM(VLOOKUP($A12,test!$A$3:$F$32,2,FALSE),VLOOKUP(Q$1,test!$A$3:$F$32,2,FALSE))&lt;test!$K$16,$A12&lt;&gt;Q$1,feasible_mat!Q12=1),(VLOOKUP(Q$1,test!$A$3:$I$32,8,FALSE))-(VLOOKUP($A12,test!$A$3:$I$32,9,FALSE)),0)</f>
        <v>0</v>
      </c>
      <c r="R12">
        <f>IF(AND(SUM(VLOOKUP($A12,test!$A$3:$F$32,2,FALSE),VLOOKUP(R$1,test!$A$3:$F$32,2,FALSE))&lt;test!$K$16,$A12&lt;&gt;R$1,feasible_mat!R12=1),(VLOOKUP(R$1,test!$A$3:$I$32,8,FALSE))-(VLOOKUP($A12,test!$A$3:$I$32,9,FALSE)),0)</f>
        <v>0</v>
      </c>
      <c r="S12">
        <f>IF(AND(SUM(VLOOKUP($A12,test!$A$3:$F$32,2,FALSE),VLOOKUP(S$1,test!$A$3:$F$32,2,FALSE))&lt;test!$K$16,$A12&lt;&gt;S$1,feasible_mat!S12=1),(VLOOKUP(S$1,test!$A$3:$I$32,8,FALSE))-(VLOOKUP($A12,test!$A$3:$I$32,9,FALSE)),0)</f>
        <v>0</v>
      </c>
      <c r="T12">
        <f>IF(AND(SUM(VLOOKUP($A12,test!$A$3:$F$32,2,FALSE),VLOOKUP(T$1,test!$A$3:$F$32,2,FALSE))&lt;test!$K$16,$A12&lt;&gt;T$1,feasible_mat!T12=1),(VLOOKUP(T$1,test!$A$3:$I$32,8,FALSE))-(VLOOKUP($A12,test!$A$3:$I$32,9,FALSE)),0)</f>
        <v>0</v>
      </c>
      <c r="U12">
        <f>IF(AND(SUM(VLOOKUP($A12,test!$A$3:$F$32,2,FALSE),VLOOKUP(U$1,test!$A$3:$F$32,2,FALSE))&lt;test!$K$16,$A12&lt;&gt;U$1,feasible_mat!U12=1),(VLOOKUP(U$1,test!$A$3:$I$32,8,FALSE))-(VLOOKUP($A12,test!$A$3:$I$32,9,FALSE)),0)</f>
        <v>0</v>
      </c>
      <c r="V12">
        <f>IF(AND(SUM(VLOOKUP($A12,test!$A$3:$F$32,2,FALSE),VLOOKUP(V$1,test!$A$3:$F$32,2,FALSE))&lt;test!$K$16,$A12&lt;&gt;V$1,feasible_mat!V12=1),(VLOOKUP(V$1,test!$A$3:$I$32,8,FALSE))-(VLOOKUP($A12,test!$A$3:$I$32,9,FALSE)),0)</f>
        <v>0</v>
      </c>
      <c r="W12">
        <f>IF(AND(SUM(VLOOKUP($A12,test!$A$3:$F$32,2,FALSE),VLOOKUP(W$1,test!$A$3:$F$32,2,FALSE))&lt;test!$K$16,$A12&lt;&gt;W$1,feasible_mat!W12=1),(VLOOKUP(W$1,test!$A$3:$I$32,8,FALSE))-(VLOOKUP($A12,test!$A$3:$I$32,9,FALSE)),0)</f>
        <v>0</v>
      </c>
      <c r="X12">
        <f>IF(AND(SUM(VLOOKUP($A12,test!$A$3:$F$32,2,FALSE),VLOOKUP(X$1,test!$A$3:$F$32,2,FALSE))&lt;test!$K$16,$A12&lt;&gt;X$1,feasible_mat!X12=1),(VLOOKUP(X$1,test!$A$3:$I$32,8,FALSE))-(VLOOKUP($A12,test!$A$3:$I$32,9,FALSE)),0)</f>
        <v>0</v>
      </c>
      <c r="Y12">
        <f>IF(AND(SUM(VLOOKUP($A12,test!$A$3:$F$32,2,FALSE),VLOOKUP(Y$1,test!$A$3:$F$32,2,FALSE))&lt;test!$K$16,$A12&lt;&gt;Y$1,feasible_mat!Y12=1),(VLOOKUP(Y$1,test!$A$3:$I$32,8,FALSE))-(VLOOKUP($A12,test!$A$3:$I$32,9,FALSE)),0)</f>
        <v>0</v>
      </c>
      <c r="Z12">
        <f>IF(AND(SUM(VLOOKUP($A12,test!$A$3:$F$32,2,FALSE),VLOOKUP(Z$1,test!$A$3:$F$32,2,FALSE))&lt;test!$K$16,$A12&lt;&gt;Z$1,feasible_mat!Z12=1),(VLOOKUP(Z$1,test!$A$3:$I$32,8,FALSE))-(VLOOKUP($A12,test!$A$3:$I$32,9,FALSE)),0)</f>
        <v>0</v>
      </c>
      <c r="AA12">
        <f>IF(AND(SUM(VLOOKUP($A12,test!$A$3:$F$32,2,FALSE),VLOOKUP(AA$1,test!$A$3:$F$32,2,FALSE))&lt;test!$K$16,$A12&lt;&gt;AA$1,feasible_mat!AA12=1),(VLOOKUP(AA$1,test!$A$3:$I$32,8,FALSE))-(VLOOKUP($A12,test!$A$3:$I$32,9,FALSE)),0)</f>
        <v>45</v>
      </c>
      <c r="AB12">
        <f>IF(AND(SUM(VLOOKUP($A12,test!$A$3:$F$32,2,FALSE),VLOOKUP(AB$1,test!$A$3:$F$32,2,FALSE))&lt;test!$K$16,$A12&lt;&gt;AB$1,feasible_mat!AB12=1),(VLOOKUP(AB$1,test!$A$3:$I$32,8,FALSE))-(VLOOKUP($A12,test!$A$3:$I$32,9,FALSE)),0)</f>
        <v>105</v>
      </c>
      <c r="AC12">
        <f>IF(AND(SUM(VLOOKUP($A12,test!$A$3:$F$32,2,FALSE),VLOOKUP(AC$1,test!$A$3:$F$32,2,FALSE))&lt;test!$K$16,$A12&lt;&gt;AC$1,feasible_mat!AC12=1),(VLOOKUP(AC$1,test!$A$3:$I$32,8,FALSE))-(VLOOKUP($A12,test!$A$3:$I$32,9,FALSE)),0)</f>
        <v>225</v>
      </c>
      <c r="AD12">
        <f>IF(AND(SUM(VLOOKUP($A12,test!$A$3:$F$32,2,FALSE),VLOOKUP(AD$1,test!$A$3:$F$32,2,FALSE))&lt;test!$K$16,$A12&lt;&gt;AD$1,feasible_mat!AD12=1),(VLOOKUP(AD$1,test!$A$3:$F$32,8,FALSE))-(VLOOKUP($A12,test!$A$3:$F$32,9,FALSE)),0)</f>
        <v>0</v>
      </c>
      <c r="AE12">
        <f>IF(AND(SUM(VLOOKUP($A12,test!$A$3:$F$32,2,FALSE),VLOOKUP(AE$1,test!$A$3:$F$32,2,FALSE))&lt;test!$K$16,$A12&lt;&gt;AE$1,feasible_mat!AE12=1),(VLOOKUP(AE$1,test!$A$3:$F$32,8,FALSE))-(VLOOKUP($A12,test!$A$3:$F$32,9,FALSE)),0)</f>
        <v>0</v>
      </c>
      <c r="AF12">
        <f>IF(AND(SUM(VLOOKUP($A12,test!$A$3:$F$32,2,FALSE),VLOOKUP(AF$1,test!$A$3:$F$32,2,FALSE))&lt;test!$K$16,$A12&lt;&gt;AF$1,feasible_mat!AF12=1),(VLOOKUP(AF$1,test!$A$3:$F$32,8,FALSE))-(VLOOKUP($A12,test!$A$3:$F$32,9,FALSE)),0)</f>
        <v>0</v>
      </c>
    </row>
    <row r="13" spans="1:36" x14ac:dyDescent="0.25">
      <c r="A13" t="s">
        <v>21</v>
      </c>
      <c r="B13">
        <v>0</v>
      </c>
      <c r="C13">
        <f>IF(AND(SUM(VLOOKUP($A13,test!$A$3:$F$32,2,FALSE),VLOOKUP(C$1,test!$A$3:$F$32,2,FALSE))&lt;test!$K$16,$A13&lt;&gt;C$1,feasible_mat!C13=1),(VLOOKUP(C$1,test!$A$3:$I$32,8,FALSE))-(VLOOKUP($A13,test!$A$3:$I$32,9,FALSE)),0)</f>
        <v>0</v>
      </c>
      <c r="D13">
        <f>IF(AND(SUM(VLOOKUP($A13,test!$A$3:$F$32,2,FALSE),VLOOKUP(D$1,test!$A$3:$F$32,2,FALSE))&lt;test!$K$16,$A13&lt;&gt;D$1,feasible_mat!D13=1),(VLOOKUP(D$1,test!$A$3:$I$32,8,FALSE))-(VLOOKUP($A13,test!$A$3:$I$32,9,FALSE)),0)</f>
        <v>0</v>
      </c>
      <c r="E13">
        <f>IF(AND(SUM(VLOOKUP($A13,test!$A$3:$F$32,2,FALSE),VLOOKUP(E$1,test!$A$3:$F$32,2,FALSE))&lt;test!$K$16,$A13&lt;&gt;E$1,feasible_mat!E13=1),(VLOOKUP(E$1,test!$A$3:$I$32,8,FALSE))-(VLOOKUP($A13,test!$A$3:$I$32,9,FALSE)),0)</f>
        <v>0</v>
      </c>
      <c r="F13">
        <f>IF(AND(SUM(VLOOKUP($A13,test!$A$3:$F$32,2,FALSE),VLOOKUP(F$1,test!$A$3:$F$32,2,FALSE))&lt;test!$K$16,$A13&lt;&gt;F$1,feasible_mat!F13=1),(VLOOKUP(F$1,test!$A$3:$I$32,8,FALSE))-(VLOOKUP($A13,test!$A$3:$I$32,9,FALSE)),0)</f>
        <v>0</v>
      </c>
      <c r="G13">
        <f>IF(AND(SUM(VLOOKUP($A13,test!$A$3:$F$32,2,FALSE),VLOOKUP(G$1,test!$A$3:$F$32,2,FALSE))&lt;test!$K$16,$A13&lt;&gt;G$1,feasible_mat!G13=1),(VLOOKUP(G$1,test!$A$3:$I$32,8,FALSE))-(VLOOKUP($A13,test!$A$3:$I$32,9,FALSE)),0)</f>
        <v>0</v>
      </c>
      <c r="H13">
        <f>IF(AND(SUM(VLOOKUP($A13,test!$A$3:$F$32,2,FALSE),VLOOKUP(H$1,test!$A$3:$F$32,2,FALSE))&lt;test!$K$16,$A13&lt;&gt;H$1,feasible_mat!H13=1),(VLOOKUP(H$1,test!$A$3:$I$32,8,FALSE))-(VLOOKUP($A13,test!$A$3:$I$32,9,FALSE)),0)</f>
        <v>0</v>
      </c>
      <c r="I13">
        <f>IF(AND(SUM(VLOOKUP($A13,test!$A$3:$F$32,2,FALSE),VLOOKUP(I$1,test!$A$3:$F$32,2,FALSE))&lt;test!$K$16,$A13&lt;&gt;I$1,feasible_mat!I13=1),(VLOOKUP(I$1,test!$A$3:$I$32,8,FALSE))-(VLOOKUP($A13,test!$A$3:$I$32,9,FALSE)),0)</f>
        <v>0</v>
      </c>
      <c r="J13">
        <f>IF(AND(SUM(VLOOKUP($A13,test!$A$3:$F$32,2,FALSE),VLOOKUP(J$1,test!$A$3:$F$32,2,FALSE))&lt;test!$K$16,$A13&lt;&gt;J$1,feasible_mat!J13=1),(VLOOKUP(J$1,test!$A$3:$I$32,8,FALSE))-(VLOOKUP($A13,test!$A$3:$I$32,9,FALSE)),0)</f>
        <v>0</v>
      </c>
      <c r="K13">
        <f>IF(AND(SUM(VLOOKUP($A13,test!$A$3:$F$32,2,FALSE),VLOOKUP(K$1,test!$A$3:$F$32,2,FALSE))&lt;test!$K$16,$A13&lt;&gt;K$1,feasible_mat!K13=1),(VLOOKUP(K$1,test!$A$3:$I$32,8,FALSE))-(VLOOKUP($A13,test!$A$3:$I$32,9,FALSE)),0)</f>
        <v>0</v>
      </c>
      <c r="L13">
        <f>IF(AND(SUM(VLOOKUP($A13,test!$A$3:$F$32,2,FALSE),VLOOKUP(L$1,test!$A$3:$F$32,2,FALSE))&lt;test!$K$16,$A13&lt;&gt;L$1,feasible_mat!L13=1),(VLOOKUP(L$1,test!$A$3:$I$32,8,FALSE))-(VLOOKUP($A13,test!$A$3:$I$32,9,FALSE)),0)</f>
        <v>0</v>
      </c>
      <c r="M13">
        <f>IF(AND(SUM(VLOOKUP($A13,test!$A$3:$F$32,2,FALSE),VLOOKUP(M$1,test!$A$3:$F$32,2,FALSE))&lt;test!$K$16,$A13&lt;&gt;M$1,feasible_mat!M13=1),(VLOOKUP(M$1,test!$A$3:$I$32,8,FALSE))-(VLOOKUP($A13,test!$A$3:$I$32,9,FALSE)),0)</f>
        <v>0</v>
      </c>
      <c r="N13">
        <f>IF(AND(SUM(VLOOKUP($A13,test!$A$3:$F$32,2,FALSE),VLOOKUP(N$1,test!$A$3:$F$32,2,FALSE))&lt;test!$K$16,$A13&lt;&gt;N$1,feasible_mat!N13=1),(VLOOKUP(N$1,test!$A$3:$I$32,8,FALSE))-(VLOOKUP($A13,test!$A$3:$I$32,9,FALSE)),0)</f>
        <v>0</v>
      </c>
      <c r="O13">
        <f>IF(AND(SUM(VLOOKUP($A13,test!$A$3:$F$32,2,FALSE),VLOOKUP(O$1,test!$A$3:$F$32,2,FALSE))&lt;test!$K$16,$A13&lt;&gt;O$1,feasible_mat!O13=1),(VLOOKUP(O$1,test!$A$3:$I$32,8,FALSE))-(VLOOKUP($A13,test!$A$3:$I$32,9,FALSE)),0)</f>
        <v>0</v>
      </c>
      <c r="P13">
        <f>IF(AND(SUM(VLOOKUP($A13,test!$A$3:$F$32,2,FALSE),VLOOKUP(P$1,test!$A$3:$F$32,2,FALSE))&lt;test!$K$16,$A13&lt;&gt;P$1,feasible_mat!P13=1),(VLOOKUP(P$1,test!$A$3:$I$32,8,FALSE))-(VLOOKUP($A13,test!$A$3:$I$32,9,FALSE)),0)</f>
        <v>0</v>
      </c>
      <c r="Q13">
        <f>IF(AND(SUM(VLOOKUP($A13,test!$A$3:$F$32,2,FALSE),VLOOKUP(Q$1,test!$A$3:$F$32,2,FALSE))&lt;test!$K$16,$A13&lt;&gt;Q$1,feasible_mat!Q13=1),(VLOOKUP(Q$1,test!$A$3:$I$32,8,FALSE))-(VLOOKUP($A13,test!$A$3:$I$32,9,FALSE)),0)</f>
        <v>0</v>
      </c>
      <c r="R13">
        <f>IF(AND(SUM(VLOOKUP($A13,test!$A$3:$F$32,2,FALSE),VLOOKUP(R$1,test!$A$3:$F$32,2,FALSE))&lt;test!$K$16,$A13&lt;&gt;R$1,feasible_mat!R13=1),(VLOOKUP(R$1,test!$A$3:$I$32,8,FALSE))-(VLOOKUP($A13,test!$A$3:$I$32,9,FALSE)),0)</f>
        <v>0</v>
      </c>
      <c r="S13">
        <f>IF(AND(SUM(VLOOKUP($A13,test!$A$3:$F$32,2,FALSE),VLOOKUP(S$1,test!$A$3:$F$32,2,FALSE))&lt;test!$K$16,$A13&lt;&gt;S$1,feasible_mat!S13=1),(VLOOKUP(S$1,test!$A$3:$I$32,8,FALSE))-(VLOOKUP($A13,test!$A$3:$I$32,9,FALSE)),0)</f>
        <v>0</v>
      </c>
      <c r="T13">
        <f>IF(AND(SUM(VLOOKUP($A13,test!$A$3:$F$32,2,FALSE),VLOOKUP(T$1,test!$A$3:$F$32,2,FALSE))&lt;test!$K$16,$A13&lt;&gt;T$1,feasible_mat!T13=1),(VLOOKUP(T$1,test!$A$3:$I$32,8,FALSE))-(VLOOKUP($A13,test!$A$3:$I$32,9,FALSE)),0)</f>
        <v>0</v>
      </c>
      <c r="U13">
        <f>IF(AND(SUM(VLOOKUP($A13,test!$A$3:$F$32,2,FALSE),VLOOKUP(U$1,test!$A$3:$F$32,2,FALSE))&lt;test!$K$16,$A13&lt;&gt;U$1,feasible_mat!U13=1),(VLOOKUP(U$1,test!$A$3:$I$32,8,FALSE))-(VLOOKUP($A13,test!$A$3:$I$32,9,FALSE)),0)</f>
        <v>0</v>
      </c>
      <c r="V13">
        <f>IF(AND(SUM(VLOOKUP($A13,test!$A$3:$F$32,2,FALSE),VLOOKUP(V$1,test!$A$3:$F$32,2,FALSE))&lt;test!$K$16,$A13&lt;&gt;V$1,feasible_mat!V13=1),(VLOOKUP(V$1,test!$A$3:$I$32,8,FALSE))-(VLOOKUP($A13,test!$A$3:$I$32,9,FALSE)),0)</f>
        <v>0</v>
      </c>
      <c r="W13">
        <f>IF(AND(SUM(VLOOKUP($A13,test!$A$3:$F$32,2,FALSE),VLOOKUP(W$1,test!$A$3:$F$32,2,FALSE))&lt;test!$K$16,$A13&lt;&gt;W$1,feasible_mat!W13=1),(VLOOKUP(W$1,test!$A$3:$I$32,8,FALSE))-(VLOOKUP($A13,test!$A$3:$I$32,9,FALSE)),0)</f>
        <v>0</v>
      </c>
      <c r="X13">
        <f>IF(AND(SUM(VLOOKUP($A13,test!$A$3:$F$32,2,FALSE),VLOOKUP(X$1,test!$A$3:$F$32,2,FALSE))&lt;test!$K$16,$A13&lt;&gt;X$1,feasible_mat!X13=1),(VLOOKUP(X$1,test!$A$3:$I$32,8,FALSE))-(VLOOKUP($A13,test!$A$3:$I$32,9,FALSE)),0)</f>
        <v>0</v>
      </c>
      <c r="Y13">
        <f>IF(AND(SUM(VLOOKUP($A13,test!$A$3:$F$32,2,FALSE),VLOOKUP(Y$1,test!$A$3:$F$32,2,FALSE))&lt;test!$K$16,$A13&lt;&gt;Y$1,feasible_mat!Y13=1),(VLOOKUP(Y$1,test!$A$3:$I$32,8,FALSE))-(VLOOKUP($A13,test!$A$3:$I$32,9,FALSE)),0)</f>
        <v>0</v>
      </c>
      <c r="Z13">
        <f>IF(AND(SUM(VLOOKUP($A13,test!$A$3:$F$32,2,FALSE),VLOOKUP(Z$1,test!$A$3:$F$32,2,FALSE))&lt;test!$K$16,$A13&lt;&gt;Z$1,feasible_mat!Z13=1),(VLOOKUP(Z$1,test!$A$3:$I$32,8,FALSE))-(VLOOKUP($A13,test!$A$3:$I$32,9,FALSE)),0)</f>
        <v>0</v>
      </c>
      <c r="AA13">
        <f>IF(AND(SUM(VLOOKUP($A13,test!$A$3:$F$32,2,FALSE),VLOOKUP(AA$1,test!$A$3:$F$32,2,FALSE))&lt;test!$K$16,$A13&lt;&gt;AA$1,feasible_mat!AA13=1),(VLOOKUP(AA$1,test!$A$3:$I$32,8,FALSE))-(VLOOKUP($A13,test!$A$3:$I$32,9,FALSE)),0)</f>
        <v>0</v>
      </c>
      <c r="AB13">
        <f>IF(AND(SUM(VLOOKUP($A13,test!$A$3:$F$32,2,FALSE),VLOOKUP(AB$1,test!$A$3:$F$32,2,FALSE))&lt;test!$K$16,$A13&lt;&gt;AB$1,feasible_mat!AB13=1),(VLOOKUP(AB$1,test!$A$3:$I$32,8,FALSE))-(VLOOKUP($A13,test!$A$3:$I$32,9,FALSE)),0)</f>
        <v>0</v>
      </c>
      <c r="AC13">
        <f>IF(AND(SUM(VLOOKUP($A13,test!$A$3:$F$32,2,FALSE),VLOOKUP(AC$1,test!$A$3:$F$32,2,FALSE))&lt;test!$K$16,$A13&lt;&gt;AC$1,feasible_mat!AC13=1),(VLOOKUP(AC$1,test!$A$3:$I$32,8,FALSE))-(VLOOKUP($A13,test!$A$3:$I$32,9,FALSE)),0)</f>
        <v>105</v>
      </c>
      <c r="AD13">
        <f>IF(AND(SUM(VLOOKUP($A13,test!$A$3:$F$32,2,FALSE),VLOOKUP(AD$1,test!$A$3:$F$32,2,FALSE))&lt;test!$K$16,$A13&lt;&gt;AD$1,feasible_mat!AD13=1),(VLOOKUP(AD$1,test!$A$3:$F$32,8,FALSE))-(VLOOKUP($A13,test!$A$3:$F$32,9,FALSE)),0)</f>
        <v>0</v>
      </c>
      <c r="AE13">
        <f>IF(AND(SUM(VLOOKUP($A13,test!$A$3:$F$32,2,FALSE),VLOOKUP(AE$1,test!$A$3:$F$32,2,FALSE))&lt;test!$K$16,$A13&lt;&gt;AE$1,feasible_mat!AE13=1),(VLOOKUP(AE$1,test!$A$3:$F$32,8,FALSE))-(VLOOKUP($A13,test!$A$3:$F$32,9,FALSE)),0)</f>
        <v>0</v>
      </c>
      <c r="AF13">
        <f>IF(AND(SUM(VLOOKUP($A13,test!$A$3:$F$32,2,FALSE),VLOOKUP(AF$1,test!$A$3:$F$32,2,FALSE))&lt;test!$K$16,$A13&lt;&gt;AF$1,feasible_mat!AF13=1),(VLOOKUP(AF$1,test!$A$3:$F$32,8,FALSE))-(VLOOKUP($A13,test!$A$3:$F$32,9,FALSE)),0)</f>
        <v>0</v>
      </c>
    </row>
    <row r="14" spans="1:36" x14ac:dyDescent="0.25">
      <c r="A14" t="s">
        <v>22</v>
      </c>
      <c r="B14">
        <v>0</v>
      </c>
      <c r="C14">
        <f>IF(AND(SUM(VLOOKUP($A14,test!$A$3:$F$32,2,FALSE),VLOOKUP(C$1,test!$A$3:$F$32,2,FALSE))&lt;test!$K$16,$A14&lt;&gt;C$1,feasible_mat!C14=1),(VLOOKUP(C$1,test!$A$3:$I$32,8,FALSE))-(VLOOKUP($A14,test!$A$3:$I$32,9,FALSE)),0)</f>
        <v>0</v>
      </c>
      <c r="D14">
        <f>IF(AND(SUM(VLOOKUP($A14,test!$A$3:$F$32,2,FALSE),VLOOKUP(D$1,test!$A$3:$F$32,2,FALSE))&lt;test!$K$16,$A14&lt;&gt;D$1,feasible_mat!D14=1),(VLOOKUP(D$1,test!$A$3:$I$32,8,FALSE))-(VLOOKUP($A14,test!$A$3:$I$32,9,FALSE)),0)</f>
        <v>0</v>
      </c>
      <c r="E14">
        <f>IF(AND(SUM(VLOOKUP($A14,test!$A$3:$F$32,2,FALSE),VLOOKUP(E$1,test!$A$3:$F$32,2,FALSE))&lt;test!$K$16,$A14&lt;&gt;E$1,feasible_mat!E14=1),(VLOOKUP(E$1,test!$A$3:$I$32,8,FALSE))-(VLOOKUP($A14,test!$A$3:$I$32,9,FALSE)),0)</f>
        <v>0</v>
      </c>
      <c r="F14">
        <f>IF(AND(SUM(VLOOKUP($A14,test!$A$3:$F$32,2,FALSE),VLOOKUP(F$1,test!$A$3:$F$32,2,FALSE))&lt;test!$K$16,$A14&lt;&gt;F$1,feasible_mat!F14=1),(VLOOKUP(F$1,test!$A$3:$I$32,8,FALSE))-(VLOOKUP($A14,test!$A$3:$I$32,9,FALSE)),0)</f>
        <v>0</v>
      </c>
      <c r="G14">
        <f>IF(AND(SUM(VLOOKUP($A14,test!$A$3:$F$32,2,FALSE),VLOOKUP(G$1,test!$A$3:$F$32,2,FALSE))&lt;test!$K$16,$A14&lt;&gt;G$1,feasible_mat!G14=1),(VLOOKUP(G$1,test!$A$3:$I$32,8,FALSE))-(VLOOKUP($A14,test!$A$3:$I$32,9,FALSE)),0)</f>
        <v>0</v>
      </c>
      <c r="H14">
        <f>IF(AND(SUM(VLOOKUP($A14,test!$A$3:$F$32,2,FALSE),VLOOKUP(H$1,test!$A$3:$F$32,2,FALSE))&lt;test!$K$16,$A14&lt;&gt;H$1,feasible_mat!H14=1),(VLOOKUP(H$1,test!$A$3:$I$32,8,FALSE))-(VLOOKUP($A14,test!$A$3:$I$32,9,FALSE)),0)</f>
        <v>0</v>
      </c>
      <c r="I14">
        <f>IF(AND(SUM(VLOOKUP($A14,test!$A$3:$F$32,2,FALSE),VLOOKUP(I$1,test!$A$3:$F$32,2,FALSE))&lt;test!$K$16,$A14&lt;&gt;I$1,feasible_mat!I14=1),(VLOOKUP(I$1,test!$A$3:$I$32,8,FALSE))-(VLOOKUP($A14,test!$A$3:$I$32,9,FALSE)),0)</f>
        <v>0</v>
      </c>
      <c r="J14">
        <f>IF(AND(SUM(VLOOKUP($A14,test!$A$3:$F$32,2,FALSE),VLOOKUP(J$1,test!$A$3:$F$32,2,FALSE))&lt;test!$K$16,$A14&lt;&gt;J$1,feasible_mat!J14=1),(VLOOKUP(J$1,test!$A$3:$I$32,8,FALSE))-(VLOOKUP($A14,test!$A$3:$I$32,9,FALSE)),0)</f>
        <v>0</v>
      </c>
      <c r="K14">
        <f>IF(AND(SUM(VLOOKUP($A14,test!$A$3:$F$32,2,FALSE),VLOOKUP(K$1,test!$A$3:$F$32,2,FALSE))&lt;test!$K$16,$A14&lt;&gt;K$1,feasible_mat!K14=1),(VLOOKUP(K$1,test!$A$3:$I$32,8,FALSE))-(VLOOKUP($A14,test!$A$3:$I$32,9,FALSE)),0)</f>
        <v>0</v>
      </c>
      <c r="L14">
        <f>IF(AND(SUM(VLOOKUP($A14,test!$A$3:$F$32,2,FALSE),VLOOKUP(L$1,test!$A$3:$F$32,2,FALSE))&lt;test!$K$16,$A14&lt;&gt;L$1,feasible_mat!L14=1),(VLOOKUP(L$1,test!$A$3:$I$32,8,FALSE))-(VLOOKUP($A14,test!$A$3:$I$32,9,FALSE)),0)</f>
        <v>0</v>
      </c>
      <c r="M14">
        <f>IF(AND(SUM(VLOOKUP($A14,test!$A$3:$F$32,2,FALSE),VLOOKUP(M$1,test!$A$3:$F$32,2,FALSE))&lt;test!$K$16,$A14&lt;&gt;M$1,feasible_mat!M14=1),(VLOOKUP(M$1,test!$A$3:$I$32,8,FALSE))-(VLOOKUP($A14,test!$A$3:$I$32,9,FALSE)),0)</f>
        <v>0</v>
      </c>
      <c r="N14">
        <f>IF(AND(SUM(VLOOKUP($A14,test!$A$3:$F$32,2,FALSE),VLOOKUP(N$1,test!$A$3:$F$32,2,FALSE))&lt;test!$K$16,$A14&lt;&gt;N$1,feasible_mat!N14=1),(VLOOKUP(N$1,test!$A$3:$I$32,8,FALSE))-(VLOOKUP($A14,test!$A$3:$I$32,9,FALSE)),0)</f>
        <v>0</v>
      </c>
      <c r="O14">
        <f>IF(AND(SUM(VLOOKUP($A14,test!$A$3:$F$32,2,FALSE),VLOOKUP(O$1,test!$A$3:$F$32,2,FALSE))&lt;test!$K$16,$A14&lt;&gt;O$1,feasible_mat!O14=1),(VLOOKUP(O$1,test!$A$3:$I$32,8,FALSE))-(VLOOKUP($A14,test!$A$3:$I$32,9,FALSE)),0)</f>
        <v>0</v>
      </c>
      <c r="P14">
        <f>IF(AND(SUM(VLOOKUP($A14,test!$A$3:$F$32,2,FALSE),VLOOKUP(P$1,test!$A$3:$F$32,2,FALSE))&lt;test!$K$16,$A14&lt;&gt;P$1,feasible_mat!P14=1),(VLOOKUP(P$1,test!$A$3:$I$32,8,FALSE))-(VLOOKUP($A14,test!$A$3:$I$32,9,FALSE)),0)</f>
        <v>0</v>
      </c>
      <c r="Q14">
        <f>IF(AND(SUM(VLOOKUP($A14,test!$A$3:$F$32,2,FALSE),VLOOKUP(Q$1,test!$A$3:$F$32,2,FALSE))&lt;test!$K$16,$A14&lt;&gt;Q$1,feasible_mat!Q14=1),(VLOOKUP(Q$1,test!$A$3:$I$32,8,FALSE))-(VLOOKUP($A14,test!$A$3:$I$32,9,FALSE)),0)</f>
        <v>0</v>
      </c>
      <c r="R14">
        <f>IF(AND(SUM(VLOOKUP($A14,test!$A$3:$F$32,2,FALSE),VLOOKUP(R$1,test!$A$3:$F$32,2,FALSE))&lt;test!$K$16,$A14&lt;&gt;R$1,feasible_mat!R14=1),(VLOOKUP(R$1,test!$A$3:$I$32,8,FALSE))-(VLOOKUP($A14,test!$A$3:$I$32,9,FALSE)),0)</f>
        <v>0</v>
      </c>
      <c r="S14">
        <f>IF(AND(SUM(VLOOKUP($A14,test!$A$3:$F$32,2,FALSE),VLOOKUP(S$1,test!$A$3:$F$32,2,FALSE))&lt;test!$K$16,$A14&lt;&gt;S$1,feasible_mat!S14=1),(VLOOKUP(S$1,test!$A$3:$I$32,8,FALSE))-(VLOOKUP($A14,test!$A$3:$I$32,9,FALSE)),0)</f>
        <v>0</v>
      </c>
      <c r="T14">
        <f>IF(AND(SUM(VLOOKUP($A14,test!$A$3:$F$32,2,FALSE),VLOOKUP(T$1,test!$A$3:$F$32,2,FALSE))&lt;test!$K$16,$A14&lt;&gt;T$1,feasible_mat!T14=1),(VLOOKUP(T$1,test!$A$3:$I$32,8,FALSE))-(VLOOKUP($A14,test!$A$3:$I$32,9,FALSE)),0)</f>
        <v>0</v>
      </c>
      <c r="U14">
        <f>IF(AND(SUM(VLOOKUP($A14,test!$A$3:$F$32,2,FALSE),VLOOKUP(U$1,test!$A$3:$F$32,2,FALSE))&lt;test!$K$16,$A14&lt;&gt;U$1,feasible_mat!U14=1),(VLOOKUP(U$1,test!$A$3:$I$32,8,FALSE))-(VLOOKUP($A14,test!$A$3:$I$32,9,FALSE)),0)</f>
        <v>0</v>
      </c>
      <c r="V14">
        <f>IF(AND(SUM(VLOOKUP($A14,test!$A$3:$F$32,2,FALSE),VLOOKUP(V$1,test!$A$3:$F$32,2,FALSE))&lt;test!$K$16,$A14&lt;&gt;V$1,feasible_mat!V14=1),(VLOOKUP(V$1,test!$A$3:$I$32,8,FALSE))-(VLOOKUP($A14,test!$A$3:$I$32,9,FALSE)),0)</f>
        <v>0</v>
      </c>
      <c r="W14">
        <f>IF(AND(SUM(VLOOKUP($A14,test!$A$3:$F$32,2,FALSE),VLOOKUP(W$1,test!$A$3:$F$32,2,FALSE))&lt;test!$K$16,$A14&lt;&gt;W$1,feasible_mat!W14=1),(VLOOKUP(W$1,test!$A$3:$I$32,8,FALSE))-(VLOOKUP($A14,test!$A$3:$I$32,9,FALSE)),0)</f>
        <v>0</v>
      </c>
      <c r="X14">
        <f>IF(AND(SUM(VLOOKUP($A14,test!$A$3:$F$32,2,FALSE),VLOOKUP(X$1,test!$A$3:$F$32,2,FALSE))&lt;test!$K$16,$A14&lt;&gt;X$1,feasible_mat!X14=1),(VLOOKUP(X$1,test!$A$3:$I$32,8,FALSE))-(VLOOKUP($A14,test!$A$3:$I$32,9,FALSE)),0)</f>
        <v>0</v>
      </c>
      <c r="Y14">
        <f>IF(AND(SUM(VLOOKUP($A14,test!$A$3:$F$32,2,FALSE),VLOOKUP(Y$1,test!$A$3:$F$32,2,FALSE))&lt;test!$K$16,$A14&lt;&gt;Y$1,feasible_mat!Y14=1),(VLOOKUP(Y$1,test!$A$3:$I$32,8,FALSE))-(VLOOKUP($A14,test!$A$3:$I$32,9,FALSE)),0)</f>
        <v>0</v>
      </c>
      <c r="Z14">
        <f>IF(AND(SUM(VLOOKUP($A14,test!$A$3:$F$32,2,FALSE),VLOOKUP(Z$1,test!$A$3:$F$32,2,FALSE))&lt;test!$K$16,$A14&lt;&gt;Z$1,feasible_mat!Z14=1),(VLOOKUP(Z$1,test!$A$3:$I$32,8,FALSE))-(VLOOKUP($A14,test!$A$3:$I$32,9,FALSE)),0)</f>
        <v>0</v>
      </c>
      <c r="AA14">
        <f>IF(AND(SUM(VLOOKUP($A14,test!$A$3:$F$32,2,FALSE),VLOOKUP(AA$1,test!$A$3:$F$32,2,FALSE))&lt;test!$K$16,$A14&lt;&gt;AA$1,feasible_mat!AA14=1),(VLOOKUP(AA$1,test!$A$3:$I$32,8,FALSE))-(VLOOKUP($A14,test!$A$3:$I$32,9,FALSE)),0)</f>
        <v>0</v>
      </c>
      <c r="AB14">
        <f>IF(AND(SUM(VLOOKUP($A14,test!$A$3:$F$32,2,FALSE),VLOOKUP(AB$1,test!$A$3:$F$32,2,FALSE))&lt;test!$K$16,$A14&lt;&gt;AB$1,feasible_mat!AB14=1),(VLOOKUP(AB$1,test!$A$3:$I$32,8,FALSE))-(VLOOKUP($A14,test!$A$3:$I$32,9,FALSE)),0)</f>
        <v>0</v>
      </c>
      <c r="AC14">
        <f>IF(AND(SUM(VLOOKUP($A14,test!$A$3:$F$32,2,FALSE),VLOOKUP(AC$1,test!$A$3:$F$32,2,FALSE))&lt;test!$K$16,$A14&lt;&gt;AC$1,feasible_mat!AC14=1),(VLOOKUP(AC$1,test!$A$3:$I$32,8,FALSE))-(VLOOKUP($A14,test!$A$3:$I$32,9,FALSE)),0)</f>
        <v>0</v>
      </c>
      <c r="AD14">
        <f>IF(AND(SUM(VLOOKUP($A14,test!$A$3:$F$32,2,FALSE),VLOOKUP(AD$1,test!$A$3:$F$32,2,FALSE))&lt;test!$K$16,$A14&lt;&gt;AD$1,feasible_mat!AD14=1),(VLOOKUP(AD$1,test!$A$3:$F$32,8,FALSE))-(VLOOKUP($A14,test!$A$3:$F$32,9,FALSE)),0)</f>
        <v>0</v>
      </c>
      <c r="AE14">
        <f>IF(AND(SUM(VLOOKUP($A14,test!$A$3:$F$32,2,FALSE),VLOOKUP(AE$1,test!$A$3:$F$32,2,FALSE))&lt;test!$K$16,$A14&lt;&gt;AE$1,feasible_mat!AE14=1),(VLOOKUP(AE$1,test!$A$3:$F$32,8,FALSE))-(VLOOKUP($A14,test!$A$3:$F$32,9,FALSE)),0)</f>
        <v>0</v>
      </c>
      <c r="AF14">
        <f>IF(AND(SUM(VLOOKUP($A14,test!$A$3:$F$32,2,FALSE),VLOOKUP(AF$1,test!$A$3:$F$32,2,FALSE))&lt;test!$K$16,$A14&lt;&gt;AF$1,feasible_mat!AF14=1),(VLOOKUP(AF$1,test!$A$3:$F$32,8,FALSE))-(VLOOKUP($A14,test!$A$3:$F$32,9,FALSE)),0)</f>
        <v>0</v>
      </c>
    </row>
    <row r="15" spans="1:36" x14ac:dyDescent="0.25">
      <c r="A15" t="s">
        <v>23</v>
      </c>
      <c r="B15">
        <v>0</v>
      </c>
      <c r="C15">
        <f>IF(AND(SUM(VLOOKUP($A15,test!$A$3:$F$32,2,FALSE),VLOOKUP(C$1,test!$A$3:$F$32,2,FALSE))&lt;test!$K$16,$A15&lt;&gt;C$1,feasible_mat!C15=1),(VLOOKUP(C$1,test!$A$3:$I$32,8,FALSE))-(VLOOKUP($A15,test!$A$3:$I$32,9,FALSE)),0)</f>
        <v>0</v>
      </c>
      <c r="D15">
        <f>IF(AND(SUM(VLOOKUP($A15,test!$A$3:$F$32,2,FALSE),VLOOKUP(D$1,test!$A$3:$F$32,2,FALSE))&lt;test!$K$16,$A15&lt;&gt;D$1,feasible_mat!D15=1),(VLOOKUP(D$1,test!$A$3:$I$32,8,FALSE))-(VLOOKUP($A15,test!$A$3:$I$32,9,FALSE)),0)</f>
        <v>0</v>
      </c>
      <c r="E15">
        <f>IF(AND(SUM(VLOOKUP($A15,test!$A$3:$F$32,2,FALSE),VLOOKUP(E$1,test!$A$3:$F$32,2,FALSE))&lt;test!$K$16,$A15&lt;&gt;E$1,feasible_mat!E15=1),(VLOOKUP(E$1,test!$A$3:$I$32,8,FALSE))-(VLOOKUP($A15,test!$A$3:$I$32,9,FALSE)),0)</f>
        <v>0</v>
      </c>
      <c r="F15">
        <f>IF(AND(SUM(VLOOKUP($A15,test!$A$3:$F$32,2,FALSE),VLOOKUP(F$1,test!$A$3:$F$32,2,FALSE))&lt;test!$K$16,$A15&lt;&gt;F$1,feasible_mat!F15=1),(VLOOKUP(F$1,test!$A$3:$I$32,8,FALSE))-(VLOOKUP($A15,test!$A$3:$I$32,9,FALSE)),0)</f>
        <v>0</v>
      </c>
      <c r="G15">
        <f>IF(AND(SUM(VLOOKUP($A15,test!$A$3:$F$32,2,FALSE),VLOOKUP(G$1,test!$A$3:$F$32,2,FALSE))&lt;test!$K$16,$A15&lt;&gt;G$1,feasible_mat!G15=1),(VLOOKUP(G$1,test!$A$3:$I$32,8,FALSE))-(VLOOKUP($A15,test!$A$3:$I$32,9,FALSE)),0)</f>
        <v>0</v>
      </c>
      <c r="H15">
        <f>IF(AND(SUM(VLOOKUP($A15,test!$A$3:$F$32,2,FALSE),VLOOKUP(H$1,test!$A$3:$F$32,2,FALSE))&lt;test!$K$16,$A15&lt;&gt;H$1,feasible_mat!H15=1),(VLOOKUP(H$1,test!$A$3:$I$32,8,FALSE))-(VLOOKUP($A15,test!$A$3:$I$32,9,FALSE)),0)</f>
        <v>0</v>
      </c>
      <c r="I15">
        <f>IF(AND(SUM(VLOOKUP($A15,test!$A$3:$F$32,2,FALSE),VLOOKUP(I$1,test!$A$3:$F$32,2,FALSE))&lt;test!$K$16,$A15&lt;&gt;I$1,feasible_mat!I15=1),(VLOOKUP(I$1,test!$A$3:$I$32,8,FALSE))-(VLOOKUP($A15,test!$A$3:$I$32,9,FALSE)),0)</f>
        <v>0</v>
      </c>
      <c r="J15">
        <f>IF(AND(SUM(VLOOKUP($A15,test!$A$3:$F$32,2,FALSE),VLOOKUP(J$1,test!$A$3:$F$32,2,FALSE))&lt;test!$K$16,$A15&lt;&gt;J$1,feasible_mat!J15=1),(VLOOKUP(J$1,test!$A$3:$I$32,8,FALSE))-(VLOOKUP($A15,test!$A$3:$I$32,9,FALSE)),0)</f>
        <v>0</v>
      </c>
      <c r="K15">
        <f>IF(AND(SUM(VLOOKUP($A15,test!$A$3:$F$32,2,FALSE),VLOOKUP(K$1,test!$A$3:$F$32,2,FALSE))&lt;test!$K$16,$A15&lt;&gt;K$1,feasible_mat!K15=1),(VLOOKUP(K$1,test!$A$3:$I$32,8,FALSE))-(VLOOKUP($A15,test!$A$3:$I$32,9,FALSE)),0)</f>
        <v>0</v>
      </c>
      <c r="L15">
        <f>IF(AND(SUM(VLOOKUP($A15,test!$A$3:$F$32,2,FALSE),VLOOKUP(L$1,test!$A$3:$F$32,2,FALSE))&lt;test!$K$16,$A15&lt;&gt;L$1,feasible_mat!L15=1),(VLOOKUP(L$1,test!$A$3:$I$32,8,FALSE))-(VLOOKUP($A15,test!$A$3:$I$32,9,FALSE)),0)</f>
        <v>0</v>
      </c>
      <c r="M15">
        <f>IF(AND(SUM(VLOOKUP($A15,test!$A$3:$F$32,2,FALSE),VLOOKUP(M$1,test!$A$3:$F$32,2,FALSE))&lt;test!$K$16,$A15&lt;&gt;M$1,feasible_mat!M15=1),(VLOOKUP(M$1,test!$A$3:$I$32,8,FALSE))-(VLOOKUP($A15,test!$A$3:$I$32,9,FALSE)),0)</f>
        <v>0</v>
      </c>
      <c r="N15">
        <f>IF(AND(SUM(VLOOKUP($A15,test!$A$3:$F$32,2,FALSE),VLOOKUP(N$1,test!$A$3:$F$32,2,FALSE))&lt;test!$K$16,$A15&lt;&gt;N$1,feasible_mat!N15=1),(VLOOKUP(N$1,test!$A$3:$I$32,8,FALSE))-(VLOOKUP($A15,test!$A$3:$I$32,9,FALSE)),0)</f>
        <v>0</v>
      </c>
      <c r="O15">
        <f>IF(AND(SUM(VLOOKUP($A15,test!$A$3:$F$32,2,FALSE),VLOOKUP(O$1,test!$A$3:$F$32,2,FALSE))&lt;test!$K$16,$A15&lt;&gt;O$1,feasible_mat!O15=1),(VLOOKUP(O$1,test!$A$3:$I$32,8,FALSE))-(VLOOKUP($A15,test!$A$3:$I$32,9,FALSE)),0)</f>
        <v>0</v>
      </c>
      <c r="P15">
        <f>IF(AND(SUM(VLOOKUP($A15,test!$A$3:$F$32,2,FALSE),VLOOKUP(P$1,test!$A$3:$F$32,2,FALSE))&lt;test!$K$16,$A15&lt;&gt;P$1,feasible_mat!P15=1),(VLOOKUP(P$1,test!$A$3:$I$32,8,FALSE))-(VLOOKUP($A15,test!$A$3:$I$32,9,FALSE)),0)</f>
        <v>0</v>
      </c>
      <c r="Q15">
        <f>IF(AND(SUM(VLOOKUP($A15,test!$A$3:$F$32,2,FALSE),VLOOKUP(Q$1,test!$A$3:$F$32,2,FALSE))&lt;test!$K$16,$A15&lt;&gt;Q$1,feasible_mat!Q15=1),(VLOOKUP(Q$1,test!$A$3:$I$32,8,FALSE))-(VLOOKUP($A15,test!$A$3:$I$32,9,FALSE)),0)</f>
        <v>0</v>
      </c>
      <c r="R15">
        <f>IF(AND(SUM(VLOOKUP($A15,test!$A$3:$F$32,2,FALSE),VLOOKUP(R$1,test!$A$3:$F$32,2,FALSE))&lt;test!$K$16,$A15&lt;&gt;R$1,feasible_mat!R15=1),(VLOOKUP(R$1,test!$A$3:$I$32,8,FALSE))-(VLOOKUP($A15,test!$A$3:$I$32,9,FALSE)),0)</f>
        <v>0</v>
      </c>
      <c r="S15">
        <f>IF(AND(SUM(VLOOKUP($A15,test!$A$3:$F$32,2,FALSE),VLOOKUP(S$1,test!$A$3:$F$32,2,FALSE))&lt;test!$K$16,$A15&lt;&gt;S$1,feasible_mat!S15=1),(VLOOKUP(S$1,test!$A$3:$I$32,8,FALSE))-(VLOOKUP($A15,test!$A$3:$I$32,9,FALSE)),0)</f>
        <v>0</v>
      </c>
      <c r="T15">
        <f>IF(AND(SUM(VLOOKUP($A15,test!$A$3:$F$32,2,FALSE),VLOOKUP(T$1,test!$A$3:$F$32,2,FALSE))&lt;test!$K$16,$A15&lt;&gt;T$1,feasible_mat!T15=1),(VLOOKUP(T$1,test!$A$3:$I$32,8,FALSE))-(VLOOKUP($A15,test!$A$3:$I$32,9,FALSE)),0)</f>
        <v>0</v>
      </c>
      <c r="U15">
        <f>IF(AND(SUM(VLOOKUP($A15,test!$A$3:$F$32,2,FALSE),VLOOKUP(U$1,test!$A$3:$F$32,2,FALSE))&lt;test!$K$16,$A15&lt;&gt;U$1,feasible_mat!U15=1),(VLOOKUP(U$1,test!$A$3:$I$32,8,FALSE))-(VLOOKUP($A15,test!$A$3:$I$32,9,FALSE)),0)</f>
        <v>0</v>
      </c>
      <c r="V15">
        <f>IF(AND(SUM(VLOOKUP($A15,test!$A$3:$F$32,2,FALSE),VLOOKUP(V$1,test!$A$3:$F$32,2,FALSE))&lt;test!$K$16,$A15&lt;&gt;V$1,feasible_mat!V15=1),(VLOOKUP(V$1,test!$A$3:$I$32,8,FALSE))-(VLOOKUP($A15,test!$A$3:$I$32,9,FALSE)),0)</f>
        <v>0</v>
      </c>
      <c r="W15">
        <f>IF(AND(SUM(VLOOKUP($A15,test!$A$3:$F$32,2,FALSE),VLOOKUP(W$1,test!$A$3:$F$32,2,FALSE))&lt;test!$K$16,$A15&lt;&gt;W$1,feasible_mat!W15=1),(VLOOKUP(W$1,test!$A$3:$I$32,8,FALSE))-(VLOOKUP($A15,test!$A$3:$I$32,9,FALSE)),0)</f>
        <v>0</v>
      </c>
      <c r="X15">
        <f>IF(AND(SUM(VLOOKUP($A15,test!$A$3:$F$32,2,FALSE),VLOOKUP(X$1,test!$A$3:$F$32,2,FALSE))&lt;test!$K$16,$A15&lt;&gt;X$1,feasible_mat!X15=1),(VLOOKUP(X$1,test!$A$3:$I$32,8,FALSE))-(VLOOKUP($A15,test!$A$3:$I$32,9,FALSE)),0)</f>
        <v>0</v>
      </c>
      <c r="Y15">
        <f>IF(AND(SUM(VLOOKUP($A15,test!$A$3:$F$32,2,FALSE),VLOOKUP(Y$1,test!$A$3:$F$32,2,FALSE))&lt;test!$K$16,$A15&lt;&gt;Y$1,feasible_mat!Y15=1),(VLOOKUP(Y$1,test!$A$3:$I$32,8,FALSE))-(VLOOKUP($A15,test!$A$3:$I$32,9,FALSE)),0)</f>
        <v>0</v>
      </c>
      <c r="Z15">
        <f>IF(AND(SUM(VLOOKUP($A15,test!$A$3:$F$32,2,FALSE),VLOOKUP(Z$1,test!$A$3:$F$32,2,FALSE))&lt;test!$K$16,$A15&lt;&gt;Z$1,feasible_mat!Z15=1),(VLOOKUP(Z$1,test!$A$3:$I$32,8,FALSE))-(VLOOKUP($A15,test!$A$3:$I$32,9,FALSE)),0)</f>
        <v>0</v>
      </c>
      <c r="AA15">
        <f>IF(AND(SUM(VLOOKUP($A15,test!$A$3:$F$32,2,FALSE),VLOOKUP(AA$1,test!$A$3:$F$32,2,FALSE))&lt;test!$K$16,$A15&lt;&gt;AA$1,feasible_mat!AA15=1),(VLOOKUP(AA$1,test!$A$3:$I$32,8,FALSE))-(VLOOKUP($A15,test!$A$3:$I$32,9,FALSE)),0)</f>
        <v>0</v>
      </c>
      <c r="AB15">
        <f>IF(AND(SUM(VLOOKUP($A15,test!$A$3:$F$32,2,FALSE),VLOOKUP(AB$1,test!$A$3:$F$32,2,FALSE))&lt;test!$K$16,$A15&lt;&gt;AB$1,feasible_mat!AB15=1),(VLOOKUP(AB$1,test!$A$3:$I$32,8,FALSE))-(VLOOKUP($A15,test!$A$3:$I$32,9,FALSE)),0)</f>
        <v>0</v>
      </c>
      <c r="AC15">
        <f>IF(AND(SUM(VLOOKUP($A15,test!$A$3:$F$32,2,FALSE),VLOOKUP(AC$1,test!$A$3:$F$32,2,FALSE))&lt;test!$K$16,$A15&lt;&gt;AC$1,feasible_mat!AC15=1),(VLOOKUP(AC$1,test!$A$3:$I$32,8,FALSE))-(VLOOKUP($A15,test!$A$3:$I$32,9,FALSE)),0)</f>
        <v>0</v>
      </c>
      <c r="AD15">
        <f>IF(AND(SUM(VLOOKUP($A15,test!$A$3:$F$32,2,FALSE),VLOOKUP(AD$1,test!$A$3:$F$32,2,FALSE))&lt;test!$K$16,$A15&lt;&gt;AD$1,feasible_mat!AD15=1),(VLOOKUP(AD$1,test!$A$3:$F$32,8,FALSE))-(VLOOKUP($A15,test!$A$3:$F$32,9,FALSE)),0)</f>
        <v>0</v>
      </c>
      <c r="AE15">
        <f>IF(AND(SUM(VLOOKUP($A15,test!$A$3:$F$32,2,FALSE),VLOOKUP(AE$1,test!$A$3:$F$32,2,FALSE))&lt;test!$K$16,$A15&lt;&gt;AE$1,feasible_mat!AE15=1),(VLOOKUP(AE$1,test!$A$3:$F$32,8,FALSE))-(VLOOKUP($A15,test!$A$3:$F$32,9,FALSE)),0)</f>
        <v>0</v>
      </c>
      <c r="AF15">
        <f>IF(AND(SUM(VLOOKUP($A15,test!$A$3:$F$32,2,FALSE),VLOOKUP(AF$1,test!$A$3:$F$32,2,FALSE))&lt;test!$K$16,$A15&lt;&gt;AF$1,feasible_mat!AF15=1),(VLOOKUP(AF$1,test!$A$3:$F$32,8,FALSE))-(VLOOKUP($A15,test!$A$3:$F$32,9,FALSE)),0)</f>
        <v>0</v>
      </c>
    </row>
    <row r="16" spans="1:36" x14ac:dyDescent="0.25">
      <c r="A16" t="s">
        <v>24</v>
      </c>
      <c r="B16">
        <v>0</v>
      </c>
      <c r="C16">
        <f>IF(AND(SUM(VLOOKUP($A16,test!$A$3:$F$32,2,FALSE),VLOOKUP(C$1,test!$A$3:$F$32,2,FALSE))&lt;test!$K$16,$A16&lt;&gt;C$1,feasible_mat!C16=1),(VLOOKUP(C$1,test!$A$3:$I$32,8,FALSE))-(VLOOKUP($A16,test!$A$3:$I$32,9,FALSE)),0)</f>
        <v>0</v>
      </c>
      <c r="D16">
        <f>IF(AND(SUM(VLOOKUP($A16,test!$A$3:$F$32,2,FALSE),VLOOKUP(D$1,test!$A$3:$F$32,2,FALSE))&lt;test!$K$16,$A16&lt;&gt;D$1,feasible_mat!D16=1),(VLOOKUP(D$1,test!$A$3:$I$32,8,FALSE))-(VLOOKUP($A16,test!$A$3:$I$32,9,FALSE)),0)</f>
        <v>0</v>
      </c>
      <c r="E16">
        <f>IF(AND(SUM(VLOOKUP($A16,test!$A$3:$F$32,2,FALSE),VLOOKUP(E$1,test!$A$3:$F$32,2,FALSE))&lt;test!$K$16,$A16&lt;&gt;E$1,feasible_mat!E16=1),(VLOOKUP(E$1,test!$A$3:$I$32,8,FALSE))-(VLOOKUP($A16,test!$A$3:$I$32,9,FALSE)),0)</f>
        <v>0</v>
      </c>
      <c r="F16">
        <f>IF(AND(SUM(VLOOKUP($A16,test!$A$3:$F$32,2,FALSE),VLOOKUP(F$1,test!$A$3:$F$32,2,FALSE))&lt;test!$K$16,$A16&lt;&gt;F$1,feasible_mat!F16=1),(VLOOKUP(F$1,test!$A$3:$I$32,8,FALSE))-(VLOOKUP($A16,test!$A$3:$I$32,9,FALSE)),0)</f>
        <v>0</v>
      </c>
      <c r="G16">
        <f>IF(AND(SUM(VLOOKUP($A16,test!$A$3:$F$32,2,FALSE),VLOOKUP(G$1,test!$A$3:$F$32,2,FALSE))&lt;test!$K$16,$A16&lt;&gt;G$1,feasible_mat!G16=1),(VLOOKUP(G$1,test!$A$3:$I$32,8,FALSE))-(VLOOKUP($A16,test!$A$3:$I$32,9,FALSE)),0)</f>
        <v>0</v>
      </c>
      <c r="H16">
        <f>IF(AND(SUM(VLOOKUP($A16,test!$A$3:$F$32,2,FALSE),VLOOKUP(H$1,test!$A$3:$F$32,2,FALSE))&lt;test!$K$16,$A16&lt;&gt;H$1,feasible_mat!H16=1),(VLOOKUP(H$1,test!$A$3:$I$32,8,FALSE))-(VLOOKUP($A16,test!$A$3:$I$32,9,FALSE)),0)</f>
        <v>0</v>
      </c>
      <c r="I16">
        <f>IF(AND(SUM(VLOOKUP($A16,test!$A$3:$F$32,2,FALSE),VLOOKUP(I$1,test!$A$3:$F$32,2,FALSE))&lt;test!$K$16,$A16&lt;&gt;I$1,feasible_mat!I16=1),(VLOOKUP(I$1,test!$A$3:$I$32,8,FALSE))-(VLOOKUP($A16,test!$A$3:$I$32,9,FALSE)),0)</f>
        <v>0</v>
      </c>
      <c r="J16">
        <f>IF(AND(SUM(VLOOKUP($A16,test!$A$3:$F$32,2,FALSE),VLOOKUP(J$1,test!$A$3:$F$32,2,FALSE))&lt;test!$K$16,$A16&lt;&gt;J$1,feasible_mat!J16=1),(VLOOKUP(J$1,test!$A$3:$I$32,8,FALSE))-(VLOOKUP($A16,test!$A$3:$I$32,9,FALSE)),0)</f>
        <v>0</v>
      </c>
      <c r="K16">
        <f>IF(AND(SUM(VLOOKUP($A16,test!$A$3:$F$32,2,FALSE),VLOOKUP(K$1,test!$A$3:$F$32,2,FALSE))&lt;test!$K$16,$A16&lt;&gt;K$1,feasible_mat!K16=1),(VLOOKUP(K$1,test!$A$3:$I$32,8,FALSE))-(VLOOKUP($A16,test!$A$3:$I$32,9,FALSE)),0)</f>
        <v>0</v>
      </c>
      <c r="L16">
        <f>IF(AND(SUM(VLOOKUP($A16,test!$A$3:$F$32,2,FALSE),VLOOKUP(L$1,test!$A$3:$F$32,2,FALSE))&lt;test!$K$16,$A16&lt;&gt;L$1,feasible_mat!L16=1),(VLOOKUP(L$1,test!$A$3:$I$32,8,FALSE))-(VLOOKUP($A16,test!$A$3:$I$32,9,FALSE)),0)</f>
        <v>0</v>
      </c>
      <c r="M16">
        <f>IF(AND(SUM(VLOOKUP($A16,test!$A$3:$F$32,2,FALSE),VLOOKUP(M$1,test!$A$3:$F$32,2,FALSE))&lt;test!$K$16,$A16&lt;&gt;M$1,feasible_mat!M16=1),(VLOOKUP(M$1,test!$A$3:$I$32,8,FALSE))-(VLOOKUP($A16,test!$A$3:$I$32,9,FALSE)),0)</f>
        <v>0</v>
      </c>
      <c r="N16">
        <f>IF(AND(SUM(VLOOKUP($A16,test!$A$3:$F$32,2,FALSE),VLOOKUP(N$1,test!$A$3:$F$32,2,FALSE))&lt;test!$K$16,$A16&lt;&gt;N$1,feasible_mat!N16=1),(VLOOKUP(N$1,test!$A$3:$I$32,8,FALSE))-(VLOOKUP($A16,test!$A$3:$I$32,9,FALSE)),0)</f>
        <v>0</v>
      </c>
      <c r="O16">
        <f>IF(AND(SUM(VLOOKUP($A16,test!$A$3:$F$32,2,FALSE),VLOOKUP(O$1,test!$A$3:$F$32,2,FALSE))&lt;test!$K$16,$A16&lt;&gt;O$1,feasible_mat!O16=1),(VLOOKUP(O$1,test!$A$3:$I$32,8,FALSE))-(VLOOKUP($A16,test!$A$3:$I$32,9,FALSE)),0)</f>
        <v>0</v>
      </c>
      <c r="P16">
        <f>IF(AND(SUM(VLOOKUP($A16,test!$A$3:$F$32,2,FALSE),VLOOKUP(P$1,test!$A$3:$F$32,2,FALSE))&lt;test!$K$16,$A16&lt;&gt;P$1,feasible_mat!P16=1),(VLOOKUP(P$1,test!$A$3:$I$32,8,FALSE))-(VLOOKUP($A16,test!$A$3:$I$32,9,FALSE)),0)</f>
        <v>0</v>
      </c>
      <c r="Q16">
        <f>IF(AND(SUM(VLOOKUP($A16,test!$A$3:$F$32,2,FALSE),VLOOKUP(Q$1,test!$A$3:$F$32,2,FALSE))&lt;test!$K$16,$A16&lt;&gt;Q$1,feasible_mat!Q16=1),(VLOOKUP(Q$1,test!$A$3:$I$32,8,FALSE))-(VLOOKUP($A16,test!$A$3:$I$32,9,FALSE)),0)</f>
        <v>0</v>
      </c>
      <c r="R16">
        <f>IF(AND(SUM(VLOOKUP($A16,test!$A$3:$F$32,2,FALSE),VLOOKUP(R$1,test!$A$3:$F$32,2,FALSE))&lt;test!$K$16,$A16&lt;&gt;R$1,feasible_mat!R16=1),(VLOOKUP(R$1,test!$A$3:$I$32,8,FALSE))-(VLOOKUP($A16,test!$A$3:$I$32,9,FALSE)),0)</f>
        <v>0</v>
      </c>
      <c r="S16">
        <f>IF(AND(SUM(VLOOKUP($A16,test!$A$3:$F$32,2,FALSE),VLOOKUP(S$1,test!$A$3:$F$32,2,FALSE))&lt;test!$K$16,$A16&lt;&gt;S$1,feasible_mat!S16=1),(VLOOKUP(S$1,test!$A$3:$I$32,8,FALSE))-(VLOOKUP($A16,test!$A$3:$I$32,9,FALSE)),0)</f>
        <v>0</v>
      </c>
      <c r="T16">
        <f>IF(AND(SUM(VLOOKUP($A16,test!$A$3:$F$32,2,FALSE),VLOOKUP(T$1,test!$A$3:$F$32,2,FALSE))&lt;test!$K$16,$A16&lt;&gt;T$1,feasible_mat!T16=1),(VLOOKUP(T$1,test!$A$3:$I$32,8,FALSE))-(VLOOKUP($A16,test!$A$3:$I$32,9,FALSE)),0)</f>
        <v>0</v>
      </c>
      <c r="U16">
        <f>IF(AND(SUM(VLOOKUP($A16,test!$A$3:$F$32,2,FALSE),VLOOKUP(U$1,test!$A$3:$F$32,2,FALSE))&lt;test!$K$16,$A16&lt;&gt;U$1,feasible_mat!U16=1),(VLOOKUP(U$1,test!$A$3:$I$32,8,FALSE))-(VLOOKUP($A16,test!$A$3:$I$32,9,FALSE)),0)</f>
        <v>0</v>
      </c>
      <c r="V16">
        <f>IF(AND(SUM(VLOOKUP($A16,test!$A$3:$F$32,2,FALSE),VLOOKUP(V$1,test!$A$3:$F$32,2,FALSE))&lt;test!$K$16,$A16&lt;&gt;V$1,feasible_mat!V16=1),(VLOOKUP(V$1,test!$A$3:$I$32,8,FALSE))-(VLOOKUP($A16,test!$A$3:$I$32,9,FALSE)),0)</f>
        <v>0</v>
      </c>
      <c r="W16">
        <f>IF(AND(SUM(VLOOKUP($A16,test!$A$3:$F$32,2,FALSE),VLOOKUP(W$1,test!$A$3:$F$32,2,FALSE))&lt;test!$K$16,$A16&lt;&gt;W$1,feasible_mat!W16=1),(VLOOKUP(W$1,test!$A$3:$I$32,8,FALSE))-(VLOOKUP($A16,test!$A$3:$I$32,9,FALSE)),0)</f>
        <v>0</v>
      </c>
      <c r="X16">
        <f>IF(AND(SUM(VLOOKUP($A16,test!$A$3:$F$32,2,FALSE),VLOOKUP(X$1,test!$A$3:$F$32,2,FALSE))&lt;test!$K$16,$A16&lt;&gt;X$1,feasible_mat!X16=1),(VLOOKUP(X$1,test!$A$3:$I$32,8,FALSE))-(VLOOKUP($A16,test!$A$3:$I$32,9,FALSE)),0)</f>
        <v>0</v>
      </c>
      <c r="Y16">
        <f>IF(AND(SUM(VLOOKUP($A16,test!$A$3:$F$32,2,FALSE),VLOOKUP(Y$1,test!$A$3:$F$32,2,FALSE))&lt;test!$K$16,$A16&lt;&gt;Y$1,feasible_mat!Y16=1),(VLOOKUP(Y$1,test!$A$3:$I$32,8,FALSE))-(VLOOKUP($A16,test!$A$3:$I$32,9,FALSE)),0)</f>
        <v>0</v>
      </c>
      <c r="Z16">
        <f>IF(AND(SUM(VLOOKUP($A16,test!$A$3:$F$32,2,FALSE),VLOOKUP(Z$1,test!$A$3:$F$32,2,FALSE))&lt;test!$K$16,$A16&lt;&gt;Z$1,feasible_mat!Z16=1),(VLOOKUP(Z$1,test!$A$3:$I$32,8,FALSE))-(VLOOKUP($A16,test!$A$3:$I$32,9,FALSE)),0)</f>
        <v>0</v>
      </c>
      <c r="AA16">
        <f>IF(AND(SUM(VLOOKUP($A16,test!$A$3:$F$32,2,FALSE),VLOOKUP(AA$1,test!$A$3:$F$32,2,FALSE))&lt;test!$K$16,$A16&lt;&gt;AA$1,feasible_mat!AA16=1),(VLOOKUP(AA$1,test!$A$3:$I$32,8,FALSE))-(VLOOKUP($A16,test!$A$3:$I$32,9,FALSE)),0)</f>
        <v>0</v>
      </c>
      <c r="AB16">
        <f>IF(AND(SUM(VLOOKUP($A16,test!$A$3:$F$32,2,FALSE),VLOOKUP(AB$1,test!$A$3:$F$32,2,FALSE))&lt;test!$K$16,$A16&lt;&gt;AB$1,feasible_mat!AB16=1),(VLOOKUP(AB$1,test!$A$3:$I$32,8,FALSE))-(VLOOKUP($A16,test!$A$3:$I$32,9,FALSE)),0)</f>
        <v>0</v>
      </c>
      <c r="AC16">
        <f>IF(AND(SUM(VLOOKUP($A16,test!$A$3:$F$32,2,FALSE),VLOOKUP(AC$1,test!$A$3:$F$32,2,FALSE))&lt;test!$K$16,$A16&lt;&gt;AC$1,feasible_mat!AC16=1),(VLOOKUP(AC$1,test!$A$3:$I$32,8,FALSE))-(VLOOKUP($A16,test!$A$3:$I$32,9,FALSE)),0)</f>
        <v>0</v>
      </c>
      <c r="AD16">
        <f>IF(AND(SUM(VLOOKUP($A16,test!$A$3:$F$32,2,FALSE),VLOOKUP(AD$1,test!$A$3:$F$32,2,FALSE))&lt;test!$K$16,$A16&lt;&gt;AD$1,feasible_mat!AD16=1),(VLOOKUP(AD$1,test!$A$3:$F$32,8,FALSE))-(VLOOKUP($A16,test!$A$3:$F$32,9,FALSE)),0)</f>
        <v>0</v>
      </c>
      <c r="AE16">
        <f>IF(AND(SUM(VLOOKUP($A16,test!$A$3:$F$32,2,FALSE),VLOOKUP(AE$1,test!$A$3:$F$32,2,FALSE))&lt;test!$K$16,$A16&lt;&gt;AE$1,feasible_mat!AE16=1),(VLOOKUP(AE$1,test!$A$3:$F$32,8,FALSE))-(VLOOKUP($A16,test!$A$3:$F$32,9,FALSE)),0)</f>
        <v>0</v>
      </c>
      <c r="AF16">
        <f>IF(AND(SUM(VLOOKUP($A16,test!$A$3:$F$32,2,FALSE),VLOOKUP(AF$1,test!$A$3:$F$32,2,FALSE))&lt;test!$K$16,$A16&lt;&gt;AF$1,feasible_mat!AF16=1),(VLOOKUP(AF$1,test!$A$3:$F$32,8,FALSE))-(VLOOKUP($A16,test!$A$3:$F$32,9,FALSE)),0)</f>
        <v>0</v>
      </c>
    </row>
    <row r="17" spans="1:32" x14ac:dyDescent="0.25">
      <c r="A17" t="s">
        <v>26</v>
      </c>
      <c r="B17">
        <v>0</v>
      </c>
      <c r="C17">
        <f>IF(AND(SUM(VLOOKUP($A17,test!$A$3:$F$32,2,FALSE),VLOOKUP(C$1,test!$A$3:$F$32,2,FALSE))&lt;test!$K$16,$A17&lt;&gt;C$1,feasible_mat!C17=1),(VLOOKUP(C$1,test!$A$3:$I$32,8,FALSE))-(VLOOKUP($A17,test!$A$3:$I$32,9,FALSE)),0)</f>
        <v>0</v>
      </c>
      <c r="D17">
        <f>IF(AND(SUM(VLOOKUP($A17,test!$A$3:$F$32,2,FALSE),VLOOKUP(D$1,test!$A$3:$F$32,2,FALSE))&lt;test!$K$16,$A17&lt;&gt;D$1,feasible_mat!D17=1),(VLOOKUP(D$1,test!$A$3:$I$32,8,FALSE))-(VLOOKUP($A17,test!$A$3:$I$32,9,FALSE)),0)</f>
        <v>65</v>
      </c>
      <c r="E17">
        <f>IF(AND(SUM(VLOOKUP($A17,test!$A$3:$F$32,2,FALSE),VLOOKUP(E$1,test!$A$3:$F$32,2,FALSE))&lt;test!$K$16,$A17&lt;&gt;E$1,feasible_mat!E17=1),(VLOOKUP(E$1,test!$A$3:$I$32,8,FALSE))-(VLOOKUP($A17,test!$A$3:$I$32,9,FALSE)),0)</f>
        <v>155</v>
      </c>
      <c r="F17">
        <f>IF(AND(SUM(VLOOKUP($A17,test!$A$3:$F$32,2,FALSE),VLOOKUP(F$1,test!$A$3:$F$32,2,FALSE))&lt;test!$K$16,$A17&lt;&gt;F$1,feasible_mat!F17=1),(VLOOKUP(F$1,test!$A$3:$I$32,8,FALSE))-(VLOOKUP($A17,test!$A$3:$I$32,9,FALSE)),0)</f>
        <v>245</v>
      </c>
      <c r="G17">
        <f>IF(AND(SUM(VLOOKUP($A17,test!$A$3:$F$32,2,FALSE),VLOOKUP(G$1,test!$A$3:$F$32,2,FALSE))&lt;test!$K$16,$A17&lt;&gt;G$1,feasible_mat!G17=1),(VLOOKUP(G$1,test!$A$3:$I$32,8,FALSE))-(VLOOKUP($A17,test!$A$3:$I$32,9,FALSE)),0)</f>
        <v>305</v>
      </c>
      <c r="H17">
        <f>IF(AND(SUM(VLOOKUP($A17,test!$A$3:$F$32,2,FALSE),VLOOKUP(H$1,test!$A$3:$F$32,2,FALSE))&lt;test!$K$16,$A17&lt;&gt;H$1,feasible_mat!H17=1),(VLOOKUP(H$1,test!$A$3:$I$32,8,FALSE))-(VLOOKUP($A17,test!$A$3:$I$32,9,FALSE)),0)</f>
        <v>365</v>
      </c>
      <c r="I17">
        <f>IF(AND(SUM(VLOOKUP($A17,test!$A$3:$F$32,2,FALSE),VLOOKUP(I$1,test!$A$3:$F$32,2,FALSE))&lt;test!$K$16,$A17&lt;&gt;I$1,feasible_mat!I17=1),(VLOOKUP(I$1,test!$A$3:$I$32,8,FALSE))-(VLOOKUP($A17,test!$A$3:$I$32,9,FALSE)),0)</f>
        <v>425</v>
      </c>
      <c r="J17">
        <f>IF(AND(SUM(VLOOKUP($A17,test!$A$3:$F$32,2,FALSE),VLOOKUP(J$1,test!$A$3:$F$32,2,FALSE))&lt;test!$K$16,$A17&lt;&gt;J$1,feasible_mat!J17=1),(VLOOKUP(J$1,test!$A$3:$I$32,8,FALSE))-(VLOOKUP($A17,test!$A$3:$I$32,9,FALSE)),0)</f>
        <v>515</v>
      </c>
      <c r="K17">
        <f>IF(AND(SUM(VLOOKUP($A17,test!$A$3:$F$32,2,FALSE),VLOOKUP(K$1,test!$A$3:$F$32,2,FALSE))&lt;test!$K$16,$A17&lt;&gt;K$1,feasible_mat!K17=1),(VLOOKUP(K$1,test!$A$3:$I$32,8,FALSE))-(VLOOKUP($A17,test!$A$3:$I$32,9,FALSE)),0)</f>
        <v>0</v>
      </c>
      <c r="L17">
        <f>IF(AND(SUM(VLOOKUP($A17,test!$A$3:$F$32,2,FALSE),VLOOKUP(L$1,test!$A$3:$F$32,2,FALSE))&lt;test!$K$16,$A17&lt;&gt;L$1,feasible_mat!L17=1),(VLOOKUP(L$1,test!$A$3:$I$32,8,FALSE))-(VLOOKUP($A17,test!$A$3:$I$32,9,FALSE)),0)</f>
        <v>0</v>
      </c>
      <c r="M17">
        <f>IF(AND(SUM(VLOOKUP($A17,test!$A$3:$F$32,2,FALSE),VLOOKUP(M$1,test!$A$3:$F$32,2,FALSE))&lt;test!$K$16,$A17&lt;&gt;M$1,feasible_mat!M17=1),(VLOOKUP(M$1,test!$A$3:$I$32,8,FALSE))-(VLOOKUP($A17,test!$A$3:$I$32,9,FALSE)),0)</f>
        <v>120</v>
      </c>
      <c r="N17">
        <f>IF(AND(SUM(VLOOKUP($A17,test!$A$3:$F$32,2,FALSE),VLOOKUP(N$1,test!$A$3:$F$32,2,FALSE))&lt;test!$K$16,$A17&lt;&gt;N$1,feasible_mat!N17=1),(VLOOKUP(N$1,test!$A$3:$I$32,8,FALSE))-(VLOOKUP($A17,test!$A$3:$I$32,9,FALSE)),0)</f>
        <v>480</v>
      </c>
      <c r="O17">
        <f>IF(AND(SUM(VLOOKUP($A17,test!$A$3:$F$32,2,FALSE),VLOOKUP(O$1,test!$A$3:$F$32,2,FALSE))&lt;test!$K$16,$A17&lt;&gt;O$1,feasible_mat!O17=1),(VLOOKUP(O$1,test!$A$3:$I$32,8,FALSE))-(VLOOKUP($A17,test!$A$3:$I$32,9,FALSE)),0)</f>
        <v>540</v>
      </c>
      <c r="P17">
        <f>IF(AND(SUM(VLOOKUP($A17,test!$A$3:$F$32,2,FALSE),VLOOKUP(P$1,test!$A$3:$F$32,2,FALSE))&lt;test!$K$16,$A17&lt;&gt;P$1,feasible_mat!P17=1),(VLOOKUP(P$1,test!$A$3:$I$32,8,FALSE))-(VLOOKUP($A17,test!$A$3:$I$32,9,FALSE)),0)</f>
        <v>0</v>
      </c>
      <c r="Q17">
        <f>IF(AND(SUM(VLOOKUP($A17,test!$A$3:$F$32,2,FALSE),VLOOKUP(Q$1,test!$A$3:$F$32,2,FALSE))&lt;test!$K$16,$A17&lt;&gt;Q$1,feasible_mat!Q17=1),(VLOOKUP(Q$1,test!$A$3:$I$32,8,FALSE))-(VLOOKUP($A17,test!$A$3:$I$32,9,FALSE)),0)</f>
        <v>0</v>
      </c>
      <c r="R17">
        <f>IF(AND(SUM(VLOOKUP($A17,test!$A$3:$F$32,2,FALSE),VLOOKUP(R$1,test!$A$3:$F$32,2,FALSE))&lt;test!$K$16,$A17&lt;&gt;R$1,feasible_mat!R17=1),(VLOOKUP(R$1,test!$A$3:$I$32,8,FALSE))-(VLOOKUP($A17,test!$A$3:$I$32,9,FALSE)),0)</f>
        <v>0</v>
      </c>
      <c r="S17">
        <f>IF(AND(SUM(VLOOKUP($A17,test!$A$3:$F$32,2,FALSE),VLOOKUP(S$1,test!$A$3:$F$32,2,FALSE))&lt;test!$K$16,$A17&lt;&gt;S$1,feasible_mat!S17=1),(VLOOKUP(S$1,test!$A$3:$I$32,8,FALSE))-(VLOOKUP($A17,test!$A$3:$I$32,9,FALSE)),0)</f>
        <v>0</v>
      </c>
      <c r="T17">
        <f>IF(AND(SUM(VLOOKUP($A17,test!$A$3:$F$32,2,FALSE),VLOOKUP(T$1,test!$A$3:$F$32,2,FALSE))&lt;test!$K$16,$A17&lt;&gt;T$1,feasible_mat!T17=1),(VLOOKUP(T$1,test!$A$3:$I$32,8,FALSE))-(VLOOKUP($A17,test!$A$3:$I$32,9,FALSE)),0)</f>
        <v>0</v>
      </c>
      <c r="U17">
        <f>IF(AND(SUM(VLOOKUP($A17,test!$A$3:$F$32,2,FALSE),VLOOKUP(U$1,test!$A$3:$F$32,2,FALSE))&lt;test!$K$16,$A17&lt;&gt;U$1,feasible_mat!U17=1),(VLOOKUP(U$1,test!$A$3:$I$32,8,FALSE))-(VLOOKUP($A17,test!$A$3:$I$32,9,FALSE)),0)</f>
        <v>0</v>
      </c>
      <c r="V17">
        <f>IF(AND(SUM(VLOOKUP($A17,test!$A$3:$F$32,2,FALSE),VLOOKUP(V$1,test!$A$3:$F$32,2,FALSE))&lt;test!$K$16,$A17&lt;&gt;V$1,feasible_mat!V17=1),(VLOOKUP(V$1,test!$A$3:$I$32,8,FALSE))-(VLOOKUP($A17,test!$A$3:$I$32,9,FALSE)),0)</f>
        <v>0</v>
      </c>
      <c r="W17">
        <f>IF(AND(SUM(VLOOKUP($A17,test!$A$3:$F$32,2,FALSE),VLOOKUP(W$1,test!$A$3:$F$32,2,FALSE))&lt;test!$K$16,$A17&lt;&gt;W$1,feasible_mat!W17=1),(VLOOKUP(W$1,test!$A$3:$I$32,8,FALSE))-(VLOOKUP($A17,test!$A$3:$I$32,9,FALSE)),0)</f>
        <v>0</v>
      </c>
      <c r="X17">
        <f>IF(AND(SUM(VLOOKUP($A17,test!$A$3:$F$32,2,FALSE),VLOOKUP(X$1,test!$A$3:$F$32,2,FALSE))&lt;test!$K$16,$A17&lt;&gt;X$1,feasible_mat!X17=1),(VLOOKUP(X$1,test!$A$3:$I$32,8,FALSE))-(VLOOKUP($A17,test!$A$3:$I$32,9,FALSE)),0)</f>
        <v>0</v>
      </c>
      <c r="Y17">
        <f>IF(AND(SUM(VLOOKUP($A17,test!$A$3:$F$32,2,FALSE),VLOOKUP(Y$1,test!$A$3:$F$32,2,FALSE))&lt;test!$K$16,$A17&lt;&gt;Y$1,feasible_mat!Y17=1),(VLOOKUP(Y$1,test!$A$3:$I$32,8,FALSE))-(VLOOKUP($A17,test!$A$3:$I$32,9,FALSE)),0)</f>
        <v>0</v>
      </c>
      <c r="Z17">
        <f>IF(AND(SUM(VLOOKUP($A17,test!$A$3:$F$32,2,FALSE),VLOOKUP(Z$1,test!$A$3:$F$32,2,FALSE))&lt;test!$K$16,$A17&lt;&gt;Z$1,feasible_mat!Z17=1),(VLOOKUP(Z$1,test!$A$3:$I$32,8,FALSE))-(VLOOKUP($A17,test!$A$3:$I$32,9,FALSE)),0)</f>
        <v>0</v>
      </c>
      <c r="AA17">
        <f>IF(AND(SUM(VLOOKUP($A17,test!$A$3:$F$32,2,FALSE),VLOOKUP(AA$1,test!$A$3:$F$32,2,FALSE))&lt;test!$K$16,$A17&lt;&gt;AA$1,feasible_mat!AA17=1),(VLOOKUP(AA$1,test!$A$3:$I$32,8,FALSE))-(VLOOKUP($A17,test!$A$3:$I$32,9,FALSE)),0)</f>
        <v>0</v>
      </c>
      <c r="AB17">
        <f>IF(AND(SUM(VLOOKUP($A17,test!$A$3:$F$32,2,FALSE),VLOOKUP(AB$1,test!$A$3:$F$32,2,FALSE))&lt;test!$K$16,$A17&lt;&gt;AB$1,feasible_mat!AB17=1),(VLOOKUP(AB$1,test!$A$3:$I$32,8,FALSE))-(VLOOKUP($A17,test!$A$3:$I$32,9,FALSE)),0)</f>
        <v>0</v>
      </c>
      <c r="AC17">
        <f>IF(AND(SUM(VLOOKUP($A17,test!$A$3:$F$32,2,FALSE),VLOOKUP(AC$1,test!$A$3:$F$32,2,FALSE))&lt;test!$K$16,$A17&lt;&gt;AC$1,feasible_mat!AC17=1),(VLOOKUP(AC$1,test!$A$3:$I$32,8,FALSE))-(VLOOKUP($A17,test!$A$3:$I$32,9,FALSE)),0)</f>
        <v>0</v>
      </c>
      <c r="AD17">
        <f>IF(AND(SUM(VLOOKUP($A17,test!$A$3:$F$32,2,FALSE),VLOOKUP(AD$1,test!$A$3:$F$32,2,FALSE))&lt;test!$K$16,$A17&lt;&gt;AD$1,feasible_mat!AD17=1),(VLOOKUP(AD$1,test!$A$3:$F$32,8,FALSE))-(VLOOKUP($A17,test!$A$3:$F$32,9,FALSE)),0)</f>
        <v>0</v>
      </c>
      <c r="AE17">
        <f>IF(AND(SUM(VLOOKUP($A17,test!$A$3:$F$32,2,FALSE),VLOOKUP(AE$1,test!$A$3:$F$32,2,FALSE))&lt;test!$K$16,$A17&lt;&gt;AE$1,feasible_mat!AE17=1),(VLOOKUP(AE$1,test!$A$3:$F$32,8,FALSE))-(VLOOKUP($A17,test!$A$3:$F$32,9,FALSE)),0)</f>
        <v>0</v>
      </c>
      <c r="AF17">
        <f>IF(AND(SUM(VLOOKUP($A17,test!$A$3:$F$32,2,FALSE),VLOOKUP(AF$1,test!$A$3:$F$32,2,FALSE))&lt;test!$K$16,$A17&lt;&gt;AF$1,feasible_mat!AF17=1),(VLOOKUP(AF$1,test!$A$3:$F$32,8,FALSE))-(VLOOKUP($A17,test!$A$3:$F$32,9,FALSE)),0)</f>
        <v>0</v>
      </c>
    </row>
    <row r="18" spans="1:32" x14ac:dyDescent="0.25">
      <c r="A18" t="s">
        <v>27</v>
      </c>
      <c r="B18">
        <v>0</v>
      </c>
      <c r="C18">
        <f>IF(AND(SUM(VLOOKUP($A18,test!$A$3:$F$32,2,FALSE),VLOOKUP(C$1,test!$A$3:$F$32,2,FALSE))&lt;test!$K$16,$A18&lt;&gt;C$1,feasible_mat!C18=1),(VLOOKUP(C$1,test!$A$3:$I$32,8,FALSE))-(VLOOKUP($A18,test!$A$3:$I$32,9,FALSE)),0)</f>
        <v>0</v>
      </c>
      <c r="D18">
        <f>IF(AND(SUM(VLOOKUP($A18,test!$A$3:$F$32,2,FALSE),VLOOKUP(D$1,test!$A$3:$F$32,2,FALSE))&lt;test!$K$16,$A18&lt;&gt;D$1,feasible_mat!D18=1),(VLOOKUP(D$1,test!$A$3:$I$32,8,FALSE))-(VLOOKUP($A18,test!$A$3:$I$32,9,FALSE)),0)</f>
        <v>0</v>
      </c>
      <c r="E18">
        <f>IF(AND(SUM(VLOOKUP($A18,test!$A$3:$F$32,2,FALSE),VLOOKUP(E$1,test!$A$3:$F$32,2,FALSE))&lt;test!$K$16,$A18&lt;&gt;E$1,feasible_mat!E18=1),(VLOOKUP(E$1,test!$A$3:$I$32,8,FALSE))-(VLOOKUP($A18,test!$A$3:$I$32,9,FALSE)),0)</f>
        <v>65</v>
      </c>
      <c r="F18">
        <f>IF(AND(SUM(VLOOKUP($A18,test!$A$3:$F$32,2,FALSE),VLOOKUP(F$1,test!$A$3:$F$32,2,FALSE))&lt;test!$K$16,$A18&lt;&gt;F$1,feasible_mat!F18=1),(VLOOKUP(F$1,test!$A$3:$I$32,8,FALSE))-(VLOOKUP($A18,test!$A$3:$I$32,9,FALSE)),0)</f>
        <v>155</v>
      </c>
      <c r="G18">
        <f>IF(AND(SUM(VLOOKUP($A18,test!$A$3:$F$32,2,FALSE),VLOOKUP(G$1,test!$A$3:$F$32,2,FALSE))&lt;test!$K$16,$A18&lt;&gt;G$1,feasible_mat!G18=1),(VLOOKUP(G$1,test!$A$3:$I$32,8,FALSE))-(VLOOKUP($A18,test!$A$3:$I$32,9,FALSE)),0)</f>
        <v>215</v>
      </c>
      <c r="H18">
        <f>IF(AND(SUM(VLOOKUP($A18,test!$A$3:$F$32,2,FALSE),VLOOKUP(H$1,test!$A$3:$F$32,2,FALSE))&lt;test!$K$16,$A18&lt;&gt;H$1,feasible_mat!H18=1),(VLOOKUP(H$1,test!$A$3:$I$32,8,FALSE))-(VLOOKUP($A18,test!$A$3:$I$32,9,FALSE)),0)</f>
        <v>275</v>
      </c>
      <c r="I18">
        <f>IF(AND(SUM(VLOOKUP($A18,test!$A$3:$F$32,2,FALSE),VLOOKUP(I$1,test!$A$3:$F$32,2,FALSE))&lt;test!$K$16,$A18&lt;&gt;I$1,feasible_mat!I18=1),(VLOOKUP(I$1,test!$A$3:$I$32,8,FALSE))-(VLOOKUP($A18,test!$A$3:$I$32,9,FALSE)),0)</f>
        <v>335</v>
      </c>
      <c r="J18">
        <f>IF(AND(SUM(VLOOKUP($A18,test!$A$3:$F$32,2,FALSE),VLOOKUP(J$1,test!$A$3:$F$32,2,FALSE))&lt;test!$K$16,$A18&lt;&gt;J$1,feasible_mat!J18=1),(VLOOKUP(J$1,test!$A$3:$I$32,8,FALSE))-(VLOOKUP($A18,test!$A$3:$I$32,9,FALSE)),0)</f>
        <v>425</v>
      </c>
      <c r="K18">
        <f>IF(AND(SUM(VLOOKUP($A18,test!$A$3:$F$32,2,FALSE),VLOOKUP(K$1,test!$A$3:$F$32,2,FALSE))&lt;test!$K$16,$A18&lt;&gt;K$1,feasible_mat!K18=1),(VLOOKUP(K$1,test!$A$3:$I$32,8,FALSE))-(VLOOKUP($A18,test!$A$3:$I$32,9,FALSE)),0)</f>
        <v>0</v>
      </c>
      <c r="L18">
        <f>IF(AND(SUM(VLOOKUP($A18,test!$A$3:$F$32,2,FALSE),VLOOKUP(L$1,test!$A$3:$F$32,2,FALSE))&lt;test!$K$16,$A18&lt;&gt;L$1,feasible_mat!L18=1),(VLOOKUP(L$1,test!$A$3:$I$32,8,FALSE))-(VLOOKUP($A18,test!$A$3:$I$32,9,FALSE)),0)</f>
        <v>0</v>
      </c>
      <c r="M18">
        <f>IF(AND(SUM(VLOOKUP($A18,test!$A$3:$F$32,2,FALSE),VLOOKUP(M$1,test!$A$3:$F$32,2,FALSE))&lt;test!$K$16,$A18&lt;&gt;M$1,feasible_mat!M18=1),(VLOOKUP(M$1,test!$A$3:$I$32,8,FALSE))-(VLOOKUP($A18,test!$A$3:$I$32,9,FALSE)),0)</f>
        <v>30</v>
      </c>
      <c r="N18">
        <f>IF(AND(SUM(VLOOKUP($A18,test!$A$3:$F$32,2,FALSE),VLOOKUP(N$1,test!$A$3:$F$32,2,FALSE))&lt;test!$K$16,$A18&lt;&gt;N$1,feasible_mat!N18=1),(VLOOKUP(N$1,test!$A$3:$I$32,8,FALSE))-(VLOOKUP($A18,test!$A$3:$I$32,9,FALSE)),0)</f>
        <v>390</v>
      </c>
      <c r="O18">
        <f>IF(AND(SUM(VLOOKUP($A18,test!$A$3:$F$32,2,FALSE),VLOOKUP(O$1,test!$A$3:$F$32,2,FALSE))&lt;test!$K$16,$A18&lt;&gt;O$1,feasible_mat!O18=1),(VLOOKUP(O$1,test!$A$3:$I$32,8,FALSE))-(VLOOKUP($A18,test!$A$3:$I$32,9,FALSE)),0)</f>
        <v>450</v>
      </c>
      <c r="P18">
        <f>IF(AND(SUM(VLOOKUP($A18,test!$A$3:$F$32,2,FALSE),VLOOKUP(P$1,test!$A$3:$F$32,2,FALSE))&lt;test!$K$16,$A18&lt;&gt;P$1,feasible_mat!P18=1),(VLOOKUP(P$1,test!$A$3:$I$32,8,FALSE))-(VLOOKUP($A18,test!$A$3:$I$32,9,FALSE)),0)</f>
        <v>0</v>
      </c>
      <c r="Q18">
        <f>IF(AND(SUM(VLOOKUP($A18,test!$A$3:$F$32,2,FALSE),VLOOKUP(Q$1,test!$A$3:$F$32,2,FALSE))&lt;test!$K$16,$A18&lt;&gt;Q$1,feasible_mat!Q18=1),(VLOOKUP(Q$1,test!$A$3:$I$32,8,FALSE))-(VLOOKUP($A18,test!$A$3:$I$32,9,FALSE)),0)</f>
        <v>0</v>
      </c>
      <c r="R18">
        <f>IF(AND(SUM(VLOOKUP($A18,test!$A$3:$F$32,2,FALSE),VLOOKUP(R$1,test!$A$3:$F$32,2,FALSE))&lt;test!$K$16,$A18&lt;&gt;R$1,feasible_mat!R18=1),(VLOOKUP(R$1,test!$A$3:$I$32,8,FALSE))-(VLOOKUP($A18,test!$A$3:$I$32,9,FALSE)),0)</f>
        <v>0</v>
      </c>
      <c r="S18">
        <f>IF(AND(SUM(VLOOKUP($A18,test!$A$3:$F$32,2,FALSE),VLOOKUP(S$1,test!$A$3:$F$32,2,FALSE))&lt;test!$K$16,$A18&lt;&gt;S$1,feasible_mat!S18=1),(VLOOKUP(S$1,test!$A$3:$I$32,8,FALSE))-(VLOOKUP($A18,test!$A$3:$I$32,9,FALSE)),0)</f>
        <v>0</v>
      </c>
      <c r="T18">
        <f>IF(AND(SUM(VLOOKUP($A18,test!$A$3:$F$32,2,FALSE),VLOOKUP(T$1,test!$A$3:$F$32,2,FALSE))&lt;test!$K$16,$A18&lt;&gt;T$1,feasible_mat!T18=1),(VLOOKUP(T$1,test!$A$3:$I$32,8,FALSE))-(VLOOKUP($A18,test!$A$3:$I$32,9,FALSE)),0)</f>
        <v>0</v>
      </c>
      <c r="U18">
        <f>IF(AND(SUM(VLOOKUP($A18,test!$A$3:$F$32,2,FALSE),VLOOKUP(U$1,test!$A$3:$F$32,2,FALSE))&lt;test!$K$16,$A18&lt;&gt;U$1,feasible_mat!U18=1),(VLOOKUP(U$1,test!$A$3:$I$32,8,FALSE))-(VLOOKUP($A18,test!$A$3:$I$32,9,FALSE)),0)</f>
        <v>0</v>
      </c>
      <c r="V18">
        <f>IF(AND(SUM(VLOOKUP($A18,test!$A$3:$F$32,2,FALSE),VLOOKUP(V$1,test!$A$3:$F$32,2,FALSE))&lt;test!$K$16,$A18&lt;&gt;V$1,feasible_mat!V18=1),(VLOOKUP(V$1,test!$A$3:$I$32,8,FALSE))-(VLOOKUP($A18,test!$A$3:$I$32,9,FALSE)),0)</f>
        <v>0</v>
      </c>
      <c r="W18">
        <f>IF(AND(SUM(VLOOKUP($A18,test!$A$3:$F$32,2,FALSE),VLOOKUP(W$1,test!$A$3:$F$32,2,FALSE))&lt;test!$K$16,$A18&lt;&gt;W$1,feasible_mat!W18=1),(VLOOKUP(W$1,test!$A$3:$I$32,8,FALSE))-(VLOOKUP($A18,test!$A$3:$I$32,9,FALSE)),0)</f>
        <v>0</v>
      </c>
      <c r="X18">
        <f>IF(AND(SUM(VLOOKUP($A18,test!$A$3:$F$32,2,FALSE),VLOOKUP(X$1,test!$A$3:$F$32,2,FALSE))&lt;test!$K$16,$A18&lt;&gt;X$1,feasible_mat!X18=1),(VLOOKUP(X$1,test!$A$3:$I$32,8,FALSE))-(VLOOKUP($A18,test!$A$3:$I$32,9,FALSE)),0)</f>
        <v>0</v>
      </c>
      <c r="Y18">
        <f>IF(AND(SUM(VLOOKUP($A18,test!$A$3:$F$32,2,FALSE),VLOOKUP(Y$1,test!$A$3:$F$32,2,FALSE))&lt;test!$K$16,$A18&lt;&gt;Y$1,feasible_mat!Y18=1),(VLOOKUP(Y$1,test!$A$3:$I$32,8,FALSE))-(VLOOKUP($A18,test!$A$3:$I$32,9,FALSE)),0)</f>
        <v>0</v>
      </c>
      <c r="Z18">
        <f>IF(AND(SUM(VLOOKUP($A18,test!$A$3:$F$32,2,FALSE),VLOOKUP(Z$1,test!$A$3:$F$32,2,FALSE))&lt;test!$K$16,$A18&lt;&gt;Z$1,feasible_mat!Z18=1),(VLOOKUP(Z$1,test!$A$3:$I$32,8,FALSE))-(VLOOKUP($A18,test!$A$3:$I$32,9,FALSE)),0)</f>
        <v>0</v>
      </c>
      <c r="AA18">
        <f>IF(AND(SUM(VLOOKUP($A18,test!$A$3:$F$32,2,FALSE),VLOOKUP(AA$1,test!$A$3:$F$32,2,FALSE))&lt;test!$K$16,$A18&lt;&gt;AA$1,feasible_mat!AA18=1),(VLOOKUP(AA$1,test!$A$3:$I$32,8,FALSE))-(VLOOKUP($A18,test!$A$3:$I$32,9,FALSE)),0)</f>
        <v>0</v>
      </c>
      <c r="AB18">
        <f>IF(AND(SUM(VLOOKUP($A18,test!$A$3:$F$32,2,FALSE),VLOOKUP(AB$1,test!$A$3:$F$32,2,FALSE))&lt;test!$K$16,$A18&lt;&gt;AB$1,feasible_mat!AB18=1),(VLOOKUP(AB$1,test!$A$3:$I$32,8,FALSE))-(VLOOKUP($A18,test!$A$3:$I$32,9,FALSE)),0)</f>
        <v>0</v>
      </c>
      <c r="AC18">
        <f>IF(AND(SUM(VLOOKUP($A18,test!$A$3:$F$32,2,FALSE),VLOOKUP(AC$1,test!$A$3:$F$32,2,FALSE))&lt;test!$K$16,$A18&lt;&gt;AC$1,feasible_mat!AC18=1),(VLOOKUP(AC$1,test!$A$3:$I$32,8,FALSE))-(VLOOKUP($A18,test!$A$3:$I$32,9,FALSE)),0)</f>
        <v>0</v>
      </c>
      <c r="AD18">
        <f>IF(AND(SUM(VLOOKUP($A18,test!$A$3:$F$32,2,FALSE),VLOOKUP(AD$1,test!$A$3:$F$32,2,FALSE))&lt;test!$K$16,$A18&lt;&gt;AD$1,feasible_mat!AD18=1),(VLOOKUP(AD$1,test!$A$3:$F$32,8,FALSE))-(VLOOKUP($A18,test!$A$3:$F$32,9,FALSE)),0)</f>
        <v>0</v>
      </c>
      <c r="AE18">
        <f>IF(AND(SUM(VLOOKUP($A18,test!$A$3:$F$32,2,FALSE),VLOOKUP(AE$1,test!$A$3:$F$32,2,FALSE))&lt;test!$K$16,$A18&lt;&gt;AE$1,feasible_mat!AE18=1),(VLOOKUP(AE$1,test!$A$3:$F$32,8,FALSE))-(VLOOKUP($A18,test!$A$3:$F$32,9,FALSE)),0)</f>
        <v>0</v>
      </c>
      <c r="AF18">
        <f>IF(AND(SUM(VLOOKUP($A18,test!$A$3:$F$32,2,FALSE),VLOOKUP(AF$1,test!$A$3:$F$32,2,FALSE))&lt;test!$K$16,$A18&lt;&gt;AF$1,feasible_mat!AF18=1),(VLOOKUP(AF$1,test!$A$3:$F$32,8,FALSE))-(VLOOKUP($A18,test!$A$3:$F$32,9,FALSE)),0)</f>
        <v>0</v>
      </c>
    </row>
    <row r="19" spans="1:32" x14ac:dyDescent="0.25">
      <c r="A19" t="s">
        <v>28</v>
      </c>
      <c r="B19">
        <v>0</v>
      </c>
      <c r="C19">
        <f>IF(AND(SUM(VLOOKUP($A19,test!$A$3:$F$32,2,FALSE),VLOOKUP(C$1,test!$A$3:$F$32,2,FALSE))&lt;test!$K$16,$A19&lt;&gt;C$1,feasible_mat!C19=1),(VLOOKUP(C$1,test!$A$3:$I$32,8,FALSE))-(VLOOKUP($A19,test!$A$3:$I$32,9,FALSE)),0)</f>
        <v>0</v>
      </c>
      <c r="D19">
        <f>IF(AND(SUM(VLOOKUP($A19,test!$A$3:$F$32,2,FALSE),VLOOKUP(D$1,test!$A$3:$F$32,2,FALSE))&lt;test!$K$16,$A19&lt;&gt;D$1,feasible_mat!D19=1),(VLOOKUP(D$1,test!$A$3:$I$32,8,FALSE))-(VLOOKUP($A19,test!$A$3:$I$32,9,FALSE)),0)</f>
        <v>0</v>
      </c>
      <c r="E19">
        <f>IF(AND(SUM(VLOOKUP($A19,test!$A$3:$F$32,2,FALSE),VLOOKUP(E$1,test!$A$3:$F$32,2,FALSE))&lt;test!$K$16,$A19&lt;&gt;E$1,feasible_mat!E19=1),(VLOOKUP(E$1,test!$A$3:$I$32,8,FALSE))-(VLOOKUP($A19,test!$A$3:$I$32,9,FALSE)),0)</f>
        <v>0</v>
      </c>
      <c r="F19">
        <f>IF(AND(SUM(VLOOKUP($A19,test!$A$3:$F$32,2,FALSE),VLOOKUP(F$1,test!$A$3:$F$32,2,FALSE))&lt;test!$K$16,$A19&lt;&gt;F$1,feasible_mat!F19=1),(VLOOKUP(F$1,test!$A$3:$I$32,8,FALSE))-(VLOOKUP($A19,test!$A$3:$I$32,9,FALSE)),0)</f>
        <v>65</v>
      </c>
      <c r="G19">
        <f>IF(AND(SUM(VLOOKUP($A19,test!$A$3:$F$32,2,FALSE),VLOOKUP(G$1,test!$A$3:$F$32,2,FALSE))&lt;test!$K$16,$A19&lt;&gt;G$1,feasible_mat!G19=1),(VLOOKUP(G$1,test!$A$3:$I$32,8,FALSE))-(VLOOKUP($A19,test!$A$3:$I$32,9,FALSE)),0)</f>
        <v>125</v>
      </c>
      <c r="H19">
        <f>IF(AND(SUM(VLOOKUP($A19,test!$A$3:$F$32,2,FALSE),VLOOKUP(H$1,test!$A$3:$F$32,2,FALSE))&lt;test!$K$16,$A19&lt;&gt;H$1,feasible_mat!H19=1),(VLOOKUP(H$1,test!$A$3:$I$32,8,FALSE))-(VLOOKUP($A19,test!$A$3:$I$32,9,FALSE)),0)</f>
        <v>185</v>
      </c>
      <c r="I19">
        <f>IF(AND(SUM(VLOOKUP($A19,test!$A$3:$F$32,2,FALSE),VLOOKUP(I$1,test!$A$3:$F$32,2,FALSE))&lt;test!$K$16,$A19&lt;&gt;I$1,feasible_mat!I19=1),(VLOOKUP(I$1,test!$A$3:$I$32,8,FALSE))-(VLOOKUP($A19,test!$A$3:$I$32,9,FALSE)),0)</f>
        <v>245</v>
      </c>
      <c r="J19">
        <f>IF(AND(SUM(VLOOKUP($A19,test!$A$3:$F$32,2,FALSE),VLOOKUP(J$1,test!$A$3:$F$32,2,FALSE))&lt;test!$K$16,$A19&lt;&gt;J$1,feasible_mat!J19=1),(VLOOKUP(J$1,test!$A$3:$I$32,8,FALSE))-(VLOOKUP($A19,test!$A$3:$I$32,9,FALSE)),0)</f>
        <v>335</v>
      </c>
      <c r="K19">
        <f>IF(AND(SUM(VLOOKUP($A19,test!$A$3:$F$32,2,FALSE),VLOOKUP(K$1,test!$A$3:$F$32,2,FALSE))&lt;test!$K$16,$A19&lt;&gt;K$1,feasible_mat!K19=1),(VLOOKUP(K$1,test!$A$3:$I$32,8,FALSE))-(VLOOKUP($A19,test!$A$3:$I$32,9,FALSE)),0)</f>
        <v>0</v>
      </c>
      <c r="L19">
        <f>IF(AND(SUM(VLOOKUP($A19,test!$A$3:$F$32,2,FALSE),VLOOKUP(L$1,test!$A$3:$F$32,2,FALSE))&lt;test!$K$16,$A19&lt;&gt;L$1,feasible_mat!L19=1),(VLOOKUP(L$1,test!$A$3:$I$32,8,FALSE))-(VLOOKUP($A19,test!$A$3:$I$32,9,FALSE)),0)</f>
        <v>0</v>
      </c>
      <c r="M19">
        <f>IF(AND(SUM(VLOOKUP($A19,test!$A$3:$F$32,2,FALSE),VLOOKUP(M$1,test!$A$3:$F$32,2,FALSE))&lt;test!$K$16,$A19&lt;&gt;M$1,feasible_mat!M19=1),(VLOOKUP(M$1,test!$A$3:$I$32,8,FALSE))-(VLOOKUP($A19,test!$A$3:$I$32,9,FALSE)),0)</f>
        <v>0</v>
      </c>
      <c r="N19">
        <f>IF(AND(SUM(VLOOKUP($A19,test!$A$3:$F$32,2,FALSE),VLOOKUP(N$1,test!$A$3:$F$32,2,FALSE))&lt;test!$K$16,$A19&lt;&gt;N$1,feasible_mat!N19=1),(VLOOKUP(N$1,test!$A$3:$I$32,8,FALSE))-(VLOOKUP($A19,test!$A$3:$I$32,9,FALSE)),0)</f>
        <v>300</v>
      </c>
      <c r="O19">
        <f>IF(AND(SUM(VLOOKUP($A19,test!$A$3:$F$32,2,FALSE),VLOOKUP(O$1,test!$A$3:$F$32,2,FALSE))&lt;test!$K$16,$A19&lt;&gt;O$1,feasible_mat!O19=1),(VLOOKUP(O$1,test!$A$3:$I$32,8,FALSE))-(VLOOKUP($A19,test!$A$3:$I$32,9,FALSE)),0)</f>
        <v>360</v>
      </c>
      <c r="P19">
        <f>IF(AND(SUM(VLOOKUP($A19,test!$A$3:$F$32,2,FALSE),VLOOKUP(P$1,test!$A$3:$F$32,2,FALSE))&lt;test!$K$16,$A19&lt;&gt;P$1,feasible_mat!P19=1),(VLOOKUP(P$1,test!$A$3:$I$32,8,FALSE))-(VLOOKUP($A19,test!$A$3:$I$32,9,FALSE)),0)</f>
        <v>0</v>
      </c>
      <c r="Q19">
        <f>IF(AND(SUM(VLOOKUP($A19,test!$A$3:$F$32,2,FALSE),VLOOKUP(Q$1,test!$A$3:$F$32,2,FALSE))&lt;test!$K$16,$A19&lt;&gt;Q$1,feasible_mat!Q19=1),(VLOOKUP(Q$1,test!$A$3:$I$32,8,FALSE))-(VLOOKUP($A19,test!$A$3:$I$32,9,FALSE)),0)</f>
        <v>0</v>
      </c>
      <c r="R19">
        <f>IF(AND(SUM(VLOOKUP($A19,test!$A$3:$F$32,2,FALSE),VLOOKUP(R$1,test!$A$3:$F$32,2,FALSE))&lt;test!$K$16,$A19&lt;&gt;R$1,feasible_mat!R19=1),(VLOOKUP(R$1,test!$A$3:$I$32,8,FALSE))-(VLOOKUP($A19,test!$A$3:$I$32,9,FALSE)),0)</f>
        <v>0</v>
      </c>
      <c r="S19">
        <f>IF(AND(SUM(VLOOKUP($A19,test!$A$3:$F$32,2,FALSE),VLOOKUP(S$1,test!$A$3:$F$32,2,FALSE))&lt;test!$K$16,$A19&lt;&gt;S$1,feasible_mat!S19=1),(VLOOKUP(S$1,test!$A$3:$I$32,8,FALSE))-(VLOOKUP($A19,test!$A$3:$I$32,9,FALSE)),0)</f>
        <v>0</v>
      </c>
      <c r="T19">
        <f>IF(AND(SUM(VLOOKUP($A19,test!$A$3:$F$32,2,FALSE),VLOOKUP(T$1,test!$A$3:$F$32,2,FALSE))&lt;test!$K$16,$A19&lt;&gt;T$1,feasible_mat!T19=1),(VLOOKUP(T$1,test!$A$3:$I$32,8,FALSE))-(VLOOKUP($A19,test!$A$3:$I$32,9,FALSE)),0)</f>
        <v>0</v>
      </c>
      <c r="U19">
        <f>IF(AND(SUM(VLOOKUP($A19,test!$A$3:$F$32,2,FALSE),VLOOKUP(U$1,test!$A$3:$F$32,2,FALSE))&lt;test!$K$16,$A19&lt;&gt;U$1,feasible_mat!U19=1),(VLOOKUP(U$1,test!$A$3:$I$32,8,FALSE))-(VLOOKUP($A19,test!$A$3:$I$32,9,FALSE)),0)</f>
        <v>0</v>
      </c>
      <c r="V19">
        <f>IF(AND(SUM(VLOOKUP($A19,test!$A$3:$F$32,2,FALSE),VLOOKUP(V$1,test!$A$3:$F$32,2,FALSE))&lt;test!$K$16,$A19&lt;&gt;V$1,feasible_mat!V19=1),(VLOOKUP(V$1,test!$A$3:$I$32,8,FALSE))-(VLOOKUP($A19,test!$A$3:$I$32,9,FALSE)),0)</f>
        <v>0</v>
      </c>
      <c r="W19">
        <f>IF(AND(SUM(VLOOKUP($A19,test!$A$3:$F$32,2,FALSE),VLOOKUP(W$1,test!$A$3:$F$32,2,FALSE))&lt;test!$K$16,$A19&lt;&gt;W$1,feasible_mat!W19=1),(VLOOKUP(W$1,test!$A$3:$I$32,8,FALSE))-(VLOOKUP($A19,test!$A$3:$I$32,9,FALSE)),0)</f>
        <v>0</v>
      </c>
      <c r="X19">
        <f>IF(AND(SUM(VLOOKUP($A19,test!$A$3:$F$32,2,FALSE),VLOOKUP(X$1,test!$A$3:$F$32,2,FALSE))&lt;test!$K$16,$A19&lt;&gt;X$1,feasible_mat!X19=1),(VLOOKUP(X$1,test!$A$3:$I$32,8,FALSE))-(VLOOKUP($A19,test!$A$3:$I$32,9,FALSE)),0)</f>
        <v>0</v>
      </c>
      <c r="Y19">
        <f>IF(AND(SUM(VLOOKUP($A19,test!$A$3:$F$32,2,FALSE),VLOOKUP(Y$1,test!$A$3:$F$32,2,FALSE))&lt;test!$K$16,$A19&lt;&gt;Y$1,feasible_mat!Y19=1),(VLOOKUP(Y$1,test!$A$3:$I$32,8,FALSE))-(VLOOKUP($A19,test!$A$3:$I$32,9,FALSE)),0)</f>
        <v>0</v>
      </c>
      <c r="Z19">
        <f>IF(AND(SUM(VLOOKUP($A19,test!$A$3:$F$32,2,FALSE),VLOOKUP(Z$1,test!$A$3:$F$32,2,FALSE))&lt;test!$K$16,$A19&lt;&gt;Z$1,feasible_mat!Z19=1),(VLOOKUP(Z$1,test!$A$3:$I$32,8,FALSE))-(VLOOKUP($A19,test!$A$3:$I$32,9,FALSE)),0)</f>
        <v>0</v>
      </c>
      <c r="AA19">
        <f>IF(AND(SUM(VLOOKUP($A19,test!$A$3:$F$32,2,FALSE),VLOOKUP(AA$1,test!$A$3:$F$32,2,FALSE))&lt;test!$K$16,$A19&lt;&gt;AA$1,feasible_mat!AA19=1),(VLOOKUP(AA$1,test!$A$3:$I$32,8,FALSE))-(VLOOKUP($A19,test!$A$3:$I$32,9,FALSE)),0)</f>
        <v>0</v>
      </c>
      <c r="AB19">
        <f>IF(AND(SUM(VLOOKUP($A19,test!$A$3:$F$32,2,FALSE),VLOOKUP(AB$1,test!$A$3:$F$32,2,FALSE))&lt;test!$K$16,$A19&lt;&gt;AB$1,feasible_mat!AB19=1),(VLOOKUP(AB$1,test!$A$3:$I$32,8,FALSE))-(VLOOKUP($A19,test!$A$3:$I$32,9,FALSE)),0)</f>
        <v>0</v>
      </c>
      <c r="AC19">
        <f>IF(AND(SUM(VLOOKUP($A19,test!$A$3:$F$32,2,FALSE),VLOOKUP(AC$1,test!$A$3:$F$32,2,FALSE))&lt;test!$K$16,$A19&lt;&gt;AC$1,feasible_mat!AC19=1),(VLOOKUP(AC$1,test!$A$3:$I$32,8,FALSE))-(VLOOKUP($A19,test!$A$3:$I$32,9,FALSE)),0)</f>
        <v>0</v>
      </c>
      <c r="AD19">
        <f>IF(AND(SUM(VLOOKUP($A19,test!$A$3:$F$32,2,FALSE),VLOOKUP(AD$1,test!$A$3:$F$32,2,FALSE))&lt;test!$K$16,$A19&lt;&gt;AD$1,feasible_mat!AD19=1),(VLOOKUP(AD$1,test!$A$3:$F$32,8,FALSE))-(VLOOKUP($A19,test!$A$3:$F$32,9,FALSE)),0)</f>
        <v>0</v>
      </c>
      <c r="AE19">
        <f>IF(AND(SUM(VLOOKUP($A19,test!$A$3:$F$32,2,FALSE),VLOOKUP(AE$1,test!$A$3:$F$32,2,FALSE))&lt;test!$K$16,$A19&lt;&gt;AE$1,feasible_mat!AE19=1),(VLOOKUP(AE$1,test!$A$3:$F$32,8,FALSE))-(VLOOKUP($A19,test!$A$3:$F$32,9,FALSE)),0)</f>
        <v>0</v>
      </c>
      <c r="AF19">
        <f>IF(AND(SUM(VLOOKUP($A19,test!$A$3:$F$32,2,FALSE),VLOOKUP(AF$1,test!$A$3:$F$32,2,FALSE))&lt;test!$K$16,$A19&lt;&gt;AF$1,feasible_mat!AF19=1),(VLOOKUP(AF$1,test!$A$3:$F$32,8,FALSE))-(VLOOKUP($A19,test!$A$3:$F$32,9,FALSE)),0)</f>
        <v>0</v>
      </c>
    </row>
    <row r="20" spans="1:32" x14ac:dyDescent="0.25">
      <c r="A20" t="s">
        <v>29</v>
      </c>
      <c r="B20">
        <v>0</v>
      </c>
      <c r="C20">
        <f>IF(AND(SUM(VLOOKUP($A20,test!$A$3:$F$32,2,FALSE),VLOOKUP(C$1,test!$A$3:$F$32,2,FALSE))&lt;test!$K$16,$A20&lt;&gt;C$1,feasible_mat!C20=1),(VLOOKUP(C$1,test!$A$3:$I$32,8,FALSE))-(VLOOKUP($A20,test!$A$3:$I$32,9,FALSE)),0)</f>
        <v>0</v>
      </c>
      <c r="D20">
        <f>IF(AND(SUM(VLOOKUP($A20,test!$A$3:$F$32,2,FALSE),VLOOKUP(D$1,test!$A$3:$F$32,2,FALSE))&lt;test!$K$16,$A20&lt;&gt;D$1,feasible_mat!D20=1),(VLOOKUP(D$1,test!$A$3:$I$32,8,FALSE))-(VLOOKUP($A20,test!$A$3:$I$32,9,FALSE)),0)</f>
        <v>0</v>
      </c>
      <c r="E20">
        <f>IF(AND(SUM(VLOOKUP($A20,test!$A$3:$F$32,2,FALSE),VLOOKUP(E$1,test!$A$3:$F$32,2,FALSE))&lt;test!$K$16,$A20&lt;&gt;E$1,feasible_mat!E20=1),(VLOOKUP(E$1,test!$A$3:$I$32,8,FALSE))-(VLOOKUP($A20,test!$A$3:$I$32,9,FALSE)),0)</f>
        <v>0</v>
      </c>
      <c r="F20">
        <f>IF(AND(SUM(VLOOKUP($A20,test!$A$3:$F$32,2,FALSE),VLOOKUP(F$1,test!$A$3:$F$32,2,FALSE))&lt;test!$K$16,$A20&lt;&gt;F$1,feasible_mat!F20=1),(VLOOKUP(F$1,test!$A$3:$I$32,8,FALSE))-(VLOOKUP($A20,test!$A$3:$I$32,9,FALSE)),0)</f>
        <v>0</v>
      </c>
      <c r="G20">
        <f>IF(AND(SUM(VLOOKUP($A20,test!$A$3:$F$32,2,FALSE),VLOOKUP(G$1,test!$A$3:$F$32,2,FALSE))&lt;test!$K$16,$A20&lt;&gt;G$1,feasible_mat!G20=1),(VLOOKUP(G$1,test!$A$3:$I$32,8,FALSE))-(VLOOKUP($A20,test!$A$3:$I$32,9,FALSE)),0)</f>
        <v>35</v>
      </c>
      <c r="H20">
        <f>IF(AND(SUM(VLOOKUP($A20,test!$A$3:$F$32,2,FALSE),VLOOKUP(H$1,test!$A$3:$F$32,2,FALSE))&lt;test!$K$16,$A20&lt;&gt;H$1,feasible_mat!H20=1),(VLOOKUP(H$1,test!$A$3:$I$32,8,FALSE))-(VLOOKUP($A20,test!$A$3:$I$32,9,FALSE)),0)</f>
        <v>95</v>
      </c>
      <c r="I20">
        <f>IF(AND(SUM(VLOOKUP($A20,test!$A$3:$F$32,2,FALSE),VLOOKUP(I$1,test!$A$3:$F$32,2,FALSE))&lt;test!$K$16,$A20&lt;&gt;I$1,feasible_mat!I20=1),(VLOOKUP(I$1,test!$A$3:$I$32,8,FALSE))-(VLOOKUP($A20,test!$A$3:$I$32,9,FALSE)),0)</f>
        <v>155</v>
      </c>
      <c r="J20">
        <f>IF(AND(SUM(VLOOKUP($A20,test!$A$3:$F$32,2,FALSE),VLOOKUP(J$1,test!$A$3:$F$32,2,FALSE))&lt;test!$K$16,$A20&lt;&gt;J$1,feasible_mat!J20=1),(VLOOKUP(J$1,test!$A$3:$I$32,8,FALSE))-(VLOOKUP($A20,test!$A$3:$I$32,9,FALSE)),0)</f>
        <v>245</v>
      </c>
      <c r="K20">
        <f>IF(AND(SUM(VLOOKUP($A20,test!$A$3:$F$32,2,FALSE),VLOOKUP(K$1,test!$A$3:$F$32,2,FALSE))&lt;test!$K$16,$A20&lt;&gt;K$1,feasible_mat!K20=1),(VLOOKUP(K$1,test!$A$3:$I$32,8,FALSE))-(VLOOKUP($A20,test!$A$3:$I$32,9,FALSE)),0)</f>
        <v>0</v>
      </c>
      <c r="L20">
        <f>IF(AND(SUM(VLOOKUP($A20,test!$A$3:$F$32,2,FALSE),VLOOKUP(L$1,test!$A$3:$F$32,2,FALSE))&lt;test!$K$16,$A20&lt;&gt;L$1,feasible_mat!L20=1),(VLOOKUP(L$1,test!$A$3:$I$32,8,FALSE))-(VLOOKUP($A20,test!$A$3:$I$32,9,FALSE)),0)</f>
        <v>0</v>
      </c>
      <c r="M20">
        <f>IF(AND(SUM(VLOOKUP($A20,test!$A$3:$F$32,2,FALSE),VLOOKUP(M$1,test!$A$3:$F$32,2,FALSE))&lt;test!$K$16,$A20&lt;&gt;M$1,feasible_mat!M20=1),(VLOOKUP(M$1,test!$A$3:$I$32,8,FALSE))-(VLOOKUP($A20,test!$A$3:$I$32,9,FALSE)),0)</f>
        <v>0</v>
      </c>
      <c r="N20">
        <f>IF(AND(SUM(VLOOKUP($A20,test!$A$3:$F$32,2,FALSE),VLOOKUP(N$1,test!$A$3:$F$32,2,FALSE))&lt;test!$K$16,$A20&lt;&gt;N$1,feasible_mat!N20=1),(VLOOKUP(N$1,test!$A$3:$I$32,8,FALSE))-(VLOOKUP($A20,test!$A$3:$I$32,9,FALSE)),0)</f>
        <v>210</v>
      </c>
      <c r="O20">
        <f>IF(AND(SUM(VLOOKUP($A20,test!$A$3:$F$32,2,FALSE),VLOOKUP(O$1,test!$A$3:$F$32,2,FALSE))&lt;test!$K$16,$A20&lt;&gt;O$1,feasible_mat!O20=1),(VLOOKUP(O$1,test!$A$3:$I$32,8,FALSE))-(VLOOKUP($A20,test!$A$3:$I$32,9,FALSE)),0)</f>
        <v>270</v>
      </c>
      <c r="P20">
        <f>IF(AND(SUM(VLOOKUP($A20,test!$A$3:$F$32,2,FALSE),VLOOKUP(P$1,test!$A$3:$F$32,2,FALSE))&lt;test!$K$16,$A20&lt;&gt;P$1,feasible_mat!P20=1),(VLOOKUP(P$1,test!$A$3:$I$32,8,FALSE))-(VLOOKUP($A20,test!$A$3:$I$32,9,FALSE)),0)</f>
        <v>0</v>
      </c>
      <c r="Q20">
        <f>IF(AND(SUM(VLOOKUP($A20,test!$A$3:$F$32,2,FALSE),VLOOKUP(Q$1,test!$A$3:$F$32,2,FALSE))&lt;test!$K$16,$A20&lt;&gt;Q$1,feasible_mat!Q20=1),(VLOOKUP(Q$1,test!$A$3:$I$32,8,FALSE))-(VLOOKUP($A20,test!$A$3:$I$32,9,FALSE)),0)</f>
        <v>0</v>
      </c>
      <c r="R20">
        <f>IF(AND(SUM(VLOOKUP($A20,test!$A$3:$F$32,2,FALSE),VLOOKUP(R$1,test!$A$3:$F$32,2,FALSE))&lt;test!$K$16,$A20&lt;&gt;R$1,feasible_mat!R20=1),(VLOOKUP(R$1,test!$A$3:$I$32,8,FALSE))-(VLOOKUP($A20,test!$A$3:$I$32,9,FALSE)),0)</f>
        <v>0</v>
      </c>
      <c r="S20">
        <f>IF(AND(SUM(VLOOKUP($A20,test!$A$3:$F$32,2,FALSE),VLOOKUP(S$1,test!$A$3:$F$32,2,FALSE))&lt;test!$K$16,$A20&lt;&gt;S$1,feasible_mat!S20=1),(VLOOKUP(S$1,test!$A$3:$I$32,8,FALSE))-(VLOOKUP($A20,test!$A$3:$I$32,9,FALSE)),0)</f>
        <v>0</v>
      </c>
      <c r="T20">
        <f>IF(AND(SUM(VLOOKUP($A20,test!$A$3:$F$32,2,FALSE),VLOOKUP(T$1,test!$A$3:$F$32,2,FALSE))&lt;test!$K$16,$A20&lt;&gt;T$1,feasible_mat!T20=1),(VLOOKUP(T$1,test!$A$3:$I$32,8,FALSE))-(VLOOKUP($A20,test!$A$3:$I$32,9,FALSE)),0)</f>
        <v>0</v>
      </c>
      <c r="U20">
        <f>IF(AND(SUM(VLOOKUP($A20,test!$A$3:$F$32,2,FALSE),VLOOKUP(U$1,test!$A$3:$F$32,2,FALSE))&lt;test!$K$16,$A20&lt;&gt;U$1,feasible_mat!U20=1),(VLOOKUP(U$1,test!$A$3:$I$32,8,FALSE))-(VLOOKUP($A20,test!$A$3:$I$32,9,FALSE)),0)</f>
        <v>0</v>
      </c>
      <c r="V20">
        <f>IF(AND(SUM(VLOOKUP($A20,test!$A$3:$F$32,2,FALSE),VLOOKUP(V$1,test!$A$3:$F$32,2,FALSE))&lt;test!$K$16,$A20&lt;&gt;V$1,feasible_mat!V20=1),(VLOOKUP(V$1,test!$A$3:$I$32,8,FALSE))-(VLOOKUP($A20,test!$A$3:$I$32,9,FALSE)),0)</f>
        <v>0</v>
      </c>
      <c r="W20">
        <f>IF(AND(SUM(VLOOKUP($A20,test!$A$3:$F$32,2,FALSE),VLOOKUP(W$1,test!$A$3:$F$32,2,FALSE))&lt;test!$K$16,$A20&lt;&gt;W$1,feasible_mat!W20=1),(VLOOKUP(W$1,test!$A$3:$I$32,8,FALSE))-(VLOOKUP($A20,test!$A$3:$I$32,9,FALSE)),0)</f>
        <v>0</v>
      </c>
      <c r="X20">
        <f>IF(AND(SUM(VLOOKUP($A20,test!$A$3:$F$32,2,FALSE),VLOOKUP(X$1,test!$A$3:$F$32,2,FALSE))&lt;test!$K$16,$A20&lt;&gt;X$1,feasible_mat!X20=1),(VLOOKUP(X$1,test!$A$3:$I$32,8,FALSE))-(VLOOKUP($A20,test!$A$3:$I$32,9,FALSE)),0)</f>
        <v>0</v>
      </c>
      <c r="Y20">
        <f>IF(AND(SUM(VLOOKUP($A20,test!$A$3:$F$32,2,FALSE),VLOOKUP(Y$1,test!$A$3:$F$32,2,FALSE))&lt;test!$K$16,$A20&lt;&gt;Y$1,feasible_mat!Y20=1),(VLOOKUP(Y$1,test!$A$3:$I$32,8,FALSE))-(VLOOKUP($A20,test!$A$3:$I$32,9,FALSE)),0)</f>
        <v>0</v>
      </c>
      <c r="Z20">
        <f>IF(AND(SUM(VLOOKUP($A20,test!$A$3:$F$32,2,FALSE),VLOOKUP(Z$1,test!$A$3:$F$32,2,FALSE))&lt;test!$K$16,$A20&lt;&gt;Z$1,feasible_mat!Z20=1),(VLOOKUP(Z$1,test!$A$3:$I$32,8,FALSE))-(VLOOKUP($A20,test!$A$3:$I$32,9,FALSE)),0)</f>
        <v>0</v>
      </c>
      <c r="AA20">
        <f>IF(AND(SUM(VLOOKUP($A20,test!$A$3:$F$32,2,FALSE),VLOOKUP(AA$1,test!$A$3:$F$32,2,FALSE))&lt;test!$K$16,$A20&lt;&gt;AA$1,feasible_mat!AA20=1),(VLOOKUP(AA$1,test!$A$3:$I$32,8,FALSE))-(VLOOKUP($A20,test!$A$3:$I$32,9,FALSE)),0)</f>
        <v>0</v>
      </c>
      <c r="AB20">
        <f>IF(AND(SUM(VLOOKUP($A20,test!$A$3:$F$32,2,FALSE),VLOOKUP(AB$1,test!$A$3:$F$32,2,FALSE))&lt;test!$K$16,$A20&lt;&gt;AB$1,feasible_mat!AB20=1),(VLOOKUP(AB$1,test!$A$3:$I$32,8,FALSE))-(VLOOKUP($A20,test!$A$3:$I$32,9,FALSE)),0)</f>
        <v>0</v>
      </c>
      <c r="AC20">
        <f>IF(AND(SUM(VLOOKUP($A20,test!$A$3:$F$32,2,FALSE),VLOOKUP(AC$1,test!$A$3:$F$32,2,FALSE))&lt;test!$K$16,$A20&lt;&gt;AC$1,feasible_mat!AC20=1),(VLOOKUP(AC$1,test!$A$3:$I$32,8,FALSE))-(VLOOKUP($A20,test!$A$3:$I$32,9,FALSE)),0)</f>
        <v>0</v>
      </c>
      <c r="AD20">
        <f>IF(AND(SUM(VLOOKUP($A20,test!$A$3:$F$32,2,FALSE),VLOOKUP(AD$1,test!$A$3:$F$32,2,FALSE))&lt;test!$K$16,$A20&lt;&gt;AD$1,feasible_mat!AD20=1),(VLOOKUP(AD$1,test!$A$3:$F$32,8,FALSE))-(VLOOKUP($A20,test!$A$3:$F$32,9,FALSE)),0)</f>
        <v>0</v>
      </c>
      <c r="AE20">
        <f>IF(AND(SUM(VLOOKUP($A20,test!$A$3:$F$32,2,FALSE),VLOOKUP(AE$1,test!$A$3:$F$32,2,FALSE))&lt;test!$K$16,$A20&lt;&gt;AE$1,feasible_mat!AE20=1),(VLOOKUP(AE$1,test!$A$3:$F$32,8,FALSE))-(VLOOKUP($A20,test!$A$3:$F$32,9,FALSE)),0)</f>
        <v>0</v>
      </c>
      <c r="AF20">
        <f>IF(AND(SUM(VLOOKUP($A20,test!$A$3:$F$32,2,FALSE),VLOOKUP(AF$1,test!$A$3:$F$32,2,FALSE))&lt;test!$K$16,$A20&lt;&gt;AF$1,feasible_mat!AF20=1),(VLOOKUP(AF$1,test!$A$3:$F$32,8,FALSE))-(VLOOKUP($A20,test!$A$3:$F$32,9,FALSE)),0)</f>
        <v>0</v>
      </c>
    </row>
    <row r="21" spans="1:32" x14ac:dyDescent="0.25">
      <c r="A21" t="s">
        <v>30</v>
      </c>
      <c r="B21">
        <v>0</v>
      </c>
      <c r="C21">
        <f>IF(AND(SUM(VLOOKUP($A21,test!$A$3:$F$32,2,FALSE),VLOOKUP(C$1,test!$A$3:$F$32,2,FALSE))&lt;test!$K$16,$A21&lt;&gt;C$1,feasible_mat!C21=1),(VLOOKUP(C$1,test!$A$3:$I$32,8,FALSE))-(VLOOKUP($A21,test!$A$3:$I$32,9,FALSE)),0)</f>
        <v>0</v>
      </c>
      <c r="D21">
        <f>IF(AND(SUM(VLOOKUP($A21,test!$A$3:$F$32,2,FALSE),VLOOKUP(D$1,test!$A$3:$F$32,2,FALSE))&lt;test!$K$16,$A21&lt;&gt;D$1,feasible_mat!D21=1),(VLOOKUP(D$1,test!$A$3:$I$32,8,FALSE))-(VLOOKUP($A21,test!$A$3:$I$32,9,FALSE)),0)</f>
        <v>0</v>
      </c>
      <c r="E21">
        <f>IF(AND(SUM(VLOOKUP($A21,test!$A$3:$F$32,2,FALSE),VLOOKUP(E$1,test!$A$3:$F$32,2,FALSE))&lt;test!$K$16,$A21&lt;&gt;E$1,feasible_mat!E21=1),(VLOOKUP(E$1,test!$A$3:$I$32,8,FALSE))-(VLOOKUP($A21,test!$A$3:$I$32,9,FALSE)),0)</f>
        <v>0</v>
      </c>
      <c r="F21">
        <f>IF(AND(SUM(VLOOKUP($A21,test!$A$3:$F$32,2,FALSE),VLOOKUP(F$1,test!$A$3:$F$32,2,FALSE))&lt;test!$K$16,$A21&lt;&gt;F$1,feasible_mat!F21=1),(VLOOKUP(F$1,test!$A$3:$I$32,8,FALSE))-(VLOOKUP($A21,test!$A$3:$I$32,9,FALSE)),0)</f>
        <v>0</v>
      </c>
      <c r="G21">
        <f>IF(AND(SUM(VLOOKUP($A21,test!$A$3:$F$32,2,FALSE),VLOOKUP(G$1,test!$A$3:$F$32,2,FALSE))&lt;test!$K$16,$A21&lt;&gt;G$1,feasible_mat!G21=1),(VLOOKUP(G$1,test!$A$3:$I$32,8,FALSE))-(VLOOKUP($A21,test!$A$3:$I$32,9,FALSE)),0)</f>
        <v>0</v>
      </c>
      <c r="H21">
        <f>IF(AND(SUM(VLOOKUP($A21,test!$A$3:$F$32,2,FALSE),VLOOKUP(H$1,test!$A$3:$F$32,2,FALSE))&lt;test!$K$16,$A21&lt;&gt;H$1,feasible_mat!H21=1),(VLOOKUP(H$1,test!$A$3:$I$32,8,FALSE))-(VLOOKUP($A21,test!$A$3:$I$32,9,FALSE)),0)</f>
        <v>0</v>
      </c>
      <c r="I21">
        <f>IF(AND(SUM(VLOOKUP($A21,test!$A$3:$F$32,2,FALSE),VLOOKUP(I$1,test!$A$3:$F$32,2,FALSE))&lt;test!$K$16,$A21&lt;&gt;I$1,feasible_mat!I21=1),(VLOOKUP(I$1,test!$A$3:$I$32,8,FALSE))-(VLOOKUP($A21,test!$A$3:$I$32,9,FALSE)),0)</f>
        <v>65</v>
      </c>
      <c r="J21">
        <f>IF(AND(SUM(VLOOKUP($A21,test!$A$3:$F$32,2,FALSE),VLOOKUP(J$1,test!$A$3:$F$32,2,FALSE))&lt;test!$K$16,$A21&lt;&gt;J$1,feasible_mat!J21=1),(VLOOKUP(J$1,test!$A$3:$I$32,8,FALSE))-(VLOOKUP($A21,test!$A$3:$I$32,9,FALSE)),0)</f>
        <v>155</v>
      </c>
      <c r="K21">
        <f>IF(AND(SUM(VLOOKUP($A21,test!$A$3:$F$32,2,FALSE),VLOOKUP(K$1,test!$A$3:$F$32,2,FALSE))&lt;test!$K$16,$A21&lt;&gt;K$1,feasible_mat!K21=1),(VLOOKUP(K$1,test!$A$3:$I$32,8,FALSE))-(VLOOKUP($A21,test!$A$3:$I$32,9,FALSE)),0)</f>
        <v>0</v>
      </c>
      <c r="L21">
        <f>IF(AND(SUM(VLOOKUP($A21,test!$A$3:$F$32,2,FALSE),VLOOKUP(L$1,test!$A$3:$F$32,2,FALSE))&lt;test!$K$16,$A21&lt;&gt;L$1,feasible_mat!L21=1),(VLOOKUP(L$1,test!$A$3:$I$32,8,FALSE))-(VLOOKUP($A21,test!$A$3:$I$32,9,FALSE)),0)</f>
        <v>0</v>
      </c>
      <c r="M21">
        <f>IF(AND(SUM(VLOOKUP($A21,test!$A$3:$F$32,2,FALSE),VLOOKUP(M$1,test!$A$3:$F$32,2,FALSE))&lt;test!$K$16,$A21&lt;&gt;M$1,feasible_mat!M21=1),(VLOOKUP(M$1,test!$A$3:$I$32,8,FALSE))-(VLOOKUP($A21,test!$A$3:$I$32,9,FALSE)),0)</f>
        <v>0</v>
      </c>
      <c r="N21">
        <f>IF(AND(SUM(VLOOKUP($A21,test!$A$3:$F$32,2,FALSE),VLOOKUP(N$1,test!$A$3:$F$32,2,FALSE))&lt;test!$K$16,$A21&lt;&gt;N$1,feasible_mat!N21=1),(VLOOKUP(N$1,test!$A$3:$I$32,8,FALSE))-(VLOOKUP($A21,test!$A$3:$I$32,9,FALSE)),0)</f>
        <v>120</v>
      </c>
      <c r="O21">
        <f>IF(AND(SUM(VLOOKUP($A21,test!$A$3:$F$32,2,FALSE),VLOOKUP(O$1,test!$A$3:$F$32,2,FALSE))&lt;test!$K$16,$A21&lt;&gt;O$1,feasible_mat!O21=1),(VLOOKUP(O$1,test!$A$3:$I$32,8,FALSE))-(VLOOKUP($A21,test!$A$3:$I$32,9,FALSE)),0)</f>
        <v>180</v>
      </c>
      <c r="P21">
        <f>IF(AND(SUM(VLOOKUP($A21,test!$A$3:$F$32,2,FALSE),VLOOKUP(P$1,test!$A$3:$F$32,2,FALSE))&lt;test!$K$16,$A21&lt;&gt;P$1,feasible_mat!P21=1),(VLOOKUP(P$1,test!$A$3:$I$32,8,FALSE))-(VLOOKUP($A21,test!$A$3:$I$32,9,FALSE)),0)</f>
        <v>0</v>
      </c>
      <c r="Q21">
        <f>IF(AND(SUM(VLOOKUP($A21,test!$A$3:$F$32,2,FALSE),VLOOKUP(Q$1,test!$A$3:$F$32,2,FALSE))&lt;test!$K$16,$A21&lt;&gt;Q$1,feasible_mat!Q21=1),(VLOOKUP(Q$1,test!$A$3:$I$32,8,FALSE))-(VLOOKUP($A21,test!$A$3:$I$32,9,FALSE)),0)</f>
        <v>0</v>
      </c>
      <c r="R21">
        <f>IF(AND(SUM(VLOOKUP($A21,test!$A$3:$F$32,2,FALSE),VLOOKUP(R$1,test!$A$3:$F$32,2,FALSE))&lt;test!$K$16,$A21&lt;&gt;R$1,feasible_mat!R21=1),(VLOOKUP(R$1,test!$A$3:$I$32,8,FALSE))-(VLOOKUP($A21,test!$A$3:$I$32,9,FALSE)),0)</f>
        <v>0</v>
      </c>
      <c r="S21">
        <f>IF(AND(SUM(VLOOKUP($A21,test!$A$3:$F$32,2,FALSE),VLOOKUP(S$1,test!$A$3:$F$32,2,FALSE))&lt;test!$K$16,$A21&lt;&gt;S$1,feasible_mat!S21=1),(VLOOKUP(S$1,test!$A$3:$I$32,8,FALSE))-(VLOOKUP($A21,test!$A$3:$I$32,9,FALSE)),0)</f>
        <v>0</v>
      </c>
      <c r="T21">
        <f>IF(AND(SUM(VLOOKUP($A21,test!$A$3:$F$32,2,FALSE),VLOOKUP(T$1,test!$A$3:$F$32,2,FALSE))&lt;test!$K$16,$A21&lt;&gt;T$1,feasible_mat!T21=1),(VLOOKUP(T$1,test!$A$3:$I$32,8,FALSE))-(VLOOKUP($A21,test!$A$3:$I$32,9,FALSE)),0)</f>
        <v>0</v>
      </c>
      <c r="U21">
        <f>IF(AND(SUM(VLOOKUP($A21,test!$A$3:$F$32,2,FALSE),VLOOKUP(U$1,test!$A$3:$F$32,2,FALSE))&lt;test!$K$16,$A21&lt;&gt;U$1,feasible_mat!U21=1),(VLOOKUP(U$1,test!$A$3:$I$32,8,FALSE))-(VLOOKUP($A21,test!$A$3:$I$32,9,FALSE)),0)</f>
        <v>0</v>
      </c>
      <c r="V21">
        <f>IF(AND(SUM(VLOOKUP($A21,test!$A$3:$F$32,2,FALSE),VLOOKUP(V$1,test!$A$3:$F$32,2,FALSE))&lt;test!$K$16,$A21&lt;&gt;V$1,feasible_mat!V21=1),(VLOOKUP(V$1,test!$A$3:$I$32,8,FALSE))-(VLOOKUP($A21,test!$A$3:$I$32,9,FALSE)),0)</f>
        <v>0</v>
      </c>
      <c r="W21">
        <f>IF(AND(SUM(VLOOKUP($A21,test!$A$3:$F$32,2,FALSE),VLOOKUP(W$1,test!$A$3:$F$32,2,FALSE))&lt;test!$K$16,$A21&lt;&gt;W$1,feasible_mat!W21=1),(VLOOKUP(W$1,test!$A$3:$I$32,8,FALSE))-(VLOOKUP($A21,test!$A$3:$I$32,9,FALSE)),0)</f>
        <v>0</v>
      </c>
      <c r="X21">
        <f>IF(AND(SUM(VLOOKUP($A21,test!$A$3:$F$32,2,FALSE),VLOOKUP(X$1,test!$A$3:$F$32,2,FALSE))&lt;test!$K$16,$A21&lt;&gt;X$1,feasible_mat!X21=1),(VLOOKUP(X$1,test!$A$3:$I$32,8,FALSE))-(VLOOKUP($A21,test!$A$3:$I$32,9,FALSE)),0)</f>
        <v>0</v>
      </c>
      <c r="Y21">
        <f>IF(AND(SUM(VLOOKUP($A21,test!$A$3:$F$32,2,FALSE),VLOOKUP(Y$1,test!$A$3:$F$32,2,FALSE))&lt;test!$K$16,$A21&lt;&gt;Y$1,feasible_mat!Y21=1),(VLOOKUP(Y$1,test!$A$3:$I$32,8,FALSE))-(VLOOKUP($A21,test!$A$3:$I$32,9,FALSE)),0)</f>
        <v>0</v>
      </c>
      <c r="Z21">
        <f>IF(AND(SUM(VLOOKUP($A21,test!$A$3:$F$32,2,FALSE),VLOOKUP(Z$1,test!$A$3:$F$32,2,FALSE))&lt;test!$K$16,$A21&lt;&gt;Z$1,feasible_mat!Z21=1),(VLOOKUP(Z$1,test!$A$3:$I$32,8,FALSE))-(VLOOKUP($A21,test!$A$3:$I$32,9,FALSE)),0)</f>
        <v>0</v>
      </c>
      <c r="AA21">
        <f>IF(AND(SUM(VLOOKUP($A21,test!$A$3:$F$32,2,FALSE),VLOOKUP(AA$1,test!$A$3:$F$32,2,FALSE))&lt;test!$K$16,$A21&lt;&gt;AA$1,feasible_mat!AA21=1),(VLOOKUP(AA$1,test!$A$3:$I$32,8,FALSE))-(VLOOKUP($A21,test!$A$3:$I$32,9,FALSE)),0)</f>
        <v>0</v>
      </c>
      <c r="AB21">
        <f>IF(AND(SUM(VLOOKUP($A21,test!$A$3:$F$32,2,FALSE),VLOOKUP(AB$1,test!$A$3:$F$32,2,FALSE))&lt;test!$K$16,$A21&lt;&gt;AB$1,feasible_mat!AB21=1),(VLOOKUP(AB$1,test!$A$3:$I$32,8,FALSE))-(VLOOKUP($A21,test!$A$3:$I$32,9,FALSE)),0)</f>
        <v>0</v>
      </c>
      <c r="AC21">
        <f>IF(AND(SUM(VLOOKUP($A21,test!$A$3:$F$32,2,FALSE),VLOOKUP(AC$1,test!$A$3:$F$32,2,FALSE))&lt;test!$K$16,$A21&lt;&gt;AC$1,feasible_mat!AC21=1),(VLOOKUP(AC$1,test!$A$3:$I$32,8,FALSE))-(VLOOKUP($A21,test!$A$3:$I$32,9,FALSE)),0)</f>
        <v>0</v>
      </c>
      <c r="AD21">
        <f>IF(AND(SUM(VLOOKUP($A21,test!$A$3:$F$32,2,FALSE),VLOOKUP(AD$1,test!$A$3:$F$32,2,FALSE))&lt;test!$K$16,$A21&lt;&gt;AD$1,feasible_mat!AD21=1),(VLOOKUP(AD$1,test!$A$3:$F$32,8,FALSE))-(VLOOKUP($A21,test!$A$3:$F$32,9,FALSE)),0)</f>
        <v>0</v>
      </c>
      <c r="AE21">
        <f>IF(AND(SUM(VLOOKUP($A21,test!$A$3:$F$32,2,FALSE),VLOOKUP(AE$1,test!$A$3:$F$32,2,FALSE))&lt;test!$K$16,$A21&lt;&gt;AE$1,feasible_mat!AE21=1),(VLOOKUP(AE$1,test!$A$3:$F$32,8,FALSE))-(VLOOKUP($A21,test!$A$3:$F$32,9,FALSE)),0)</f>
        <v>0</v>
      </c>
      <c r="AF21">
        <f>IF(AND(SUM(VLOOKUP($A21,test!$A$3:$F$32,2,FALSE),VLOOKUP(AF$1,test!$A$3:$F$32,2,FALSE))&lt;test!$K$16,$A21&lt;&gt;AF$1,feasible_mat!AF21=1),(VLOOKUP(AF$1,test!$A$3:$F$32,8,FALSE))-(VLOOKUP($A21,test!$A$3:$F$32,9,FALSE)),0)</f>
        <v>0</v>
      </c>
    </row>
    <row r="22" spans="1:32" x14ac:dyDescent="0.25">
      <c r="A22" t="s">
        <v>31</v>
      </c>
      <c r="B22">
        <v>0</v>
      </c>
      <c r="C22">
        <f>IF(AND(SUM(VLOOKUP($A22,test!$A$3:$F$32,2,FALSE),VLOOKUP(C$1,test!$A$3:$F$32,2,FALSE))&lt;test!$K$16,$A22&lt;&gt;C$1,feasible_mat!C22=1),(VLOOKUP(C$1,test!$A$3:$I$32,8,FALSE))-(VLOOKUP($A22,test!$A$3:$I$32,9,FALSE)),0)</f>
        <v>0</v>
      </c>
      <c r="D22">
        <f>IF(AND(SUM(VLOOKUP($A22,test!$A$3:$F$32,2,FALSE),VLOOKUP(D$1,test!$A$3:$F$32,2,FALSE))&lt;test!$K$16,$A22&lt;&gt;D$1,feasible_mat!D22=1),(VLOOKUP(D$1,test!$A$3:$I$32,8,FALSE))-(VLOOKUP($A22,test!$A$3:$I$32,9,FALSE)),0)</f>
        <v>0</v>
      </c>
      <c r="E22">
        <f>IF(AND(SUM(VLOOKUP($A22,test!$A$3:$F$32,2,FALSE),VLOOKUP(E$1,test!$A$3:$F$32,2,FALSE))&lt;test!$K$16,$A22&lt;&gt;E$1,feasible_mat!E22=1),(VLOOKUP(E$1,test!$A$3:$I$32,8,FALSE))-(VLOOKUP($A22,test!$A$3:$I$32,9,FALSE)),0)</f>
        <v>0</v>
      </c>
      <c r="F22">
        <f>IF(AND(SUM(VLOOKUP($A22,test!$A$3:$F$32,2,FALSE),VLOOKUP(F$1,test!$A$3:$F$32,2,FALSE))&lt;test!$K$16,$A22&lt;&gt;F$1,feasible_mat!F22=1),(VLOOKUP(F$1,test!$A$3:$I$32,8,FALSE))-(VLOOKUP($A22,test!$A$3:$I$32,9,FALSE)),0)</f>
        <v>0</v>
      </c>
      <c r="G22">
        <f>IF(AND(SUM(VLOOKUP($A22,test!$A$3:$F$32,2,FALSE),VLOOKUP(G$1,test!$A$3:$F$32,2,FALSE))&lt;test!$K$16,$A22&lt;&gt;G$1,feasible_mat!G22=1),(VLOOKUP(G$1,test!$A$3:$I$32,8,FALSE))-(VLOOKUP($A22,test!$A$3:$I$32,9,FALSE)),0)</f>
        <v>0</v>
      </c>
      <c r="H22">
        <f>IF(AND(SUM(VLOOKUP($A22,test!$A$3:$F$32,2,FALSE),VLOOKUP(H$1,test!$A$3:$F$32,2,FALSE))&lt;test!$K$16,$A22&lt;&gt;H$1,feasible_mat!H22=1),(VLOOKUP(H$1,test!$A$3:$I$32,8,FALSE))-(VLOOKUP($A22,test!$A$3:$I$32,9,FALSE)),0)</f>
        <v>0</v>
      </c>
      <c r="I22">
        <f>IF(AND(SUM(VLOOKUP($A22,test!$A$3:$F$32,2,FALSE),VLOOKUP(I$1,test!$A$3:$F$32,2,FALSE))&lt;test!$K$16,$A22&lt;&gt;I$1,feasible_mat!I22=1),(VLOOKUP(I$1,test!$A$3:$I$32,8,FALSE))-(VLOOKUP($A22,test!$A$3:$I$32,9,FALSE)),0)</f>
        <v>0</v>
      </c>
      <c r="J22">
        <f>IF(AND(SUM(VLOOKUP($A22,test!$A$3:$F$32,2,FALSE),VLOOKUP(J$1,test!$A$3:$F$32,2,FALSE))&lt;test!$K$16,$A22&lt;&gt;J$1,feasible_mat!J22=1),(VLOOKUP(J$1,test!$A$3:$I$32,8,FALSE))-(VLOOKUP($A22,test!$A$3:$I$32,9,FALSE)),0)</f>
        <v>65</v>
      </c>
      <c r="K22">
        <f>IF(AND(SUM(VLOOKUP($A22,test!$A$3:$F$32,2,FALSE),VLOOKUP(K$1,test!$A$3:$F$32,2,FALSE))&lt;test!$K$16,$A22&lt;&gt;K$1,feasible_mat!K22=1),(VLOOKUP(K$1,test!$A$3:$I$32,8,FALSE))-(VLOOKUP($A22,test!$A$3:$I$32,9,FALSE)),0)</f>
        <v>0</v>
      </c>
      <c r="L22">
        <f>IF(AND(SUM(VLOOKUP($A22,test!$A$3:$F$32,2,FALSE),VLOOKUP(L$1,test!$A$3:$F$32,2,FALSE))&lt;test!$K$16,$A22&lt;&gt;L$1,feasible_mat!L22=1),(VLOOKUP(L$1,test!$A$3:$I$32,8,FALSE))-(VLOOKUP($A22,test!$A$3:$I$32,9,FALSE)),0)</f>
        <v>0</v>
      </c>
      <c r="M22">
        <f>IF(AND(SUM(VLOOKUP($A22,test!$A$3:$F$32,2,FALSE),VLOOKUP(M$1,test!$A$3:$F$32,2,FALSE))&lt;test!$K$16,$A22&lt;&gt;M$1,feasible_mat!M22=1),(VLOOKUP(M$1,test!$A$3:$I$32,8,FALSE))-(VLOOKUP($A22,test!$A$3:$I$32,9,FALSE)),0)</f>
        <v>0</v>
      </c>
      <c r="N22">
        <f>IF(AND(SUM(VLOOKUP($A22,test!$A$3:$F$32,2,FALSE),VLOOKUP(N$1,test!$A$3:$F$32,2,FALSE))&lt;test!$K$16,$A22&lt;&gt;N$1,feasible_mat!N22=1),(VLOOKUP(N$1,test!$A$3:$I$32,8,FALSE))-(VLOOKUP($A22,test!$A$3:$I$32,9,FALSE)),0)</f>
        <v>30</v>
      </c>
      <c r="O22">
        <f>IF(AND(SUM(VLOOKUP($A22,test!$A$3:$F$32,2,FALSE),VLOOKUP(O$1,test!$A$3:$F$32,2,FALSE))&lt;test!$K$16,$A22&lt;&gt;O$1,feasible_mat!O22=1),(VLOOKUP(O$1,test!$A$3:$I$32,8,FALSE))-(VLOOKUP($A22,test!$A$3:$I$32,9,FALSE)),0)</f>
        <v>90</v>
      </c>
      <c r="P22">
        <f>IF(AND(SUM(VLOOKUP($A22,test!$A$3:$F$32,2,FALSE),VLOOKUP(P$1,test!$A$3:$F$32,2,FALSE))&lt;test!$K$16,$A22&lt;&gt;P$1,feasible_mat!P22=1),(VLOOKUP(P$1,test!$A$3:$I$32,8,FALSE))-(VLOOKUP($A22,test!$A$3:$I$32,9,FALSE)),0)</f>
        <v>0</v>
      </c>
      <c r="Q22">
        <f>IF(AND(SUM(VLOOKUP($A22,test!$A$3:$F$32,2,FALSE),VLOOKUP(Q$1,test!$A$3:$F$32,2,FALSE))&lt;test!$K$16,$A22&lt;&gt;Q$1,feasible_mat!Q22=1),(VLOOKUP(Q$1,test!$A$3:$I$32,8,FALSE))-(VLOOKUP($A22,test!$A$3:$I$32,9,FALSE)),0)</f>
        <v>0</v>
      </c>
      <c r="R22">
        <f>IF(AND(SUM(VLOOKUP($A22,test!$A$3:$F$32,2,FALSE),VLOOKUP(R$1,test!$A$3:$F$32,2,FALSE))&lt;test!$K$16,$A22&lt;&gt;R$1,feasible_mat!R22=1),(VLOOKUP(R$1,test!$A$3:$I$32,8,FALSE))-(VLOOKUP($A22,test!$A$3:$I$32,9,FALSE)),0)</f>
        <v>0</v>
      </c>
      <c r="S22">
        <f>IF(AND(SUM(VLOOKUP($A22,test!$A$3:$F$32,2,FALSE),VLOOKUP(S$1,test!$A$3:$F$32,2,FALSE))&lt;test!$K$16,$A22&lt;&gt;S$1,feasible_mat!S22=1),(VLOOKUP(S$1,test!$A$3:$I$32,8,FALSE))-(VLOOKUP($A22,test!$A$3:$I$32,9,FALSE)),0)</f>
        <v>0</v>
      </c>
      <c r="T22">
        <f>IF(AND(SUM(VLOOKUP($A22,test!$A$3:$F$32,2,FALSE),VLOOKUP(T$1,test!$A$3:$F$32,2,FALSE))&lt;test!$K$16,$A22&lt;&gt;T$1,feasible_mat!T22=1),(VLOOKUP(T$1,test!$A$3:$I$32,8,FALSE))-(VLOOKUP($A22,test!$A$3:$I$32,9,FALSE)),0)</f>
        <v>0</v>
      </c>
      <c r="U22">
        <f>IF(AND(SUM(VLOOKUP($A22,test!$A$3:$F$32,2,FALSE),VLOOKUP(U$1,test!$A$3:$F$32,2,FALSE))&lt;test!$K$16,$A22&lt;&gt;U$1,feasible_mat!U22=1),(VLOOKUP(U$1,test!$A$3:$I$32,8,FALSE))-(VLOOKUP($A22,test!$A$3:$I$32,9,FALSE)),0)</f>
        <v>0</v>
      </c>
      <c r="V22">
        <f>IF(AND(SUM(VLOOKUP($A22,test!$A$3:$F$32,2,FALSE),VLOOKUP(V$1,test!$A$3:$F$32,2,FALSE))&lt;test!$K$16,$A22&lt;&gt;V$1,feasible_mat!V22=1),(VLOOKUP(V$1,test!$A$3:$I$32,8,FALSE))-(VLOOKUP($A22,test!$A$3:$I$32,9,FALSE)),0)</f>
        <v>0</v>
      </c>
      <c r="W22">
        <f>IF(AND(SUM(VLOOKUP($A22,test!$A$3:$F$32,2,FALSE),VLOOKUP(W$1,test!$A$3:$F$32,2,FALSE))&lt;test!$K$16,$A22&lt;&gt;W$1,feasible_mat!W22=1),(VLOOKUP(W$1,test!$A$3:$I$32,8,FALSE))-(VLOOKUP($A22,test!$A$3:$I$32,9,FALSE)),0)</f>
        <v>0</v>
      </c>
      <c r="X22">
        <f>IF(AND(SUM(VLOOKUP($A22,test!$A$3:$F$32,2,FALSE),VLOOKUP(X$1,test!$A$3:$F$32,2,FALSE))&lt;test!$K$16,$A22&lt;&gt;X$1,feasible_mat!X22=1),(VLOOKUP(X$1,test!$A$3:$I$32,8,FALSE))-(VLOOKUP($A22,test!$A$3:$I$32,9,FALSE)),0)</f>
        <v>0</v>
      </c>
      <c r="Y22">
        <f>IF(AND(SUM(VLOOKUP($A22,test!$A$3:$F$32,2,FALSE),VLOOKUP(Y$1,test!$A$3:$F$32,2,FALSE))&lt;test!$K$16,$A22&lt;&gt;Y$1,feasible_mat!Y22=1),(VLOOKUP(Y$1,test!$A$3:$I$32,8,FALSE))-(VLOOKUP($A22,test!$A$3:$I$32,9,FALSE)),0)</f>
        <v>0</v>
      </c>
      <c r="Z22">
        <f>IF(AND(SUM(VLOOKUP($A22,test!$A$3:$F$32,2,FALSE),VLOOKUP(Z$1,test!$A$3:$F$32,2,FALSE))&lt;test!$K$16,$A22&lt;&gt;Z$1,feasible_mat!Z22=1),(VLOOKUP(Z$1,test!$A$3:$I$32,8,FALSE))-(VLOOKUP($A22,test!$A$3:$I$32,9,FALSE)),0)</f>
        <v>0</v>
      </c>
      <c r="AA22">
        <f>IF(AND(SUM(VLOOKUP($A22,test!$A$3:$F$32,2,FALSE),VLOOKUP(AA$1,test!$A$3:$F$32,2,FALSE))&lt;test!$K$16,$A22&lt;&gt;AA$1,feasible_mat!AA22=1),(VLOOKUP(AA$1,test!$A$3:$I$32,8,FALSE))-(VLOOKUP($A22,test!$A$3:$I$32,9,FALSE)),0)</f>
        <v>0</v>
      </c>
      <c r="AB22">
        <f>IF(AND(SUM(VLOOKUP($A22,test!$A$3:$F$32,2,FALSE),VLOOKUP(AB$1,test!$A$3:$F$32,2,FALSE))&lt;test!$K$16,$A22&lt;&gt;AB$1,feasible_mat!AB22=1),(VLOOKUP(AB$1,test!$A$3:$I$32,8,FALSE))-(VLOOKUP($A22,test!$A$3:$I$32,9,FALSE)),0)</f>
        <v>0</v>
      </c>
      <c r="AC22">
        <f>IF(AND(SUM(VLOOKUP($A22,test!$A$3:$F$32,2,FALSE),VLOOKUP(AC$1,test!$A$3:$F$32,2,FALSE))&lt;test!$K$16,$A22&lt;&gt;AC$1,feasible_mat!AC22=1),(VLOOKUP(AC$1,test!$A$3:$I$32,8,FALSE))-(VLOOKUP($A22,test!$A$3:$I$32,9,FALSE)),0)</f>
        <v>0</v>
      </c>
      <c r="AD22">
        <f>IF(AND(SUM(VLOOKUP($A22,test!$A$3:$F$32,2,FALSE),VLOOKUP(AD$1,test!$A$3:$F$32,2,FALSE))&lt;test!$K$16,$A22&lt;&gt;AD$1,feasible_mat!AD22=1),(VLOOKUP(AD$1,test!$A$3:$F$32,8,FALSE))-(VLOOKUP($A22,test!$A$3:$F$32,9,FALSE)),0)</f>
        <v>0</v>
      </c>
      <c r="AE22">
        <f>IF(AND(SUM(VLOOKUP($A22,test!$A$3:$F$32,2,FALSE),VLOOKUP(AE$1,test!$A$3:$F$32,2,FALSE))&lt;test!$K$16,$A22&lt;&gt;AE$1,feasible_mat!AE22=1),(VLOOKUP(AE$1,test!$A$3:$F$32,8,FALSE))-(VLOOKUP($A22,test!$A$3:$F$32,9,FALSE)),0)</f>
        <v>0</v>
      </c>
      <c r="AF22">
        <f>IF(AND(SUM(VLOOKUP($A22,test!$A$3:$F$32,2,FALSE),VLOOKUP(AF$1,test!$A$3:$F$32,2,FALSE))&lt;test!$K$16,$A22&lt;&gt;AF$1,feasible_mat!AF22=1),(VLOOKUP(AF$1,test!$A$3:$F$32,8,FALSE))-(VLOOKUP($A22,test!$A$3:$F$32,9,FALSE)),0)</f>
        <v>0</v>
      </c>
    </row>
    <row r="23" spans="1:32" x14ac:dyDescent="0.25">
      <c r="A23" t="s">
        <v>32</v>
      </c>
      <c r="B23">
        <v>0</v>
      </c>
      <c r="C23">
        <f>IF(AND(SUM(VLOOKUP($A23,test!$A$3:$F$32,2,FALSE),VLOOKUP(C$1,test!$A$3:$F$32,2,FALSE))&lt;test!$K$16,$A23&lt;&gt;C$1,feasible_mat!C23=1),(VLOOKUP(C$1,test!$A$3:$I$32,8,FALSE))-(VLOOKUP($A23,test!$A$3:$I$32,9,FALSE)),0)</f>
        <v>0</v>
      </c>
      <c r="D23">
        <f>IF(AND(SUM(VLOOKUP($A23,test!$A$3:$F$32,2,FALSE),VLOOKUP(D$1,test!$A$3:$F$32,2,FALSE))&lt;test!$K$16,$A23&lt;&gt;D$1,feasible_mat!D23=1),(VLOOKUP(D$1,test!$A$3:$I$32,8,FALSE))-(VLOOKUP($A23,test!$A$3:$I$32,9,FALSE)),0)</f>
        <v>0</v>
      </c>
      <c r="E23">
        <f>IF(AND(SUM(VLOOKUP($A23,test!$A$3:$F$32,2,FALSE),VLOOKUP(E$1,test!$A$3:$F$32,2,FALSE))&lt;test!$K$16,$A23&lt;&gt;E$1,feasible_mat!E23=1),(VLOOKUP(E$1,test!$A$3:$I$32,8,FALSE))-(VLOOKUP($A23,test!$A$3:$I$32,9,FALSE)),0)</f>
        <v>0</v>
      </c>
      <c r="F23">
        <f>IF(AND(SUM(VLOOKUP($A23,test!$A$3:$F$32,2,FALSE),VLOOKUP(F$1,test!$A$3:$F$32,2,FALSE))&lt;test!$K$16,$A23&lt;&gt;F$1,feasible_mat!F23=1),(VLOOKUP(F$1,test!$A$3:$I$32,8,FALSE))-(VLOOKUP($A23,test!$A$3:$I$32,9,FALSE)),0)</f>
        <v>0</v>
      </c>
      <c r="G23">
        <f>IF(AND(SUM(VLOOKUP($A23,test!$A$3:$F$32,2,FALSE),VLOOKUP(G$1,test!$A$3:$F$32,2,FALSE))&lt;test!$K$16,$A23&lt;&gt;G$1,feasible_mat!G23=1),(VLOOKUP(G$1,test!$A$3:$I$32,8,FALSE))-(VLOOKUP($A23,test!$A$3:$I$32,9,FALSE)),0)</f>
        <v>0</v>
      </c>
      <c r="H23">
        <f>IF(AND(SUM(VLOOKUP($A23,test!$A$3:$F$32,2,FALSE),VLOOKUP(H$1,test!$A$3:$F$32,2,FALSE))&lt;test!$K$16,$A23&lt;&gt;H$1,feasible_mat!H23=1),(VLOOKUP(H$1,test!$A$3:$I$32,8,FALSE))-(VLOOKUP($A23,test!$A$3:$I$32,9,FALSE)),0)</f>
        <v>0</v>
      </c>
      <c r="I23">
        <f>IF(AND(SUM(VLOOKUP($A23,test!$A$3:$F$32,2,FALSE),VLOOKUP(I$1,test!$A$3:$F$32,2,FALSE))&lt;test!$K$16,$A23&lt;&gt;I$1,feasible_mat!I23=1),(VLOOKUP(I$1,test!$A$3:$I$32,8,FALSE))-(VLOOKUP($A23,test!$A$3:$I$32,9,FALSE)),0)</f>
        <v>0</v>
      </c>
      <c r="J23">
        <f>IF(AND(SUM(VLOOKUP($A23,test!$A$3:$F$32,2,FALSE),VLOOKUP(J$1,test!$A$3:$F$32,2,FALSE))&lt;test!$K$16,$A23&lt;&gt;J$1,feasible_mat!J23=1),(VLOOKUP(J$1,test!$A$3:$I$32,8,FALSE))-(VLOOKUP($A23,test!$A$3:$I$32,9,FALSE)),0)</f>
        <v>0</v>
      </c>
      <c r="K23">
        <f>IF(AND(SUM(VLOOKUP($A23,test!$A$3:$F$32,2,FALSE),VLOOKUP(K$1,test!$A$3:$F$32,2,FALSE))&lt;test!$K$16,$A23&lt;&gt;K$1,feasible_mat!K23=1),(VLOOKUP(K$1,test!$A$3:$I$32,8,FALSE))-(VLOOKUP($A23,test!$A$3:$I$32,9,FALSE)),0)</f>
        <v>0</v>
      </c>
      <c r="L23">
        <f>IF(AND(SUM(VLOOKUP($A23,test!$A$3:$F$32,2,FALSE),VLOOKUP(L$1,test!$A$3:$F$32,2,FALSE))&lt;test!$K$16,$A23&lt;&gt;L$1,feasible_mat!L23=1),(VLOOKUP(L$1,test!$A$3:$I$32,8,FALSE))-(VLOOKUP($A23,test!$A$3:$I$32,9,FALSE)),0)</f>
        <v>0</v>
      </c>
      <c r="M23">
        <f>IF(AND(SUM(VLOOKUP($A23,test!$A$3:$F$32,2,FALSE),VLOOKUP(M$1,test!$A$3:$F$32,2,FALSE))&lt;test!$K$16,$A23&lt;&gt;M$1,feasible_mat!M23=1),(VLOOKUP(M$1,test!$A$3:$I$32,8,FALSE))-(VLOOKUP($A23,test!$A$3:$I$32,9,FALSE)),0)</f>
        <v>0</v>
      </c>
      <c r="N23">
        <f>IF(AND(SUM(VLOOKUP($A23,test!$A$3:$F$32,2,FALSE),VLOOKUP(N$1,test!$A$3:$F$32,2,FALSE))&lt;test!$K$16,$A23&lt;&gt;N$1,feasible_mat!N23=1),(VLOOKUP(N$1,test!$A$3:$I$32,8,FALSE))-(VLOOKUP($A23,test!$A$3:$I$32,9,FALSE)),0)</f>
        <v>0</v>
      </c>
      <c r="O23">
        <f>IF(AND(SUM(VLOOKUP($A23,test!$A$3:$F$32,2,FALSE),VLOOKUP(O$1,test!$A$3:$F$32,2,FALSE))&lt;test!$K$16,$A23&lt;&gt;O$1,feasible_mat!O23=1),(VLOOKUP(O$1,test!$A$3:$I$32,8,FALSE))-(VLOOKUP($A23,test!$A$3:$I$32,9,FALSE)),0)</f>
        <v>0</v>
      </c>
      <c r="P23">
        <f>IF(AND(SUM(VLOOKUP($A23,test!$A$3:$F$32,2,FALSE),VLOOKUP(P$1,test!$A$3:$F$32,2,FALSE))&lt;test!$K$16,$A23&lt;&gt;P$1,feasible_mat!P23=1),(VLOOKUP(P$1,test!$A$3:$I$32,8,FALSE))-(VLOOKUP($A23,test!$A$3:$I$32,9,FALSE)),0)</f>
        <v>0</v>
      </c>
      <c r="Q23">
        <f>IF(AND(SUM(VLOOKUP($A23,test!$A$3:$F$32,2,FALSE),VLOOKUP(Q$1,test!$A$3:$F$32,2,FALSE))&lt;test!$K$16,$A23&lt;&gt;Q$1,feasible_mat!Q23=1),(VLOOKUP(Q$1,test!$A$3:$I$32,8,FALSE))-(VLOOKUP($A23,test!$A$3:$I$32,9,FALSE)),0)</f>
        <v>0</v>
      </c>
      <c r="R23">
        <f>IF(AND(SUM(VLOOKUP($A23,test!$A$3:$F$32,2,FALSE),VLOOKUP(R$1,test!$A$3:$F$32,2,FALSE))&lt;test!$K$16,$A23&lt;&gt;R$1,feasible_mat!R23=1),(VLOOKUP(R$1,test!$A$3:$I$32,8,FALSE))-(VLOOKUP($A23,test!$A$3:$I$32,9,FALSE)),0)</f>
        <v>0</v>
      </c>
      <c r="S23">
        <f>IF(AND(SUM(VLOOKUP($A23,test!$A$3:$F$32,2,FALSE),VLOOKUP(S$1,test!$A$3:$F$32,2,FALSE))&lt;test!$K$16,$A23&lt;&gt;S$1,feasible_mat!S23=1),(VLOOKUP(S$1,test!$A$3:$I$32,8,FALSE))-(VLOOKUP($A23,test!$A$3:$I$32,9,FALSE)),0)</f>
        <v>0</v>
      </c>
      <c r="T23">
        <f>IF(AND(SUM(VLOOKUP($A23,test!$A$3:$F$32,2,FALSE),VLOOKUP(T$1,test!$A$3:$F$32,2,FALSE))&lt;test!$K$16,$A23&lt;&gt;T$1,feasible_mat!T23=1),(VLOOKUP(T$1,test!$A$3:$I$32,8,FALSE))-(VLOOKUP($A23,test!$A$3:$I$32,9,FALSE)),0)</f>
        <v>0</v>
      </c>
      <c r="U23">
        <f>IF(AND(SUM(VLOOKUP($A23,test!$A$3:$F$32,2,FALSE),VLOOKUP(U$1,test!$A$3:$F$32,2,FALSE))&lt;test!$K$16,$A23&lt;&gt;U$1,feasible_mat!U23=1),(VLOOKUP(U$1,test!$A$3:$I$32,8,FALSE))-(VLOOKUP($A23,test!$A$3:$I$32,9,FALSE)),0)</f>
        <v>0</v>
      </c>
      <c r="V23">
        <f>IF(AND(SUM(VLOOKUP($A23,test!$A$3:$F$32,2,FALSE),VLOOKUP(V$1,test!$A$3:$F$32,2,FALSE))&lt;test!$K$16,$A23&lt;&gt;V$1,feasible_mat!V23=1),(VLOOKUP(V$1,test!$A$3:$I$32,8,FALSE))-(VLOOKUP($A23,test!$A$3:$I$32,9,FALSE)),0)</f>
        <v>0</v>
      </c>
      <c r="W23">
        <f>IF(AND(SUM(VLOOKUP($A23,test!$A$3:$F$32,2,FALSE),VLOOKUP(W$1,test!$A$3:$F$32,2,FALSE))&lt;test!$K$16,$A23&lt;&gt;W$1,feasible_mat!W23=1),(VLOOKUP(W$1,test!$A$3:$I$32,8,FALSE))-(VLOOKUP($A23,test!$A$3:$I$32,9,FALSE)),0)</f>
        <v>0</v>
      </c>
      <c r="X23">
        <f>IF(AND(SUM(VLOOKUP($A23,test!$A$3:$F$32,2,FALSE),VLOOKUP(X$1,test!$A$3:$F$32,2,FALSE))&lt;test!$K$16,$A23&lt;&gt;X$1,feasible_mat!X23=1),(VLOOKUP(X$1,test!$A$3:$I$32,8,FALSE))-(VLOOKUP($A23,test!$A$3:$I$32,9,FALSE)),0)</f>
        <v>0</v>
      </c>
      <c r="Y23">
        <f>IF(AND(SUM(VLOOKUP($A23,test!$A$3:$F$32,2,FALSE),VLOOKUP(Y$1,test!$A$3:$F$32,2,FALSE))&lt;test!$K$16,$A23&lt;&gt;Y$1,feasible_mat!Y23=1),(VLOOKUP(Y$1,test!$A$3:$I$32,8,FALSE))-(VLOOKUP($A23,test!$A$3:$I$32,9,FALSE)),0)</f>
        <v>0</v>
      </c>
      <c r="Z23">
        <f>IF(AND(SUM(VLOOKUP($A23,test!$A$3:$F$32,2,FALSE),VLOOKUP(Z$1,test!$A$3:$F$32,2,FALSE))&lt;test!$K$16,$A23&lt;&gt;Z$1,feasible_mat!Z23=1),(VLOOKUP(Z$1,test!$A$3:$I$32,8,FALSE))-(VLOOKUP($A23,test!$A$3:$I$32,9,FALSE)),0)</f>
        <v>0</v>
      </c>
      <c r="AA23">
        <f>IF(AND(SUM(VLOOKUP($A23,test!$A$3:$F$32,2,FALSE),VLOOKUP(AA$1,test!$A$3:$F$32,2,FALSE))&lt;test!$K$16,$A23&lt;&gt;AA$1,feasible_mat!AA23=1),(VLOOKUP(AA$1,test!$A$3:$I$32,8,FALSE))-(VLOOKUP($A23,test!$A$3:$I$32,9,FALSE)),0)</f>
        <v>0</v>
      </c>
      <c r="AB23">
        <f>IF(AND(SUM(VLOOKUP($A23,test!$A$3:$F$32,2,FALSE),VLOOKUP(AB$1,test!$A$3:$F$32,2,FALSE))&lt;test!$K$16,$A23&lt;&gt;AB$1,feasible_mat!AB23=1),(VLOOKUP(AB$1,test!$A$3:$I$32,8,FALSE))-(VLOOKUP($A23,test!$A$3:$I$32,9,FALSE)),0)</f>
        <v>0</v>
      </c>
      <c r="AC23">
        <f>IF(AND(SUM(VLOOKUP($A23,test!$A$3:$F$32,2,FALSE),VLOOKUP(AC$1,test!$A$3:$F$32,2,FALSE))&lt;test!$K$16,$A23&lt;&gt;AC$1,feasible_mat!AC23=1),(VLOOKUP(AC$1,test!$A$3:$I$32,8,FALSE))-(VLOOKUP($A23,test!$A$3:$I$32,9,FALSE)),0)</f>
        <v>0</v>
      </c>
      <c r="AD23">
        <f>IF(AND(SUM(VLOOKUP($A23,test!$A$3:$F$32,2,FALSE),VLOOKUP(AD$1,test!$A$3:$F$32,2,FALSE))&lt;test!$K$16,$A23&lt;&gt;AD$1,feasible_mat!AD23=1),(VLOOKUP(AD$1,test!$A$3:$F$32,8,FALSE))-(VLOOKUP($A23,test!$A$3:$F$32,9,FALSE)),0)</f>
        <v>0</v>
      </c>
      <c r="AE23">
        <f>IF(AND(SUM(VLOOKUP($A23,test!$A$3:$F$32,2,FALSE),VLOOKUP(AE$1,test!$A$3:$F$32,2,FALSE))&lt;test!$K$16,$A23&lt;&gt;AE$1,feasible_mat!AE23=1),(VLOOKUP(AE$1,test!$A$3:$F$32,8,FALSE))-(VLOOKUP($A23,test!$A$3:$F$32,9,FALSE)),0)</f>
        <v>0</v>
      </c>
      <c r="AF23">
        <f>IF(AND(SUM(VLOOKUP($A23,test!$A$3:$F$32,2,FALSE),VLOOKUP(AF$1,test!$A$3:$F$32,2,FALSE))&lt;test!$K$16,$A23&lt;&gt;AF$1,feasible_mat!AF23=1),(VLOOKUP(AF$1,test!$A$3:$F$32,8,FALSE))-(VLOOKUP($A23,test!$A$3:$F$32,9,FALSE)),0)</f>
        <v>0</v>
      </c>
    </row>
    <row r="24" spans="1:32" x14ac:dyDescent="0.25">
      <c r="A24" t="s">
        <v>33</v>
      </c>
      <c r="B24">
        <v>0</v>
      </c>
      <c r="C24">
        <f>IF(AND(SUM(VLOOKUP($A24,test!$A$3:$F$32,2,FALSE),VLOOKUP(C$1,test!$A$3:$F$32,2,FALSE))&lt;test!$K$16,$A24&lt;&gt;C$1,feasible_mat!C24=1),(VLOOKUP(C$1,test!$A$3:$I$32,8,FALSE))-(VLOOKUP($A24,test!$A$3:$I$32,9,FALSE)),0)</f>
        <v>0</v>
      </c>
      <c r="D24">
        <f>IF(AND(SUM(VLOOKUP($A24,test!$A$3:$F$32,2,FALSE),VLOOKUP(D$1,test!$A$3:$F$32,2,FALSE))&lt;test!$K$16,$A24&lt;&gt;D$1,feasible_mat!D24=1),(VLOOKUP(D$1,test!$A$3:$I$32,8,FALSE))-(VLOOKUP($A24,test!$A$3:$I$32,9,FALSE)),0)</f>
        <v>0</v>
      </c>
      <c r="E24">
        <f>IF(AND(SUM(VLOOKUP($A24,test!$A$3:$F$32,2,FALSE),VLOOKUP(E$1,test!$A$3:$F$32,2,FALSE))&lt;test!$K$16,$A24&lt;&gt;E$1,feasible_mat!E24=1),(VLOOKUP(E$1,test!$A$3:$I$32,8,FALSE))-(VLOOKUP($A24,test!$A$3:$I$32,9,FALSE)),0)</f>
        <v>0</v>
      </c>
      <c r="F24">
        <f>IF(AND(SUM(VLOOKUP($A24,test!$A$3:$F$32,2,FALSE),VLOOKUP(F$1,test!$A$3:$F$32,2,FALSE))&lt;test!$K$16,$A24&lt;&gt;F$1,feasible_mat!F24=1),(VLOOKUP(F$1,test!$A$3:$I$32,8,FALSE))-(VLOOKUP($A24,test!$A$3:$I$32,9,FALSE)),0)</f>
        <v>0</v>
      </c>
      <c r="G24">
        <f>IF(AND(SUM(VLOOKUP($A24,test!$A$3:$F$32,2,FALSE),VLOOKUP(G$1,test!$A$3:$F$32,2,FALSE))&lt;test!$K$16,$A24&lt;&gt;G$1,feasible_mat!G24=1),(VLOOKUP(G$1,test!$A$3:$I$32,8,FALSE))-(VLOOKUP($A24,test!$A$3:$I$32,9,FALSE)),0)</f>
        <v>0</v>
      </c>
      <c r="H24">
        <f>IF(AND(SUM(VLOOKUP($A24,test!$A$3:$F$32,2,FALSE),VLOOKUP(H$1,test!$A$3:$F$32,2,FALSE))&lt;test!$K$16,$A24&lt;&gt;H$1,feasible_mat!H24=1),(VLOOKUP(H$1,test!$A$3:$I$32,8,FALSE))-(VLOOKUP($A24,test!$A$3:$I$32,9,FALSE)),0)</f>
        <v>0</v>
      </c>
      <c r="I24">
        <f>IF(AND(SUM(VLOOKUP($A24,test!$A$3:$F$32,2,FALSE),VLOOKUP(I$1,test!$A$3:$F$32,2,FALSE))&lt;test!$K$16,$A24&lt;&gt;I$1,feasible_mat!I24=1),(VLOOKUP(I$1,test!$A$3:$I$32,8,FALSE))-(VLOOKUP($A24,test!$A$3:$I$32,9,FALSE)),0)</f>
        <v>0</v>
      </c>
      <c r="J24">
        <f>IF(AND(SUM(VLOOKUP($A24,test!$A$3:$F$32,2,FALSE),VLOOKUP(J$1,test!$A$3:$F$32,2,FALSE))&lt;test!$K$16,$A24&lt;&gt;J$1,feasible_mat!J24=1),(VLOOKUP(J$1,test!$A$3:$I$32,8,FALSE))-(VLOOKUP($A24,test!$A$3:$I$32,9,FALSE)),0)</f>
        <v>0</v>
      </c>
      <c r="K24">
        <f>IF(AND(SUM(VLOOKUP($A24,test!$A$3:$F$32,2,FALSE),VLOOKUP(K$1,test!$A$3:$F$32,2,FALSE))&lt;test!$K$16,$A24&lt;&gt;K$1,feasible_mat!K24=1),(VLOOKUP(K$1,test!$A$3:$I$32,8,FALSE))-(VLOOKUP($A24,test!$A$3:$I$32,9,FALSE)),0)</f>
        <v>0</v>
      </c>
      <c r="L24">
        <f>IF(AND(SUM(VLOOKUP($A24,test!$A$3:$F$32,2,FALSE),VLOOKUP(L$1,test!$A$3:$F$32,2,FALSE))&lt;test!$K$16,$A24&lt;&gt;L$1,feasible_mat!L24=1),(VLOOKUP(L$1,test!$A$3:$I$32,8,FALSE))-(VLOOKUP($A24,test!$A$3:$I$32,9,FALSE)),0)</f>
        <v>0</v>
      </c>
      <c r="M24">
        <f>IF(AND(SUM(VLOOKUP($A24,test!$A$3:$F$32,2,FALSE),VLOOKUP(M$1,test!$A$3:$F$32,2,FALSE))&lt;test!$K$16,$A24&lt;&gt;M$1,feasible_mat!M24=1),(VLOOKUP(M$1,test!$A$3:$I$32,8,FALSE))-(VLOOKUP($A24,test!$A$3:$I$32,9,FALSE)),0)</f>
        <v>0</v>
      </c>
      <c r="N24">
        <f>IF(AND(SUM(VLOOKUP($A24,test!$A$3:$F$32,2,FALSE),VLOOKUP(N$1,test!$A$3:$F$32,2,FALSE))&lt;test!$K$16,$A24&lt;&gt;N$1,feasible_mat!N24=1),(VLOOKUP(N$1,test!$A$3:$I$32,8,FALSE))-(VLOOKUP($A24,test!$A$3:$I$32,9,FALSE)),0)</f>
        <v>0</v>
      </c>
      <c r="O24">
        <f>IF(AND(SUM(VLOOKUP($A24,test!$A$3:$F$32,2,FALSE),VLOOKUP(O$1,test!$A$3:$F$32,2,FALSE))&lt;test!$K$16,$A24&lt;&gt;O$1,feasible_mat!O24=1),(VLOOKUP(O$1,test!$A$3:$I$32,8,FALSE))-(VLOOKUP($A24,test!$A$3:$I$32,9,FALSE)),0)</f>
        <v>0</v>
      </c>
      <c r="P24">
        <f>IF(AND(SUM(VLOOKUP($A24,test!$A$3:$F$32,2,FALSE),VLOOKUP(P$1,test!$A$3:$F$32,2,FALSE))&lt;test!$K$16,$A24&lt;&gt;P$1,feasible_mat!P24=1),(VLOOKUP(P$1,test!$A$3:$I$32,8,FALSE))-(VLOOKUP($A24,test!$A$3:$I$32,9,FALSE)),0)</f>
        <v>0</v>
      </c>
      <c r="Q24">
        <f>IF(AND(SUM(VLOOKUP($A24,test!$A$3:$F$32,2,FALSE),VLOOKUP(Q$1,test!$A$3:$F$32,2,FALSE))&lt;test!$K$16,$A24&lt;&gt;Q$1,feasible_mat!Q24=1),(VLOOKUP(Q$1,test!$A$3:$I$32,8,FALSE))-(VLOOKUP($A24,test!$A$3:$I$32,9,FALSE)),0)</f>
        <v>0</v>
      </c>
      <c r="R24">
        <f>IF(AND(SUM(VLOOKUP($A24,test!$A$3:$F$32,2,FALSE),VLOOKUP(R$1,test!$A$3:$F$32,2,FALSE))&lt;test!$K$16,$A24&lt;&gt;R$1,feasible_mat!R24=1),(VLOOKUP(R$1,test!$A$3:$I$32,8,FALSE))-(VLOOKUP($A24,test!$A$3:$I$32,9,FALSE)),0)</f>
        <v>0</v>
      </c>
      <c r="S24">
        <f>IF(AND(SUM(VLOOKUP($A24,test!$A$3:$F$32,2,FALSE),VLOOKUP(S$1,test!$A$3:$F$32,2,FALSE))&lt;test!$K$16,$A24&lt;&gt;S$1,feasible_mat!S24=1),(VLOOKUP(S$1,test!$A$3:$I$32,8,FALSE))-(VLOOKUP($A24,test!$A$3:$I$32,9,FALSE)),0)</f>
        <v>0</v>
      </c>
      <c r="T24">
        <f>IF(AND(SUM(VLOOKUP($A24,test!$A$3:$F$32,2,FALSE),VLOOKUP(T$1,test!$A$3:$F$32,2,FALSE))&lt;test!$K$16,$A24&lt;&gt;T$1,feasible_mat!T24=1),(VLOOKUP(T$1,test!$A$3:$I$32,8,FALSE))-(VLOOKUP($A24,test!$A$3:$I$32,9,FALSE)),0)</f>
        <v>0</v>
      </c>
      <c r="U24">
        <f>IF(AND(SUM(VLOOKUP($A24,test!$A$3:$F$32,2,FALSE),VLOOKUP(U$1,test!$A$3:$F$32,2,FALSE))&lt;test!$K$16,$A24&lt;&gt;U$1,feasible_mat!U24=1),(VLOOKUP(U$1,test!$A$3:$I$32,8,FALSE))-(VLOOKUP($A24,test!$A$3:$I$32,9,FALSE)),0)</f>
        <v>0</v>
      </c>
      <c r="V24">
        <f>IF(AND(SUM(VLOOKUP($A24,test!$A$3:$F$32,2,FALSE),VLOOKUP(V$1,test!$A$3:$F$32,2,FALSE))&lt;test!$K$16,$A24&lt;&gt;V$1,feasible_mat!V24=1),(VLOOKUP(V$1,test!$A$3:$I$32,8,FALSE))-(VLOOKUP($A24,test!$A$3:$I$32,9,FALSE)),0)</f>
        <v>0</v>
      </c>
      <c r="W24">
        <f>IF(AND(SUM(VLOOKUP($A24,test!$A$3:$F$32,2,FALSE),VLOOKUP(W$1,test!$A$3:$F$32,2,FALSE))&lt;test!$K$16,$A24&lt;&gt;W$1,feasible_mat!W24=1),(VLOOKUP(W$1,test!$A$3:$I$32,8,FALSE))-(VLOOKUP($A24,test!$A$3:$I$32,9,FALSE)),0)</f>
        <v>0</v>
      </c>
      <c r="X24">
        <f>IF(AND(SUM(VLOOKUP($A24,test!$A$3:$F$32,2,FALSE),VLOOKUP(X$1,test!$A$3:$F$32,2,FALSE))&lt;test!$K$16,$A24&lt;&gt;X$1,feasible_mat!X24=1),(VLOOKUP(X$1,test!$A$3:$I$32,8,FALSE))-(VLOOKUP($A24,test!$A$3:$I$32,9,FALSE)),0)</f>
        <v>0</v>
      </c>
      <c r="Y24">
        <f>IF(AND(SUM(VLOOKUP($A24,test!$A$3:$F$32,2,FALSE),VLOOKUP(Y$1,test!$A$3:$F$32,2,FALSE))&lt;test!$K$16,$A24&lt;&gt;Y$1,feasible_mat!Y24=1),(VLOOKUP(Y$1,test!$A$3:$I$32,8,FALSE))-(VLOOKUP($A24,test!$A$3:$I$32,9,FALSE)),0)</f>
        <v>0</v>
      </c>
      <c r="Z24">
        <f>IF(AND(SUM(VLOOKUP($A24,test!$A$3:$F$32,2,FALSE),VLOOKUP(Z$1,test!$A$3:$F$32,2,FALSE))&lt;test!$K$16,$A24&lt;&gt;Z$1,feasible_mat!Z24=1),(VLOOKUP(Z$1,test!$A$3:$I$32,8,FALSE))-(VLOOKUP($A24,test!$A$3:$I$32,9,FALSE)),0)</f>
        <v>0</v>
      </c>
      <c r="AA24">
        <f>IF(AND(SUM(VLOOKUP($A24,test!$A$3:$F$32,2,FALSE),VLOOKUP(AA$1,test!$A$3:$F$32,2,FALSE))&lt;test!$K$16,$A24&lt;&gt;AA$1,feasible_mat!AA24=1),(VLOOKUP(AA$1,test!$A$3:$I$32,8,FALSE))-(VLOOKUP($A24,test!$A$3:$I$32,9,FALSE)),0)</f>
        <v>0</v>
      </c>
      <c r="AB24">
        <f>IF(AND(SUM(VLOOKUP($A24,test!$A$3:$F$32,2,FALSE),VLOOKUP(AB$1,test!$A$3:$F$32,2,FALSE))&lt;test!$K$16,$A24&lt;&gt;AB$1,feasible_mat!AB24=1),(VLOOKUP(AB$1,test!$A$3:$I$32,8,FALSE))-(VLOOKUP($A24,test!$A$3:$I$32,9,FALSE)),0)</f>
        <v>0</v>
      </c>
      <c r="AC24">
        <f>IF(AND(SUM(VLOOKUP($A24,test!$A$3:$F$32,2,FALSE),VLOOKUP(AC$1,test!$A$3:$F$32,2,FALSE))&lt;test!$K$16,$A24&lt;&gt;AC$1,feasible_mat!AC24=1),(VLOOKUP(AC$1,test!$A$3:$I$32,8,FALSE))-(VLOOKUP($A24,test!$A$3:$I$32,9,FALSE)),0)</f>
        <v>0</v>
      </c>
      <c r="AD24">
        <f>IF(AND(SUM(VLOOKUP($A24,test!$A$3:$F$32,2,FALSE),VLOOKUP(AD$1,test!$A$3:$F$32,2,FALSE))&lt;test!$K$16,$A24&lt;&gt;AD$1,feasible_mat!AD24=1),(VLOOKUP(AD$1,test!$A$3:$F$32,8,FALSE))-(VLOOKUP($A24,test!$A$3:$F$32,9,FALSE)),0)</f>
        <v>0</v>
      </c>
      <c r="AE24">
        <f>IF(AND(SUM(VLOOKUP($A24,test!$A$3:$F$32,2,FALSE),VLOOKUP(AE$1,test!$A$3:$F$32,2,FALSE))&lt;test!$K$16,$A24&lt;&gt;AE$1,feasible_mat!AE24=1),(VLOOKUP(AE$1,test!$A$3:$F$32,8,FALSE))-(VLOOKUP($A24,test!$A$3:$F$32,9,FALSE)),0)</f>
        <v>0</v>
      </c>
      <c r="AF24">
        <f>IF(AND(SUM(VLOOKUP($A24,test!$A$3:$F$32,2,FALSE),VLOOKUP(AF$1,test!$A$3:$F$32,2,FALSE))&lt;test!$K$16,$A24&lt;&gt;AF$1,feasible_mat!AF24=1),(VLOOKUP(AF$1,test!$A$3:$F$32,8,FALSE))-(VLOOKUP($A24,test!$A$3:$F$32,9,FALSE)),0)</f>
        <v>0</v>
      </c>
    </row>
    <row r="25" spans="1:32" x14ac:dyDescent="0.25">
      <c r="A25" t="s">
        <v>34</v>
      </c>
      <c r="B25">
        <v>0</v>
      </c>
      <c r="C25">
        <f>IF(AND(SUM(VLOOKUP($A25,test!$A$3:$F$32,2,FALSE),VLOOKUP(C$1,test!$A$3:$F$32,2,FALSE))&lt;test!$K$16,$A25&lt;&gt;C$1,feasible_mat!C25=1),(VLOOKUP(C$1,test!$A$3:$I$32,8,FALSE))-(VLOOKUP($A25,test!$A$3:$I$32,9,FALSE)),0)</f>
        <v>0</v>
      </c>
      <c r="D25">
        <f>IF(AND(SUM(VLOOKUP($A25,test!$A$3:$F$32,2,FALSE),VLOOKUP(D$1,test!$A$3:$F$32,2,FALSE))&lt;test!$K$16,$A25&lt;&gt;D$1,feasible_mat!D25=1),(VLOOKUP(D$1,test!$A$3:$I$32,8,FALSE))-(VLOOKUP($A25,test!$A$3:$I$32,9,FALSE)),0)</f>
        <v>30</v>
      </c>
      <c r="E25">
        <f>IF(AND(SUM(VLOOKUP($A25,test!$A$3:$F$32,2,FALSE),VLOOKUP(E$1,test!$A$3:$F$32,2,FALSE))&lt;test!$K$16,$A25&lt;&gt;E$1,feasible_mat!E25=1),(VLOOKUP(E$1,test!$A$3:$I$32,8,FALSE))-(VLOOKUP($A25,test!$A$3:$I$32,9,FALSE)),0)</f>
        <v>120</v>
      </c>
      <c r="F25">
        <f>IF(AND(SUM(VLOOKUP($A25,test!$A$3:$F$32,2,FALSE),VLOOKUP(F$1,test!$A$3:$F$32,2,FALSE))&lt;test!$K$16,$A25&lt;&gt;F$1,feasible_mat!F25=1),(VLOOKUP(F$1,test!$A$3:$I$32,8,FALSE))-(VLOOKUP($A25,test!$A$3:$I$32,9,FALSE)),0)</f>
        <v>210</v>
      </c>
      <c r="G25">
        <f>IF(AND(SUM(VLOOKUP($A25,test!$A$3:$F$32,2,FALSE),VLOOKUP(G$1,test!$A$3:$F$32,2,FALSE))&lt;test!$K$16,$A25&lt;&gt;G$1,feasible_mat!G25=1),(VLOOKUP(G$1,test!$A$3:$I$32,8,FALSE))-(VLOOKUP($A25,test!$A$3:$I$32,9,FALSE)),0)</f>
        <v>270</v>
      </c>
      <c r="H25">
        <f>IF(AND(SUM(VLOOKUP($A25,test!$A$3:$F$32,2,FALSE),VLOOKUP(H$1,test!$A$3:$F$32,2,FALSE))&lt;test!$K$16,$A25&lt;&gt;H$1,feasible_mat!H25=1),(VLOOKUP(H$1,test!$A$3:$I$32,8,FALSE))-(VLOOKUP($A25,test!$A$3:$I$32,9,FALSE)),0)</f>
        <v>330</v>
      </c>
      <c r="I25">
        <f>IF(AND(SUM(VLOOKUP($A25,test!$A$3:$F$32,2,FALSE),VLOOKUP(I$1,test!$A$3:$F$32,2,FALSE))&lt;test!$K$16,$A25&lt;&gt;I$1,feasible_mat!I25=1),(VLOOKUP(I$1,test!$A$3:$I$32,8,FALSE))-(VLOOKUP($A25,test!$A$3:$I$32,9,FALSE)),0)</f>
        <v>390</v>
      </c>
      <c r="J25">
        <f>IF(AND(SUM(VLOOKUP($A25,test!$A$3:$F$32,2,FALSE),VLOOKUP(J$1,test!$A$3:$F$32,2,FALSE))&lt;test!$K$16,$A25&lt;&gt;J$1,feasible_mat!J25=1),(VLOOKUP(J$1,test!$A$3:$I$32,8,FALSE))-(VLOOKUP($A25,test!$A$3:$I$32,9,FALSE)),0)</f>
        <v>480</v>
      </c>
      <c r="K25">
        <f>IF(AND(SUM(VLOOKUP($A25,test!$A$3:$F$32,2,FALSE),VLOOKUP(K$1,test!$A$3:$F$32,2,FALSE))&lt;test!$K$16,$A25&lt;&gt;K$1,feasible_mat!K25=1),(VLOOKUP(K$1,test!$A$3:$I$32,8,FALSE))-(VLOOKUP($A25,test!$A$3:$I$32,9,FALSE)),0)</f>
        <v>0</v>
      </c>
      <c r="L25">
        <f>IF(AND(SUM(VLOOKUP($A25,test!$A$3:$F$32,2,FALSE),VLOOKUP(L$1,test!$A$3:$F$32,2,FALSE))&lt;test!$K$16,$A25&lt;&gt;L$1,feasible_mat!L25=1),(VLOOKUP(L$1,test!$A$3:$I$32,8,FALSE))-(VLOOKUP($A25,test!$A$3:$I$32,9,FALSE)),0)</f>
        <v>0</v>
      </c>
      <c r="M25">
        <f>IF(AND(SUM(VLOOKUP($A25,test!$A$3:$F$32,2,FALSE),VLOOKUP(M$1,test!$A$3:$F$32,2,FALSE))&lt;test!$K$16,$A25&lt;&gt;M$1,feasible_mat!M25=1),(VLOOKUP(M$1,test!$A$3:$I$32,8,FALSE))-(VLOOKUP($A25,test!$A$3:$I$32,9,FALSE)),0)</f>
        <v>85</v>
      </c>
      <c r="N25">
        <f>IF(AND(SUM(VLOOKUP($A25,test!$A$3:$F$32,2,FALSE),VLOOKUP(N$1,test!$A$3:$F$32,2,FALSE))&lt;test!$K$16,$A25&lt;&gt;N$1,feasible_mat!N25=1),(VLOOKUP(N$1,test!$A$3:$I$32,8,FALSE))-(VLOOKUP($A25,test!$A$3:$I$32,9,FALSE)),0)</f>
        <v>445</v>
      </c>
      <c r="O25">
        <f>IF(AND(SUM(VLOOKUP($A25,test!$A$3:$F$32,2,FALSE),VLOOKUP(O$1,test!$A$3:$F$32,2,FALSE))&lt;test!$K$16,$A25&lt;&gt;O$1,feasible_mat!O25=1),(VLOOKUP(O$1,test!$A$3:$I$32,8,FALSE))-(VLOOKUP($A25,test!$A$3:$I$32,9,FALSE)),0)</f>
        <v>505</v>
      </c>
      <c r="P25">
        <f>IF(AND(SUM(VLOOKUP($A25,test!$A$3:$F$32,2,FALSE),VLOOKUP(P$1,test!$A$3:$F$32,2,FALSE))&lt;test!$K$16,$A25&lt;&gt;P$1,feasible_mat!P25=1),(VLOOKUP(P$1,test!$A$3:$I$32,8,FALSE))-(VLOOKUP($A25,test!$A$3:$I$32,9,FALSE)),0)</f>
        <v>0</v>
      </c>
      <c r="Q25">
        <f>IF(AND(SUM(VLOOKUP($A25,test!$A$3:$F$32,2,FALSE),VLOOKUP(Q$1,test!$A$3:$F$32,2,FALSE))&lt;test!$K$16,$A25&lt;&gt;Q$1,feasible_mat!Q25=1),(VLOOKUP(Q$1,test!$A$3:$I$32,8,FALSE))-(VLOOKUP($A25,test!$A$3:$I$32,9,FALSE)),0)</f>
        <v>0</v>
      </c>
      <c r="R25">
        <f>IF(AND(SUM(VLOOKUP($A25,test!$A$3:$F$32,2,FALSE),VLOOKUP(R$1,test!$A$3:$F$32,2,FALSE))&lt;test!$K$16,$A25&lt;&gt;R$1,feasible_mat!R25=1),(VLOOKUP(R$1,test!$A$3:$I$32,8,FALSE))-(VLOOKUP($A25,test!$A$3:$I$32,9,FALSE)),0)</f>
        <v>0</v>
      </c>
      <c r="S25">
        <f>IF(AND(SUM(VLOOKUP($A25,test!$A$3:$F$32,2,FALSE),VLOOKUP(S$1,test!$A$3:$F$32,2,FALSE))&lt;test!$K$16,$A25&lt;&gt;S$1,feasible_mat!S25=1),(VLOOKUP(S$1,test!$A$3:$I$32,8,FALSE))-(VLOOKUP($A25,test!$A$3:$I$32,9,FALSE)),0)</f>
        <v>0</v>
      </c>
      <c r="T25">
        <f>IF(AND(SUM(VLOOKUP($A25,test!$A$3:$F$32,2,FALSE),VLOOKUP(T$1,test!$A$3:$F$32,2,FALSE))&lt;test!$K$16,$A25&lt;&gt;T$1,feasible_mat!T25=1),(VLOOKUP(T$1,test!$A$3:$I$32,8,FALSE))-(VLOOKUP($A25,test!$A$3:$I$32,9,FALSE)),0)</f>
        <v>0</v>
      </c>
      <c r="U25">
        <f>IF(AND(SUM(VLOOKUP($A25,test!$A$3:$F$32,2,FALSE),VLOOKUP(U$1,test!$A$3:$F$32,2,FALSE))&lt;test!$K$16,$A25&lt;&gt;U$1,feasible_mat!U25=1),(VLOOKUP(U$1,test!$A$3:$I$32,8,FALSE))-(VLOOKUP($A25,test!$A$3:$I$32,9,FALSE)),0)</f>
        <v>0</v>
      </c>
      <c r="V25">
        <f>IF(AND(SUM(VLOOKUP($A25,test!$A$3:$F$32,2,FALSE),VLOOKUP(V$1,test!$A$3:$F$32,2,FALSE))&lt;test!$K$16,$A25&lt;&gt;V$1,feasible_mat!V25=1),(VLOOKUP(V$1,test!$A$3:$I$32,8,FALSE))-(VLOOKUP($A25,test!$A$3:$I$32,9,FALSE)),0)</f>
        <v>0</v>
      </c>
      <c r="W25">
        <f>IF(AND(SUM(VLOOKUP($A25,test!$A$3:$F$32,2,FALSE),VLOOKUP(W$1,test!$A$3:$F$32,2,FALSE))&lt;test!$K$16,$A25&lt;&gt;W$1,feasible_mat!W25=1),(VLOOKUP(W$1,test!$A$3:$I$32,8,FALSE))-(VLOOKUP($A25,test!$A$3:$I$32,9,FALSE)),0)</f>
        <v>0</v>
      </c>
      <c r="X25">
        <f>IF(AND(SUM(VLOOKUP($A25,test!$A$3:$F$32,2,FALSE),VLOOKUP(X$1,test!$A$3:$F$32,2,FALSE))&lt;test!$K$16,$A25&lt;&gt;X$1,feasible_mat!X25=1),(VLOOKUP(X$1,test!$A$3:$I$32,8,FALSE))-(VLOOKUP($A25,test!$A$3:$I$32,9,FALSE)),0)</f>
        <v>0</v>
      </c>
      <c r="Y25">
        <f>IF(AND(SUM(VLOOKUP($A25,test!$A$3:$F$32,2,FALSE),VLOOKUP(Y$1,test!$A$3:$F$32,2,FALSE))&lt;test!$K$16,$A25&lt;&gt;Y$1,feasible_mat!Y25=1),(VLOOKUP(Y$1,test!$A$3:$I$32,8,FALSE))-(VLOOKUP($A25,test!$A$3:$I$32,9,FALSE)),0)</f>
        <v>0</v>
      </c>
      <c r="Z25">
        <f>IF(AND(SUM(VLOOKUP($A25,test!$A$3:$F$32,2,FALSE),VLOOKUP(Z$1,test!$A$3:$F$32,2,FALSE))&lt;test!$K$16,$A25&lt;&gt;Z$1,feasible_mat!Z25=1),(VLOOKUP(Z$1,test!$A$3:$I$32,8,FALSE))-(VLOOKUP($A25,test!$A$3:$I$32,9,FALSE)),0)</f>
        <v>0</v>
      </c>
      <c r="AA25">
        <f>IF(AND(SUM(VLOOKUP($A25,test!$A$3:$F$32,2,FALSE),VLOOKUP(AA$1,test!$A$3:$F$32,2,FALSE))&lt;test!$K$16,$A25&lt;&gt;AA$1,feasible_mat!AA25=1),(VLOOKUP(AA$1,test!$A$3:$I$32,8,FALSE))-(VLOOKUP($A25,test!$A$3:$I$32,9,FALSE)),0)</f>
        <v>0</v>
      </c>
      <c r="AB25">
        <f>IF(AND(SUM(VLOOKUP($A25,test!$A$3:$F$32,2,FALSE),VLOOKUP(AB$1,test!$A$3:$F$32,2,FALSE))&lt;test!$K$16,$A25&lt;&gt;AB$1,feasible_mat!AB25=1),(VLOOKUP(AB$1,test!$A$3:$I$32,8,FALSE))-(VLOOKUP($A25,test!$A$3:$I$32,9,FALSE)),0)</f>
        <v>0</v>
      </c>
      <c r="AC25">
        <f>IF(AND(SUM(VLOOKUP($A25,test!$A$3:$F$32,2,FALSE),VLOOKUP(AC$1,test!$A$3:$F$32,2,FALSE))&lt;test!$K$16,$A25&lt;&gt;AC$1,feasible_mat!AC25=1),(VLOOKUP(AC$1,test!$A$3:$I$32,8,FALSE))-(VLOOKUP($A25,test!$A$3:$I$32,9,FALSE)),0)</f>
        <v>0</v>
      </c>
      <c r="AD25">
        <f>IF(AND(SUM(VLOOKUP($A25,test!$A$3:$F$32,2,FALSE),VLOOKUP(AD$1,test!$A$3:$F$32,2,FALSE))&lt;test!$K$16,$A25&lt;&gt;AD$1,feasible_mat!AD25=1),(VLOOKUP(AD$1,test!$A$3:$F$32,8,FALSE))-(VLOOKUP($A25,test!$A$3:$F$32,9,FALSE)),0)</f>
        <v>0</v>
      </c>
      <c r="AE25">
        <f>IF(AND(SUM(VLOOKUP($A25,test!$A$3:$F$32,2,FALSE),VLOOKUP(AE$1,test!$A$3:$F$32,2,FALSE))&lt;test!$K$16,$A25&lt;&gt;AE$1,feasible_mat!AE25=1),(VLOOKUP(AE$1,test!$A$3:$F$32,8,FALSE))-(VLOOKUP($A25,test!$A$3:$F$32,9,FALSE)),0)</f>
        <v>0</v>
      </c>
      <c r="AF25">
        <f>IF(AND(SUM(VLOOKUP($A25,test!$A$3:$F$32,2,FALSE),VLOOKUP(AF$1,test!$A$3:$F$32,2,FALSE))&lt;test!$K$16,$A25&lt;&gt;AF$1,feasible_mat!AF25=1),(VLOOKUP(AF$1,test!$A$3:$F$32,8,FALSE))-(VLOOKUP($A25,test!$A$3:$F$32,9,FALSE)),0)</f>
        <v>0</v>
      </c>
    </row>
    <row r="26" spans="1:32" x14ac:dyDescent="0.25">
      <c r="A26" t="s">
        <v>35</v>
      </c>
      <c r="B26">
        <v>0</v>
      </c>
      <c r="C26">
        <f>IF(AND(SUM(VLOOKUP($A26,test!$A$3:$F$32,2,FALSE),VLOOKUP(C$1,test!$A$3:$F$32,2,FALSE))&lt;test!$K$16,$A26&lt;&gt;C$1,feasible_mat!C26=1),(VLOOKUP(C$1,test!$A$3:$I$32,8,FALSE))-(VLOOKUP($A26,test!$A$3:$I$32,9,FALSE)),0)</f>
        <v>0</v>
      </c>
      <c r="D26">
        <f>IF(AND(SUM(VLOOKUP($A26,test!$A$3:$F$32,2,FALSE),VLOOKUP(D$1,test!$A$3:$F$32,2,FALSE))&lt;test!$K$16,$A26&lt;&gt;D$1,feasible_mat!D26=1),(VLOOKUP(D$1,test!$A$3:$I$32,8,FALSE))-(VLOOKUP($A26,test!$A$3:$I$32,9,FALSE)),0)</f>
        <v>0</v>
      </c>
      <c r="E26">
        <f>IF(AND(SUM(VLOOKUP($A26,test!$A$3:$F$32,2,FALSE),VLOOKUP(E$1,test!$A$3:$F$32,2,FALSE))&lt;test!$K$16,$A26&lt;&gt;E$1,feasible_mat!E26=1),(VLOOKUP(E$1,test!$A$3:$I$32,8,FALSE))-(VLOOKUP($A26,test!$A$3:$I$32,9,FALSE)),0)</f>
        <v>0</v>
      </c>
      <c r="F26">
        <f>IF(AND(SUM(VLOOKUP($A26,test!$A$3:$F$32,2,FALSE),VLOOKUP(F$1,test!$A$3:$F$32,2,FALSE))&lt;test!$K$16,$A26&lt;&gt;F$1,feasible_mat!F26=1),(VLOOKUP(F$1,test!$A$3:$I$32,8,FALSE))-(VLOOKUP($A26,test!$A$3:$I$32,9,FALSE)),0)</f>
        <v>40</v>
      </c>
      <c r="G26">
        <f>IF(AND(SUM(VLOOKUP($A26,test!$A$3:$F$32,2,FALSE),VLOOKUP(G$1,test!$A$3:$F$32,2,FALSE))&lt;test!$K$16,$A26&lt;&gt;G$1,feasible_mat!G26=1),(VLOOKUP(G$1,test!$A$3:$I$32,8,FALSE))-(VLOOKUP($A26,test!$A$3:$I$32,9,FALSE)),0)</f>
        <v>100</v>
      </c>
      <c r="H26">
        <f>IF(AND(SUM(VLOOKUP($A26,test!$A$3:$F$32,2,FALSE),VLOOKUP(H$1,test!$A$3:$F$32,2,FALSE))&lt;test!$K$16,$A26&lt;&gt;H$1,feasible_mat!H26=1),(VLOOKUP(H$1,test!$A$3:$I$32,8,FALSE))-(VLOOKUP($A26,test!$A$3:$I$32,9,FALSE)),0)</f>
        <v>160</v>
      </c>
      <c r="I26">
        <f>IF(AND(SUM(VLOOKUP($A26,test!$A$3:$F$32,2,FALSE),VLOOKUP(I$1,test!$A$3:$F$32,2,FALSE))&lt;test!$K$16,$A26&lt;&gt;I$1,feasible_mat!I26=1),(VLOOKUP(I$1,test!$A$3:$I$32,8,FALSE))-(VLOOKUP($A26,test!$A$3:$I$32,9,FALSE)),0)</f>
        <v>220</v>
      </c>
      <c r="J26">
        <f>IF(AND(SUM(VLOOKUP($A26,test!$A$3:$F$32,2,FALSE),VLOOKUP(J$1,test!$A$3:$F$32,2,FALSE))&lt;test!$K$16,$A26&lt;&gt;J$1,feasible_mat!J26=1),(VLOOKUP(J$1,test!$A$3:$I$32,8,FALSE))-(VLOOKUP($A26,test!$A$3:$I$32,9,FALSE)),0)</f>
        <v>310</v>
      </c>
      <c r="K26">
        <f>IF(AND(SUM(VLOOKUP($A26,test!$A$3:$F$32,2,FALSE),VLOOKUP(K$1,test!$A$3:$F$32,2,FALSE))&lt;test!$K$16,$A26&lt;&gt;K$1,feasible_mat!K26=1),(VLOOKUP(K$1,test!$A$3:$I$32,8,FALSE))-(VLOOKUP($A26,test!$A$3:$I$32,9,FALSE)),0)</f>
        <v>0</v>
      </c>
      <c r="L26">
        <f>IF(AND(SUM(VLOOKUP($A26,test!$A$3:$F$32,2,FALSE),VLOOKUP(L$1,test!$A$3:$F$32,2,FALSE))&lt;test!$K$16,$A26&lt;&gt;L$1,feasible_mat!L26=1),(VLOOKUP(L$1,test!$A$3:$I$32,8,FALSE))-(VLOOKUP($A26,test!$A$3:$I$32,9,FALSE)),0)</f>
        <v>0</v>
      </c>
      <c r="M26">
        <f>IF(AND(SUM(VLOOKUP($A26,test!$A$3:$F$32,2,FALSE),VLOOKUP(M$1,test!$A$3:$F$32,2,FALSE))&lt;test!$K$16,$A26&lt;&gt;M$1,feasible_mat!M26=1),(VLOOKUP(M$1,test!$A$3:$I$32,8,FALSE))-(VLOOKUP($A26,test!$A$3:$I$32,9,FALSE)),0)</f>
        <v>0</v>
      </c>
      <c r="N26">
        <f>IF(AND(SUM(VLOOKUP($A26,test!$A$3:$F$32,2,FALSE),VLOOKUP(N$1,test!$A$3:$F$32,2,FALSE))&lt;test!$K$16,$A26&lt;&gt;N$1,feasible_mat!N26=1),(VLOOKUP(N$1,test!$A$3:$I$32,8,FALSE))-(VLOOKUP($A26,test!$A$3:$I$32,9,FALSE)),0)</f>
        <v>275</v>
      </c>
      <c r="O26">
        <f>IF(AND(SUM(VLOOKUP($A26,test!$A$3:$F$32,2,FALSE),VLOOKUP(O$1,test!$A$3:$F$32,2,FALSE))&lt;test!$K$16,$A26&lt;&gt;O$1,feasible_mat!O26=1),(VLOOKUP(O$1,test!$A$3:$I$32,8,FALSE))-(VLOOKUP($A26,test!$A$3:$I$32,9,FALSE)),0)</f>
        <v>335</v>
      </c>
      <c r="P26">
        <f>IF(AND(SUM(VLOOKUP($A26,test!$A$3:$F$32,2,FALSE),VLOOKUP(P$1,test!$A$3:$F$32,2,FALSE))&lt;test!$K$16,$A26&lt;&gt;P$1,feasible_mat!P26=1),(VLOOKUP(P$1,test!$A$3:$I$32,8,FALSE))-(VLOOKUP($A26,test!$A$3:$I$32,9,FALSE)),0)</f>
        <v>0</v>
      </c>
      <c r="Q26">
        <f>IF(AND(SUM(VLOOKUP($A26,test!$A$3:$F$32,2,FALSE),VLOOKUP(Q$1,test!$A$3:$F$32,2,FALSE))&lt;test!$K$16,$A26&lt;&gt;Q$1,feasible_mat!Q26=1),(VLOOKUP(Q$1,test!$A$3:$I$32,8,FALSE))-(VLOOKUP($A26,test!$A$3:$I$32,9,FALSE)),0)</f>
        <v>0</v>
      </c>
      <c r="R26">
        <f>IF(AND(SUM(VLOOKUP($A26,test!$A$3:$F$32,2,FALSE),VLOOKUP(R$1,test!$A$3:$F$32,2,FALSE))&lt;test!$K$16,$A26&lt;&gt;R$1,feasible_mat!R26=1),(VLOOKUP(R$1,test!$A$3:$I$32,8,FALSE))-(VLOOKUP($A26,test!$A$3:$I$32,9,FALSE)),0)</f>
        <v>0</v>
      </c>
      <c r="S26">
        <f>IF(AND(SUM(VLOOKUP($A26,test!$A$3:$F$32,2,FALSE),VLOOKUP(S$1,test!$A$3:$F$32,2,FALSE))&lt;test!$K$16,$A26&lt;&gt;S$1,feasible_mat!S26=1),(VLOOKUP(S$1,test!$A$3:$I$32,8,FALSE))-(VLOOKUP($A26,test!$A$3:$I$32,9,FALSE)),0)</f>
        <v>0</v>
      </c>
      <c r="T26">
        <f>IF(AND(SUM(VLOOKUP($A26,test!$A$3:$F$32,2,FALSE),VLOOKUP(T$1,test!$A$3:$F$32,2,FALSE))&lt;test!$K$16,$A26&lt;&gt;T$1,feasible_mat!T26=1),(VLOOKUP(T$1,test!$A$3:$I$32,8,FALSE))-(VLOOKUP($A26,test!$A$3:$I$32,9,FALSE)),0)</f>
        <v>0</v>
      </c>
      <c r="U26">
        <f>IF(AND(SUM(VLOOKUP($A26,test!$A$3:$F$32,2,FALSE),VLOOKUP(U$1,test!$A$3:$F$32,2,FALSE))&lt;test!$K$16,$A26&lt;&gt;U$1,feasible_mat!U26=1),(VLOOKUP(U$1,test!$A$3:$I$32,8,FALSE))-(VLOOKUP($A26,test!$A$3:$I$32,9,FALSE)),0)</f>
        <v>0</v>
      </c>
      <c r="V26">
        <f>IF(AND(SUM(VLOOKUP($A26,test!$A$3:$F$32,2,FALSE),VLOOKUP(V$1,test!$A$3:$F$32,2,FALSE))&lt;test!$K$16,$A26&lt;&gt;V$1,feasible_mat!V26=1),(VLOOKUP(V$1,test!$A$3:$I$32,8,FALSE))-(VLOOKUP($A26,test!$A$3:$I$32,9,FALSE)),0)</f>
        <v>0</v>
      </c>
      <c r="W26">
        <f>IF(AND(SUM(VLOOKUP($A26,test!$A$3:$F$32,2,FALSE),VLOOKUP(W$1,test!$A$3:$F$32,2,FALSE))&lt;test!$K$16,$A26&lt;&gt;W$1,feasible_mat!W26=1),(VLOOKUP(W$1,test!$A$3:$I$32,8,FALSE))-(VLOOKUP($A26,test!$A$3:$I$32,9,FALSE)),0)</f>
        <v>0</v>
      </c>
      <c r="X26">
        <f>IF(AND(SUM(VLOOKUP($A26,test!$A$3:$F$32,2,FALSE),VLOOKUP(X$1,test!$A$3:$F$32,2,FALSE))&lt;test!$K$16,$A26&lt;&gt;X$1,feasible_mat!X26=1),(VLOOKUP(X$1,test!$A$3:$I$32,8,FALSE))-(VLOOKUP($A26,test!$A$3:$I$32,9,FALSE)),0)</f>
        <v>0</v>
      </c>
      <c r="Y26">
        <f>IF(AND(SUM(VLOOKUP($A26,test!$A$3:$F$32,2,FALSE),VLOOKUP(Y$1,test!$A$3:$F$32,2,FALSE))&lt;test!$K$16,$A26&lt;&gt;Y$1,feasible_mat!Y26=1),(VLOOKUP(Y$1,test!$A$3:$I$32,8,FALSE))-(VLOOKUP($A26,test!$A$3:$I$32,9,FALSE)),0)</f>
        <v>0</v>
      </c>
      <c r="Z26">
        <f>IF(AND(SUM(VLOOKUP($A26,test!$A$3:$F$32,2,FALSE),VLOOKUP(Z$1,test!$A$3:$F$32,2,FALSE))&lt;test!$K$16,$A26&lt;&gt;Z$1,feasible_mat!Z26=1),(VLOOKUP(Z$1,test!$A$3:$I$32,8,FALSE))-(VLOOKUP($A26,test!$A$3:$I$32,9,FALSE)),0)</f>
        <v>0</v>
      </c>
      <c r="AA26">
        <f>IF(AND(SUM(VLOOKUP($A26,test!$A$3:$F$32,2,FALSE),VLOOKUP(AA$1,test!$A$3:$F$32,2,FALSE))&lt;test!$K$16,$A26&lt;&gt;AA$1,feasible_mat!AA26=1),(VLOOKUP(AA$1,test!$A$3:$I$32,8,FALSE))-(VLOOKUP($A26,test!$A$3:$I$32,9,FALSE)),0)</f>
        <v>0</v>
      </c>
      <c r="AB26">
        <f>IF(AND(SUM(VLOOKUP($A26,test!$A$3:$F$32,2,FALSE),VLOOKUP(AB$1,test!$A$3:$F$32,2,FALSE))&lt;test!$K$16,$A26&lt;&gt;AB$1,feasible_mat!AB26=1),(VLOOKUP(AB$1,test!$A$3:$I$32,8,FALSE))-(VLOOKUP($A26,test!$A$3:$I$32,9,FALSE)),0)</f>
        <v>0</v>
      </c>
      <c r="AC26">
        <f>IF(AND(SUM(VLOOKUP($A26,test!$A$3:$F$32,2,FALSE),VLOOKUP(AC$1,test!$A$3:$F$32,2,FALSE))&lt;test!$K$16,$A26&lt;&gt;AC$1,feasible_mat!AC26=1),(VLOOKUP(AC$1,test!$A$3:$I$32,8,FALSE))-(VLOOKUP($A26,test!$A$3:$I$32,9,FALSE)),0)</f>
        <v>0</v>
      </c>
      <c r="AD26">
        <f>IF(AND(SUM(VLOOKUP($A26,test!$A$3:$F$32,2,FALSE),VLOOKUP(AD$1,test!$A$3:$F$32,2,FALSE))&lt;test!$K$16,$A26&lt;&gt;AD$1,feasible_mat!AD26=1),(VLOOKUP(AD$1,test!$A$3:$F$32,8,FALSE))-(VLOOKUP($A26,test!$A$3:$F$32,9,FALSE)),0)</f>
        <v>0</v>
      </c>
      <c r="AE26">
        <f>IF(AND(SUM(VLOOKUP($A26,test!$A$3:$F$32,2,FALSE),VLOOKUP(AE$1,test!$A$3:$F$32,2,FALSE))&lt;test!$K$16,$A26&lt;&gt;AE$1,feasible_mat!AE26=1),(VLOOKUP(AE$1,test!$A$3:$F$32,8,FALSE))-(VLOOKUP($A26,test!$A$3:$F$32,9,FALSE)),0)</f>
        <v>0</v>
      </c>
      <c r="AF26">
        <f>IF(AND(SUM(VLOOKUP($A26,test!$A$3:$F$32,2,FALSE),VLOOKUP(AF$1,test!$A$3:$F$32,2,FALSE))&lt;test!$K$16,$A26&lt;&gt;AF$1,feasible_mat!AF26=1),(VLOOKUP(AF$1,test!$A$3:$F$32,8,FALSE))-(VLOOKUP($A26,test!$A$3:$F$32,9,FALSE)),0)</f>
        <v>0</v>
      </c>
    </row>
    <row r="27" spans="1:32" x14ac:dyDescent="0.25">
      <c r="A27" t="s">
        <v>36</v>
      </c>
      <c r="B27">
        <v>0</v>
      </c>
      <c r="C27">
        <f>IF(AND(SUM(VLOOKUP($A27,test!$A$3:$F$32,2,FALSE),VLOOKUP(C$1,test!$A$3:$F$32,2,FALSE))&lt;test!$K$16,$A27&lt;&gt;C$1,feasible_mat!C27=1),(VLOOKUP(C$1,test!$A$3:$I$32,8,FALSE))-(VLOOKUP($A27,test!$A$3:$I$32,9,FALSE)),0)</f>
        <v>0</v>
      </c>
      <c r="D27">
        <f>IF(AND(SUM(VLOOKUP($A27,test!$A$3:$F$32,2,FALSE),VLOOKUP(D$1,test!$A$3:$F$32,2,FALSE))&lt;test!$K$16,$A27&lt;&gt;D$1,feasible_mat!D27=1),(VLOOKUP(D$1,test!$A$3:$I$32,8,FALSE))-(VLOOKUP($A27,test!$A$3:$I$32,9,FALSE)),0)</f>
        <v>0</v>
      </c>
      <c r="E27">
        <f>IF(AND(SUM(VLOOKUP($A27,test!$A$3:$F$32,2,FALSE),VLOOKUP(E$1,test!$A$3:$F$32,2,FALSE))&lt;test!$K$16,$A27&lt;&gt;E$1,feasible_mat!E27=1),(VLOOKUP(E$1,test!$A$3:$I$32,8,FALSE))-(VLOOKUP($A27,test!$A$3:$I$32,9,FALSE)),0)</f>
        <v>0</v>
      </c>
      <c r="F27">
        <f>IF(AND(SUM(VLOOKUP($A27,test!$A$3:$F$32,2,FALSE),VLOOKUP(F$1,test!$A$3:$F$32,2,FALSE))&lt;test!$K$16,$A27&lt;&gt;F$1,feasible_mat!F27=1),(VLOOKUP(F$1,test!$A$3:$I$32,8,FALSE))-(VLOOKUP($A27,test!$A$3:$I$32,9,FALSE)),0)</f>
        <v>0</v>
      </c>
      <c r="G27">
        <f>IF(AND(SUM(VLOOKUP($A27,test!$A$3:$F$32,2,FALSE),VLOOKUP(G$1,test!$A$3:$F$32,2,FALSE))&lt;test!$K$16,$A27&lt;&gt;G$1,feasible_mat!G27=1),(VLOOKUP(G$1,test!$A$3:$I$32,8,FALSE))-(VLOOKUP($A27,test!$A$3:$I$32,9,FALSE)),0)</f>
        <v>0</v>
      </c>
      <c r="H27">
        <f>IF(AND(SUM(VLOOKUP($A27,test!$A$3:$F$32,2,FALSE),VLOOKUP(H$1,test!$A$3:$F$32,2,FALSE))&lt;test!$K$16,$A27&lt;&gt;H$1,feasible_mat!H27=1),(VLOOKUP(H$1,test!$A$3:$I$32,8,FALSE))-(VLOOKUP($A27,test!$A$3:$I$32,9,FALSE)),0)</f>
        <v>40</v>
      </c>
      <c r="I27">
        <f>IF(AND(SUM(VLOOKUP($A27,test!$A$3:$F$32,2,FALSE),VLOOKUP(I$1,test!$A$3:$F$32,2,FALSE))&lt;test!$K$16,$A27&lt;&gt;I$1,feasible_mat!I27=1),(VLOOKUP(I$1,test!$A$3:$I$32,8,FALSE))-(VLOOKUP($A27,test!$A$3:$I$32,9,FALSE)),0)</f>
        <v>100</v>
      </c>
      <c r="J27">
        <f>IF(AND(SUM(VLOOKUP($A27,test!$A$3:$F$32,2,FALSE),VLOOKUP(J$1,test!$A$3:$F$32,2,FALSE))&lt;test!$K$16,$A27&lt;&gt;J$1,feasible_mat!J27=1),(VLOOKUP(J$1,test!$A$3:$I$32,8,FALSE))-(VLOOKUP($A27,test!$A$3:$I$32,9,FALSE)),0)</f>
        <v>190</v>
      </c>
      <c r="K27">
        <f>IF(AND(SUM(VLOOKUP($A27,test!$A$3:$F$32,2,FALSE),VLOOKUP(K$1,test!$A$3:$F$32,2,FALSE))&lt;test!$K$16,$A27&lt;&gt;K$1,feasible_mat!K27=1),(VLOOKUP(K$1,test!$A$3:$I$32,8,FALSE))-(VLOOKUP($A27,test!$A$3:$I$32,9,FALSE)),0)</f>
        <v>0</v>
      </c>
      <c r="L27">
        <f>IF(AND(SUM(VLOOKUP($A27,test!$A$3:$F$32,2,FALSE),VLOOKUP(L$1,test!$A$3:$F$32,2,FALSE))&lt;test!$K$16,$A27&lt;&gt;L$1,feasible_mat!L27=1),(VLOOKUP(L$1,test!$A$3:$I$32,8,FALSE))-(VLOOKUP($A27,test!$A$3:$I$32,9,FALSE)),0)</f>
        <v>0</v>
      </c>
      <c r="M27">
        <f>IF(AND(SUM(VLOOKUP($A27,test!$A$3:$F$32,2,FALSE),VLOOKUP(M$1,test!$A$3:$F$32,2,FALSE))&lt;test!$K$16,$A27&lt;&gt;M$1,feasible_mat!M27=1),(VLOOKUP(M$1,test!$A$3:$I$32,8,FALSE))-(VLOOKUP($A27,test!$A$3:$I$32,9,FALSE)),0)</f>
        <v>0</v>
      </c>
      <c r="N27">
        <f>IF(AND(SUM(VLOOKUP($A27,test!$A$3:$F$32,2,FALSE),VLOOKUP(N$1,test!$A$3:$F$32,2,FALSE))&lt;test!$K$16,$A27&lt;&gt;N$1,feasible_mat!N27=1),(VLOOKUP(N$1,test!$A$3:$I$32,8,FALSE))-(VLOOKUP($A27,test!$A$3:$I$32,9,FALSE)),0)</f>
        <v>155</v>
      </c>
      <c r="O27">
        <f>IF(AND(SUM(VLOOKUP($A27,test!$A$3:$F$32,2,FALSE),VLOOKUP(O$1,test!$A$3:$F$32,2,FALSE))&lt;test!$K$16,$A27&lt;&gt;O$1,feasible_mat!O27=1),(VLOOKUP(O$1,test!$A$3:$I$32,8,FALSE))-(VLOOKUP($A27,test!$A$3:$I$32,9,FALSE)),0)</f>
        <v>215</v>
      </c>
      <c r="P27">
        <f>IF(AND(SUM(VLOOKUP($A27,test!$A$3:$F$32,2,FALSE),VLOOKUP(P$1,test!$A$3:$F$32,2,FALSE))&lt;test!$K$16,$A27&lt;&gt;P$1,feasible_mat!P27=1),(VLOOKUP(P$1,test!$A$3:$I$32,8,FALSE))-(VLOOKUP($A27,test!$A$3:$I$32,9,FALSE)),0)</f>
        <v>0</v>
      </c>
      <c r="Q27">
        <f>IF(AND(SUM(VLOOKUP($A27,test!$A$3:$F$32,2,FALSE),VLOOKUP(Q$1,test!$A$3:$F$32,2,FALSE))&lt;test!$K$16,$A27&lt;&gt;Q$1,feasible_mat!Q27=1),(VLOOKUP(Q$1,test!$A$3:$I$32,8,FALSE))-(VLOOKUP($A27,test!$A$3:$I$32,9,FALSE)),0)</f>
        <v>0</v>
      </c>
      <c r="R27">
        <f>IF(AND(SUM(VLOOKUP($A27,test!$A$3:$F$32,2,FALSE),VLOOKUP(R$1,test!$A$3:$F$32,2,FALSE))&lt;test!$K$16,$A27&lt;&gt;R$1,feasible_mat!R27=1),(VLOOKUP(R$1,test!$A$3:$I$32,8,FALSE))-(VLOOKUP($A27,test!$A$3:$I$32,9,FALSE)),0)</f>
        <v>0</v>
      </c>
      <c r="S27">
        <f>IF(AND(SUM(VLOOKUP($A27,test!$A$3:$F$32,2,FALSE),VLOOKUP(S$1,test!$A$3:$F$32,2,FALSE))&lt;test!$K$16,$A27&lt;&gt;S$1,feasible_mat!S27=1),(VLOOKUP(S$1,test!$A$3:$I$32,8,FALSE))-(VLOOKUP($A27,test!$A$3:$I$32,9,FALSE)),0)</f>
        <v>0</v>
      </c>
      <c r="T27">
        <f>IF(AND(SUM(VLOOKUP($A27,test!$A$3:$F$32,2,FALSE),VLOOKUP(T$1,test!$A$3:$F$32,2,FALSE))&lt;test!$K$16,$A27&lt;&gt;T$1,feasible_mat!T27=1),(VLOOKUP(T$1,test!$A$3:$I$32,8,FALSE))-(VLOOKUP($A27,test!$A$3:$I$32,9,FALSE)),0)</f>
        <v>0</v>
      </c>
      <c r="U27">
        <f>IF(AND(SUM(VLOOKUP($A27,test!$A$3:$F$32,2,FALSE),VLOOKUP(U$1,test!$A$3:$F$32,2,FALSE))&lt;test!$K$16,$A27&lt;&gt;U$1,feasible_mat!U27=1),(VLOOKUP(U$1,test!$A$3:$I$32,8,FALSE))-(VLOOKUP($A27,test!$A$3:$I$32,9,FALSE)),0)</f>
        <v>0</v>
      </c>
      <c r="V27">
        <f>IF(AND(SUM(VLOOKUP($A27,test!$A$3:$F$32,2,FALSE),VLOOKUP(V$1,test!$A$3:$F$32,2,FALSE))&lt;test!$K$16,$A27&lt;&gt;V$1,feasible_mat!V27=1),(VLOOKUP(V$1,test!$A$3:$I$32,8,FALSE))-(VLOOKUP($A27,test!$A$3:$I$32,9,FALSE)),0)</f>
        <v>0</v>
      </c>
      <c r="W27">
        <f>IF(AND(SUM(VLOOKUP($A27,test!$A$3:$F$32,2,FALSE),VLOOKUP(W$1,test!$A$3:$F$32,2,FALSE))&lt;test!$K$16,$A27&lt;&gt;W$1,feasible_mat!W27=1),(VLOOKUP(W$1,test!$A$3:$I$32,8,FALSE))-(VLOOKUP($A27,test!$A$3:$I$32,9,FALSE)),0)</f>
        <v>0</v>
      </c>
      <c r="X27">
        <f>IF(AND(SUM(VLOOKUP($A27,test!$A$3:$F$32,2,FALSE),VLOOKUP(X$1,test!$A$3:$F$32,2,FALSE))&lt;test!$K$16,$A27&lt;&gt;X$1,feasible_mat!X27=1),(VLOOKUP(X$1,test!$A$3:$I$32,8,FALSE))-(VLOOKUP($A27,test!$A$3:$I$32,9,FALSE)),0)</f>
        <v>0</v>
      </c>
      <c r="Y27">
        <f>IF(AND(SUM(VLOOKUP($A27,test!$A$3:$F$32,2,FALSE),VLOOKUP(Y$1,test!$A$3:$F$32,2,FALSE))&lt;test!$K$16,$A27&lt;&gt;Y$1,feasible_mat!Y27=1),(VLOOKUP(Y$1,test!$A$3:$I$32,8,FALSE))-(VLOOKUP($A27,test!$A$3:$I$32,9,FALSE)),0)</f>
        <v>0</v>
      </c>
      <c r="Z27">
        <f>IF(AND(SUM(VLOOKUP($A27,test!$A$3:$F$32,2,FALSE),VLOOKUP(Z$1,test!$A$3:$F$32,2,FALSE))&lt;test!$K$16,$A27&lt;&gt;Z$1,feasible_mat!Z27=1),(VLOOKUP(Z$1,test!$A$3:$I$32,8,FALSE))-(VLOOKUP($A27,test!$A$3:$I$32,9,FALSE)),0)</f>
        <v>0</v>
      </c>
      <c r="AA27">
        <f>IF(AND(SUM(VLOOKUP($A27,test!$A$3:$F$32,2,FALSE),VLOOKUP(AA$1,test!$A$3:$F$32,2,FALSE))&lt;test!$K$16,$A27&lt;&gt;AA$1,feasible_mat!AA27=1),(VLOOKUP(AA$1,test!$A$3:$I$32,8,FALSE))-(VLOOKUP($A27,test!$A$3:$I$32,9,FALSE)),0)</f>
        <v>0</v>
      </c>
      <c r="AB27">
        <f>IF(AND(SUM(VLOOKUP($A27,test!$A$3:$F$32,2,FALSE),VLOOKUP(AB$1,test!$A$3:$F$32,2,FALSE))&lt;test!$K$16,$A27&lt;&gt;AB$1,feasible_mat!AB27=1),(VLOOKUP(AB$1,test!$A$3:$I$32,8,FALSE))-(VLOOKUP($A27,test!$A$3:$I$32,9,FALSE)),0)</f>
        <v>0</v>
      </c>
      <c r="AC27">
        <f>IF(AND(SUM(VLOOKUP($A27,test!$A$3:$F$32,2,FALSE),VLOOKUP(AC$1,test!$A$3:$F$32,2,FALSE))&lt;test!$K$16,$A27&lt;&gt;AC$1,feasible_mat!AC27=1),(VLOOKUP(AC$1,test!$A$3:$I$32,8,FALSE))-(VLOOKUP($A27,test!$A$3:$I$32,9,FALSE)),0)</f>
        <v>0</v>
      </c>
      <c r="AD27">
        <f>IF(AND(SUM(VLOOKUP($A27,test!$A$3:$F$32,2,FALSE),VLOOKUP(AD$1,test!$A$3:$F$32,2,FALSE))&lt;test!$K$16,$A27&lt;&gt;AD$1,feasible_mat!AD27=1),(VLOOKUP(AD$1,test!$A$3:$F$32,8,FALSE))-(VLOOKUP($A27,test!$A$3:$F$32,9,FALSE)),0)</f>
        <v>0</v>
      </c>
      <c r="AE27">
        <f>IF(AND(SUM(VLOOKUP($A27,test!$A$3:$F$32,2,FALSE),VLOOKUP(AE$1,test!$A$3:$F$32,2,FALSE))&lt;test!$K$16,$A27&lt;&gt;AE$1,feasible_mat!AE27=1),(VLOOKUP(AE$1,test!$A$3:$F$32,8,FALSE))-(VLOOKUP($A27,test!$A$3:$F$32,9,FALSE)),0)</f>
        <v>0</v>
      </c>
      <c r="AF27">
        <f>IF(AND(SUM(VLOOKUP($A27,test!$A$3:$F$32,2,FALSE),VLOOKUP(AF$1,test!$A$3:$F$32,2,FALSE))&lt;test!$K$16,$A27&lt;&gt;AF$1,feasible_mat!AF27=1),(VLOOKUP(AF$1,test!$A$3:$F$32,8,FALSE))-(VLOOKUP($A27,test!$A$3:$F$32,9,FALSE)),0)</f>
        <v>0</v>
      </c>
    </row>
    <row r="28" spans="1:32" x14ac:dyDescent="0.25">
      <c r="A28" t="s">
        <v>37</v>
      </c>
      <c r="B28">
        <v>0</v>
      </c>
      <c r="C28">
        <f>IF(AND(SUM(VLOOKUP($A28,test!$A$3:$F$32,2,FALSE),VLOOKUP(C$1,test!$A$3:$F$32,2,FALSE))&lt;test!$K$16,$A28&lt;&gt;C$1,feasible_mat!C28=1),(VLOOKUP(C$1,test!$A$3:$I$32,8,FALSE))-(VLOOKUP($A28,test!$A$3:$I$32,9,FALSE)),0)</f>
        <v>0</v>
      </c>
      <c r="D28">
        <f>IF(AND(SUM(VLOOKUP($A28,test!$A$3:$F$32,2,FALSE),VLOOKUP(D$1,test!$A$3:$F$32,2,FALSE))&lt;test!$K$16,$A28&lt;&gt;D$1,feasible_mat!D28=1),(VLOOKUP(D$1,test!$A$3:$I$32,8,FALSE))-(VLOOKUP($A28,test!$A$3:$I$32,9,FALSE)),0)</f>
        <v>0</v>
      </c>
      <c r="E28">
        <f>IF(AND(SUM(VLOOKUP($A28,test!$A$3:$F$32,2,FALSE),VLOOKUP(E$1,test!$A$3:$F$32,2,FALSE))&lt;test!$K$16,$A28&lt;&gt;E$1,feasible_mat!E28=1),(VLOOKUP(E$1,test!$A$3:$I$32,8,FALSE))-(VLOOKUP($A28,test!$A$3:$I$32,9,FALSE)),0)</f>
        <v>0</v>
      </c>
      <c r="F28">
        <f>IF(AND(SUM(VLOOKUP($A28,test!$A$3:$F$32,2,FALSE),VLOOKUP(F$1,test!$A$3:$F$32,2,FALSE))&lt;test!$K$16,$A28&lt;&gt;F$1,feasible_mat!F28=1),(VLOOKUP(F$1,test!$A$3:$I$32,8,FALSE))-(VLOOKUP($A28,test!$A$3:$I$32,9,FALSE)),0)</f>
        <v>0</v>
      </c>
      <c r="G28">
        <f>IF(AND(SUM(VLOOKUP($A28,test!$A$3:$F$32,2,FALSE),VLOOKUP(G$1,test!$A$3:$F$32,2,FALSE))&lt;test!$K$16,$A28&lt;&gt;G$1,feasible_mat!G28=1),(VLOOKUP(G$1,test!$A$3:$I$32,8,FALSE))-(VLOOKUP($A28,test!$A$3:$I$32,9,FALSE)),0)</f>
        <v>0</v>
      </c>
      <c r="H28">
        <f>IF(AND(SUM(VLOOKUP($A28,test!$A$3:$F$32,2,FALSE),VLOOKUP(H$1,test!$A$3:$F$32,2,FALSE))&lt;test!$K$16,$A28&lt;&gt;H$1,feasible_mat!H28=1),(VLOOKUP(H$1,test!$A$3:$I$32,8,FALSE))-(VLOOKUP($A28,test!$A$3:$I$32,9,FALSE)),0)</f>
        <v>0</v>
      </c>
      <c r="I28">
        <f>IF(AND(SUM(VLOOKUP($A28,test!$A$3:$F$32,2,FALSE),VLOOKUP(I$1,test!$A$3:$F$32,2,FALSE))&lt;test!$K$16,$A28&lt;&gt;I$1,feasible_mat!I28=1),(VLOOKUP(I$1,test!$A$3:$I$32,8,FALSE))-(VLOOKUP($A28,test!$A$3:$I$32,9,FALSE)),0)</f>
        <v>40</v>
      </c>
      <c r="J28">
        <f>IF(AND(SUM(VLOOKUP($A28,test!$A$3:$F$32,2,FALSE),VLOOKUP(J$1,test!$A$3:$F$32,2,FALSE))&lt;test!$K$16,$A28&lt;&gt;J$1,feasible_mat!J28=1),(VLOOKUP(J$1,test!$A$3:$I$32,8,FALSE))-(VLOOKUP($A28,test!$A$3:$I$32,9,FALSE)),0)</f>
        <v>130</v>
      </c>
      <c r="K28">
        <f>IF(AND(SUM(VLOOKUP($A28,test!$A$3:$F$32,2,FALSE),VLOOKUP(K$1,test!$A$3:$F$32,2,FALSE))&lt;test!$K$16,$A28&lt;&gt;K$1,feasible_mat!K28=1),(VLOOKUP(K$1,test!$A$3:$I$32,8,FALSE))-(VLOOKUP($A28,test!$A$3:$I$32,9,FALSE)),0)</f>
        <v>0</v>
      </c>
      <c r="L28">
        <f>IF(AND(SUM(VLOOKUP($A28,test!$A$3:$F$32,2,FALSE),VLOOKUP(L$1,test!$A$3:$F$32,2,FALSE))&lt;test!$K$16,$A28&lt;&gt;L$1,feasible_mat!L28=1),(VLOOKUP(L$1,test!$A$3:$I$32,8,FALSE))-(VLOOKUP($A28,test!$A$3:$I$32,9,FALSE)),0)</f>
        <v>0</v>
      </c>
      <c r="M28">
        <f>IF(AND(SUM(VLOOKUP($A28,test!$A$3:$F$32,2,FALSE),VLOOKUP(M$1,test!$A$3:$F$32,2,FALSE))&lt;test!$K$16,$A28&lt;&gt;M$1,feasible_mat!M28=1),(VLOOKUP(M$1,test!$A$3:$I$32,8,FALSE))-(VLOOKUP($A28,test!$A$3:$I$32,9,FALSE)),0)</f>
        <v>0</v>
      </c>
      <c r="N28">
        <f>IF(AND(SUM(VLOOKUP($A28,test!$A$3:$F$32,2,FALSE),VLOOKUP(N$1,test!$A$3:$F$32,2,FALSE))&lt;test!$K$16,$A28&lt;&gt;N$1,feasible_mat!N28=1),(VLOOKUP(N$1,test!$A$3:$I$32,8,FALSE))-(VLOOKUP($A28,test!$A$3:$I$32,9,FALSE)),0)</f>
        <v>95</v>
      </c>
      <c r="O28">
        <f>IF(AND(SUM(VLOOKUP($A28,test!$A$3:$F$32,2,FALSE),VLOOKUP(O$1,test!$A$3:$F$32,2,FALSE))&lt;test!$K$16,$A28&lt;&gt;O$1,feasible_mat!O28=1),(VLOOKUP(O$1,test!$A$3:$I$32,8,FALSE))-(VLOOKUP($A28,test!$A$3:$I$32,9,FALSE)),0)</f>
        <v>155</v>
      </c>
      <c r="P28">
        <f>IF(AND(SUM(VLOOKUP($A28,test!$A$3:$F$32,2,FALSE),VLOOKUP(P$1,test!$A$3:$F$32,2,FALSE))&lt;test!$K$16,$A28&lt;&gt;P$1,feasible_mat!P28=1),(VLOOKUP(P$1,test!$A$3:$I$32,8,FALSE))-(VLOOKUP($A28,test!$A$3:$I$32,9,FALSE)),0)</f>
        <v>0</v>
      </c>
      <c r="Q28">
        <f>IF(AND(SUM(VLOOKUP($A28,test!$A$3:$F$32,2,FALSE),VLOOKUP(Q$1,test!$A$3:$F$32,2,FALSE))&lt;test!$K$16,$A28&lt;&gt;Q$1,feasible_mat!Q28=1),(VLOOKUP(Q$1,test!$A$3:$I$32,8,FALSE))-(VLOOKUP($A28,test!$A$3:$I$32,9,FALSE)),0)</f>
        <v>0</v>
      </c>
      <c r="R28">
        <f>IF(AND(SUM(VLOOKUP($A28,test!$A$3:$F$32,2,FALSE),VLOOKUP(R$1,test!$A$3:$F$32,2,FALSE))&lt;test!$K$16,$A28&lt;&gt;R$1,feasible_mat!R28=1),(VLOOKUP(R$1,test!$A$3:$I$32,8,FALSE))-(VLOOKUP($A28,test!$A$3:$I$32,9,FALSE)),0)</f>
        <v>0</v>
      </c>
      <c r="S28">
        <f>IF(AND(SUM(VLOOKUP($A28,test!$A$3:$F$32,2,FALSE),VLOOKUP(S$1,test!$A$3:$F$32,2,FALSE))&lt;test!$K$16,$A28&lt;&gt;S$1,feasible_mat!S28=1),(VLOOKUP(S$1,test!$A$3:$I$32,8,FALSE))-(VLOOKUP($A28,test!$A$3:$I$32,9,FALSE)),0)</f>
        <v>0</v>
      </c>
      <c r="T28">
        <f>IF(AND(SUM(VLOOKUP($A28,test!$A$3:$F$32,2,FALSE),VLOOKUP(T$1,test!$A$3:$F$32,2,FALSE))&lt;test!$K$16,$A28&lt;&gt;T$1,feasible_mat!T28=1),(VLOOKUP(T$1,test!$A$3:$I$32,8,FALSE))-(VLOOKUP($A28,test!$A$3:$I$32,9,FALSE)),0)</f>
        <v>0</v>
      </c>
      <c r="U28">
        <f>IF(AND(SUM(VLOOKUP($A28,test!$A$3:$F$32,2,FALSE),VLOOKUP(U$1,test!$A$3:$F$32,2,FALSE))&lt;test!$K$16,$A28&lt;&gt;U$1,feasible_mat!U28=1),(VLOOKUP(U$1,test!$A$3:$I$32,8,FALSE))-(VLOOKUP($A28,test!$A$3:$I$32,9,FALSE)),0)</f>
        <v>0</v>
      </c>
      <c r="V28">
        <f>IF(AND(SUM(VLOOKUP($A28,test!$A$3:$F$32,2,FALSE),VLOOKUP(V$1,test!$A$3:$F$32,2,FALSE))&lt;test!$K$16,$A28&lt;&gt;V$1,feasible_mat!V28=1),(VLOOKUP(V$1,test!$A$3:$I$32,8,FALSE))-(VLOOKUP($A28,test!$A$3:$I$32,9,FALSE)),0)</f>
        <v>0</v>
      </c>
      <c r="W28">
        <f>IF(AND(SUM(VLOOKUP($A28,test!$A$3:$F$32,2,FALSE),VLOOKUP(W$1,test!$A$3:$F$32,2,FALSE))&lt;test!$K$16,$A28&lt;&gt;W$1,feasible_mat!W28=1),(VLOOKUP(W$1,test!$A$3:$I$32,8,FALSE))-(VLOOKUP($A28,test!$A$3:$I$32,9,FALSE)),0)</f>
        <v>0</v>
      </c>
      <c r="X28">
        <f>IF(AND(SUM(VLOOKUP($A28,test!$A$3:$F$32,2,FALSE),VLOOKUP(X$1,test!$A$3:$F$32,2,FALSE))&lt;test!$K$16,$A28&lt;&gt;X$1,feasible_mat!X28=1),(VLOOKUP(X$1,test!$A$3:$I$32,8,FALSE))-(VLOOKUP($A28,test!$A$3:$I$32,9,FALSE)),0)</f>
        <v>0</v>
      </c>
      <c r="Y28">
        <f>IF(AND(SUM(VLOOKUP($A28,test!$A$3:$F$32,2,FALSE),VLOOKUP(Y$1,test!$A$3:$F$32,2,FALSE))&lt;test!$K$16,$A28&lt;&gt;Y$1,feasible_mat!Y28=1),(VLOOKUP(Y$1,test!$A$3:$I$32,8,FALSE))-(VLOOKUP($A28,test!$A$3:$I$32,9,FALSE)),0)</f>
        <v>0</v>
      </c>
      <c r="Z28">
        <f>IF(AND(SUM(VLOOKUP($A28,test!$A$3:$F$32,2,FALSE),VLOOKUP(Z$1,test!$A$3:$F$32,2,FALSE))&lt;test!$K$16,$A28&lt;&gt;Z$1,feasible_mat!Z28=1),(VLOOKUP(Z$1,test!$A$3:$I$32,8,FALSE))-(VLOOKUP($A28,test!$A$3:$I$32,9,FALSE)),0)</f>
        <v>0</v>
      </c>
      <c r="AA28">
        <f>IF(AND(SUM(VLOOKUP($A28,test!$A$3:$F$32,2,FALSE),VLOOKUP(AA$1,test!$A$3:$F$32,2,FALSE))&lt;test!$K$16,$A28&lt;&gt;AA$1,feasible_mat!AA28=1),(VLOOKUP(AA$1,test!$A$3:$I$32,8,FALSE))-(VLOOKUP($A28,test!$A$3:$I$32,9,FALSE)),0)</f>
        <v>0</v>
      </c>
      <c r="AB28">
        <f>IF(AND(SUM(VLOOKUP($A28,test!$A$3:$F$32,2,FALSE),VLOOKUP(AB$1,test!$A$3:$F$32,2,FALSE))&lt;test!$K$16,$A28&lt;&gt;AB$1,feasible_mat!AB28=1),(VLOOKUP(AB$1,test!$A$3:$I$32,8,FALSE))-(VLOOKUP($A28,test!$A$3:$I$32,9,FALSE)),0)</f>
        <v>0</v>
      </c>
      <c r="AC28">
        <f>IF(AND(SUM(VLOOKUP($A28,test!$A$3:$F$32,2,FALSE),VLOOKUP(AC$1,test!$A$3:$F$32,2,FALSE))&lt;test!$K$16,$A28&lt;&gt;AC$1,feasible_mat!AC28=1),(VLOOKUP(AC$1,test!$A$3:$I$32,8,FALSE))-(VLOOKUP($A28,test!$A$3:$I$32,9,FALSE)),0)</f>
        <v>0</v>
      </c>
      <c r="AD28">
        <f>IF(AND(SUM(VLOOKUP($A28,test!$A$3:$F$32,2,FALSE),VLOOKUP(AD$1,test!$A$3:$F$32,2,FALSE))&lt;test!$K$16,$A28&lt;&gt;AD$1,feasible_mat!AD28=1),(VLOOKUP(AD$1,test!$A$3:$F$32,8,FALSE))-(VLOOKUP($A28,test!$A$3:$F$32,9,FALSE)),0)</f>
        <v>0</v>
      </c>
      <c r="AE28">
        <f>IF(AND(SUM(VLOOKUP($A28,test!$A$3:$F$32,2,FALSE),VLOOKUP(AE$1,test!$A$3:$F$32,2,FALSE))&lt;test!$K$16,$A28&lt;&gt;AE$1,feasible_mat!AE28=1),(VLOOKUP(AE$1,test!$A$3:$F$32,8,FALSE))-(VLOOKUP($A28,test!$A$3:$F$32,9,FALSE)),0)</f>
        <v>0</v>
      </c>
      <c r="AF28">
        <f>IF(AND(SUM(VLOOKUP($A28,test!$A$3:$F$32,2,FALSE),VLOOKUP(AF$1,test!$A$3:$F$32,2,FALSE))&lt;test!$K$16,$A28&lt;&gt;AF$1,feasible_mat!AF28=1),(VLOOKUP(AF$1,test!$A$3:$F$32,8,FALSE))-(VLOOKUP($A28,test!$A$3:$F$32,9,FALSE)),0)</f>
        <v>0</v>
      </c>
    </row>
    <row r="29" spans="1:32" x14ac:dyDescent="0.25">
      <c r="A29" t="s">
        <v>38</v>
      </c>
      <c r="B29">
        <v>0</v>
      </c>
      <c r="C29">
        <f>IF(AND(SUM(VLOOKUP($A29,test!$A$3:$F$32,2,FALSE),VLOOKUP(C$1,test!$A$3:$F$32,2,FALSE))&lt;test!$K$16,$A29&lt;&gt;C$1,feasible_mat!C29=1),(VLOOKUP(C$1,test!$A$3:$I$32,8,FALSE))-(VLOOKUP($A29,test!$A$3:$I$32,9,FALSE)),0)</f>
        <v>0</v>
      </c>
      <c r="D29">
        <f>IF(AND(SUM(VLOOKUP($A29,test!$A$3:$F$32,2,FALSE),VLOOKUP(D$1,test!$A$3:$F$32,2,FALSE))&lt;test!$K$16,$A29&lt;&gt;D$1,feasible_mat!D29=1),(VLOOKUP(D$1,test!$A$3:$I$32,8,FALSE))-(VLOOKUP($A29,test!$A$3:$I$32,9,FALSE)),0)</f>
        <v>0</v>
      </c>
      <c r="E29">
        <f>IF(AND(SUM(VLOOKUP($A29,test!$A$3:$F$32,2,FALSE),VLOOKUP(E$1,test!$A$3:$F$32,2,FALSE))&lt;test!$K$16,$A29&lt;&gt;E$1,feasible_mat!E29=1),(VLOOKUP(E$1,test!$A$3:$I$32,8,FALSE))-(VLOOKUP($A29,test!$A$3:$I$32,9,FALSE)),0)</f>
        <v>0</v>
      </c>
      <c r="F29">
        <f>IF(AND(SUM(VLOOKUP($A29,test!$A$3:$F$32,2,FALSE),VLOOKUP(F$1,test!$A$3:$F$32,2,FALSE))&lt;test!$K$16,$A29&lt;&gt;F$1,feasible_mat!F29=1),(VLOOKUP(F$1,test!$A$3:$I$32,8,FALSE))-(VLOOKUP($A29,test!$A$3:$I$32,9,FALSE)),0)</f>
        <v>0</v>
      </c>
      <c r="G29">
        <f>IF(AND(SUM(VLOOKUP($A29,test!$A$3:$F$32,2,FALSE),VLOOKUP(G$1,test!$A$3:$F$32,2,FALSE))&lt;test!$K$16,$A29&lt;&gt;G$1,feasible_mat!G29=1),(VLOOKUP(G$1,test!$A$3:$I$32,8,FALSE))-(VLOOKUP($A29,test!$A$3:$I$32,9,FALSE)),0)</f>
        <v>0</v>
      </c>
      <c r="H29">
        <f>IF(AND(SUM(VLOOKUP($A29,test!$A$3:$F$32,2,FALSE),VLOOKUP(H$1,test!$A$3:$F$32,2,FALSE))&lt;test!$K$16,$A29&lt;&gt;H$1,feasible_mat!H29=1),(VLOOKUP(H$1,test!$A$3:$I$32,8,FALSE))-(VLOOKUP($A29,test!$A$3:$I$32,9,FALSE)),0)</f>
        <v>0</v>
      </c>
      <c r="I29">
        <f>IF(AND(SUM(VLOOKUP($A29,test!$A$3:$F$32,2,FALSE),VLOOKUP(I$1,test!$A$3:$F$32,2,FALSE))&lt;test!$K$16,$A29&lt;&gt;I$1,feasible_mat!I29=1),(VLOOKUP(I$1,test!$A$3:$I$32,8,FALSE))-(VLOOKUP($A29,test!$A$3:$I$32,9,FALSE)),0)</f>
        <v>0</v>
      </c>
      <c r="J29">
        <f>IF(AND(SUM(VLOOKUP($A29,test!$A$3:$F$32,2,FALSE),VLOOKUP(J$1,test!$A$3:$F$32,2,FALSE))&lt;test!$K$16,$A29&lt;&gt;J$1,feasible_mat!J29=1),(VLOOKUP(J$1,test!$A$3:$I$32,8,FALSE))-(VLOOKUP($A29,test!$A$3:$I$32,9,FALSE)),0)</f>
        <v>0</v>
      </c>
      <c r="K29">
        <f>IF(AND(SUM(VLOOKUP($A29,test!$A$3:$F$32,2,FALSE),VLOOKUP(K$1,test!$A$3:$F$32,2,FALSE))&lt;test!$K$16,$A29&lt;&gt;K$1,feasible_mat!K29=1),(VLOOKUP(K$1,test!$A$3:$I$32,8,FALSE))-(VLOOKUP($A29,test!$A$3:$I$32,9,FALSE)),0)</f>
        <v>0</v>
      </c>
      <c r="L29">
        <f>IF(AND(SUM(VLOOKUP($A29,test!$A$3:$F$32,2,FALSE),VLOOKUP(L$1,test!$A$3:$F$32,2,FALSE))&lt;test!$K$16,$A29&lt;&gt;L$1,feasible_mat!L29=1),(VLOOKUP(L$1,test!$A$3:$I$32,8,FALSE))-(VLOOKUP($A29,test!$A$3:$I$32,9,FALSE)),0)</f>
        <v>0</v>
      </c>
      <c r="M29">
        <f>IF(AND(SUM(VLOOKUP($A29,test!$A$3:$F$32,2,FALSE),VLOOKUP(M$1,test!$A$3:$F$32,2,FALSE))&lt;test!$K$16,$A29&lt;&gt;M$1,feasible_mat!M29=1),(VLOOKUP(M$1,test!$A$3:$I$32,8,FALSE))-(VLOOKUP($A29,test!$A$3:$I$32,9,FALSE)),0)</f>
        <v>0</v>
      </c>
      <c r="N29">
        <f>IF(AND(SUM(VLOOKUP($A29,test!$A$3:$F$32,2,FALSE),VLOOKUP(N$1,test!$A$3:$F$32,2,FALSE))&lt;test!$K$16,$A29&lt;&gt;N$1,feasible_mat!N29=1),(VLOOKUP(N$1,test!$A$3:$I$32,8,FALSE))-(VLOOKUP($A29,test!$A$3:$I$32,9,FALSE)),0)</f>
        <v>0</v>
      </c>
      <c r="O29">
        <f>IF(AND(SUM(VLOOKUP($A29,test!$A$3:$F$32,2,FALSE),VLOOKUP(O$1,test!$A$3:$F$32,2,FALSE))&lt;test!$K$16,$A29&lt;&gt;O$1,feasible_mat!O29=1),(VLOOKUP(O$1,test!$A$3:$I$32,8,FALSE))-(VLOOKUP($A29,test!$A$3:$I$32,9,FALSE)),0)</f>
        <v>35</v>
      </c>
      <c r="P29">
        <f>IF(AND(SUM(VLOOKUP($A29,test!$A$3:$F$32,2,FALSE),VLOOKUP(P$1,test!$A$3:$F$32,2,FALSE))&lt;test!$K$16,$A29&lt;&gt;P$1,feasible_mat!P29=1),(VLOOKUP(P$1,test!$A$3:$I$32,8,FALSE))-(VLOOKUP($A29,test!$A$3:$I$32,9,FALSE)),0)</f>
        <v>0</v>
      </c>
      <c r="Q29">
        <f>IF(AND(SUM(VLOOKUP($A29,test!$A$3:$F$32,2,FALSE),VLOOKUP(Q$1,test!$A$3:$F$32,2,FALSE))&lt;test!$K$16,$A29&lt;&gt;Q$1,feasible_mat!Q29=1),(VLOOKUP(Q$1,test!$A$3:$I$32,8,FALSE))-(VLOOKUP($A29,test!$A$3:$I$32,9,FALSE)),0)</f>
        <v>0</v>
      </c>
      <c r="R29">
        <f>IF(AND(SUM(VLOOKUP($A29,test!$A$3:$F$32,2,FALSE),VLOOKUP(R$1,test!$A$3:$F$32,2,FALSE))&lt;test!$K$16,$A29&lt;&gt;R$1,feasible_mat!R29=1),(VLOOKUP(R$1,test!$A$3:$I$32,8,FALSE))-(VLOOKUP($A29,test!$A$3:$I$32,9,FALSE)),0)</f>
        <v>0</v>
      </c>
      <c r="S29">
        <f>IF(AND(SUM(VLOOKUP($A29,test!$A$3:$F$32,2,FALSE),VLOOKUP(S$1,test!$A$3:$F$32,2,FALSE))&lt;test!$K$16,$A29&lt;&gt;S$1,feasible_mat!S29=1),(VLOOKUP(S$1,test!$A$3:$I$32,8,FALSE))-(VLOOKUP($A29,test!$A$3:$I$32,9,FALSE)),0)</f>
        <v>0</v>
      </c>
      <c r="T29">
        <f>IF(AND(SUM(VLOOKUP($A29,test!$A$3:$F$32,2,FALSE),VLOOKUP(T$1,test!$A$3:$F$32,2,FALSE))&lt;test!$K$16,$A29&lt;&gt;T$1,feasible_mat!T29=1),(VLOOKUP(T$1,test!$A$3:$I$32,8,FALSE))-(VLOOKUP($A29,test!$A$3:$I$32,9,FALSE)),0)</f>
        <v>0</v>
      </c>
      <c r="U29">
        <f>IF(AND(SUM(VLOOKUP($A29,test!$A$3:$F$32,2,FALSE),VLOOKUP(U$1,test!$A$3:$F$32,2,FALSE))&lt;test!$K$16,$A29&lt;&gt;U$1,feasible_mat!U29=1),(VLOOKUP(U$1,test!$A$3:$I$32,8,FALSE))-(VLOOKUP($A29,test!$A$3:$I$32,9,FALSE)),0)</f>
        <v>0</v>
      </c>
      <c r="V29">
        <f>IF(AND(SUM(VLOOKUP($A29,test!$A$3:$F$32,2,FALSE),VLOOKUP(V$1,test!$A$3:$F$32,2,FALSE))&lt;test!$K$16,$A29&lt;&gt;V$1,feasible_mat!V29=1),(VLOOKUP(V$1,test!$A$3:$I$32,8,FALSE))-(VLOOKUP($A29,test!$A$3:$I$32,9,FALSE)),0)</f>
        <v>0</v>
      </c>
      <c r="W29">
        <f>IF(AND(SUM(VLOOKUP($A29,test!$A$3:$F$32,2,FALSE),VLOOKUP(W$1,test!$A$3:$F$32,2,FALSE))&lt;test!$K$16,$A29&lt;&gt;W$1,feasible_mat!W29=1),(VLOOKUP(W$1,test!$A$3:$I$32,8,FALSE))-(VLOOKUP($A29,test!$A$3:$I$32,9,FALSE)),0)</f>
        <v>0</v>
      </c>
      <c r="X29">
        <f>IF(AND(SUM(VLOOKUP($A29,test!$A$3:$F$32,2,FALSE),VLOOKUP(X$1,test!$A$3:$F$32,2,FALSE))&lt;test!$K$16,$A29&lt;&gt;X$1,feasible_mat!X29=1),(VLOOKUP(X$1,test!$A$3:$I$32,8,FALSE))-(VLOOKUP($A29,test!$A$3:$I$32,9,FALSE)),0)</f>
        <v>0</v>
      </c>
      <c r="Y29">
        <f>IF(AND(SUM(VLOOKUP($A29,test!$A$3:$F$32,2,FALSE),VLOOKUP(Y$1,test!$A$3:$F$32,2,FALSE))&lt;test!$K$16,$A29&lt;&gt;Y$1,feasible_mat!Y29=1),(VLOOKUP(Y$1,test!$A$3:$I$32,8,FALSE))-(VLOOKUP($A29,test!$A$3:$I$32,9,FALSE)),0)</f>
        <v>0</v>
      </c>
      <c r="Z29">
        <f>IF(AND(SUM(VLOOKUP($A29,test!$A$3:$F$32,2,FALSE),VLOOKUP(Z$1,test!$A$3:$F$32,2,FALSE))&lt;test!$K$16,$A29&lt;&gt;Z$1,feasible_mat!Z29=1),(VLOOKUP(Z$1,test!$A$3:$I$32,8,FALSE))-(VLOOKUP($A29,test!$A$3:$I$32,9,FALSE)),0)</f>
        <v>0</v>
      </c>
      <c r="AA29">
        <f>IF(AND(SUM(VLOOKUP($A29,test!$A$3:$F$32,2,FALSE),VLOOKUP(AA$1,test!$A$3:$F$32,2,FALSE))&lt;test!$K$16,$A29&lt;&gt;AA$1,feasible_mat!AA29=1),(VLOOKUP(AA$1,test!$A$3:$I$32,8,FALSE))-(VLOOKUP($A29,test!$A$3:$I$32,9,FALSE)),0)</f>
        <v>0</v>
      </c>
      <c r="AB29">
        <f>IF(AND(SUM(VLOOKUP($A29,test!$A$3:$F$32,2,FALSE),VLOOKUP(AB$1,test!$A$3:$F$32,2,FALSE))&lt;test!$K$16,$A29&lt;&gt;AB$1,feasible_mat!AB29=1),(VLOOKUP(AB$1,test!$A$3:$I$32,8,FALSE))-(VLOOKUP($A29,test!$A$3:$I$32,9,FALSE)),0)</f>
        <v>0</v>
      </c>
      <c r="AC29">
        <f>IF(AND(SUM(VLOOKUP($A29,test!$A$3:$F$32,2,FALSE),VLOOKUP(AC$1,test!$A$3:$F$32,2,FALSE))&lt;test!$K$16,$A29&lt;&gt;AC$1,feasible_mat!AC29=1),(VLOOKUP(AC$1,test!$A$3:$I$32,8,FALSE))-(VLOOKUP($A29,test!$A$3:$I$32,9,FALSE)),0)</f>
        <v>0</v>
      </c>
      <c r="AD29">
        <f>IF(AND(SUM(VLOOKUP($A29,test!$A$3:$F$32,2,FALSE),VLOOKUP(AD$1,test!$A$3:$F$32,2,FALSE))&lt;test!$K$16,$A29&lt;&gt;AD$1,feasible_mat!AD29=1),(VLOOKUP(AD$1,test!$A$3:$F$32,8,FALSE))-(VLOOKUP($A29,test!$A$3:$F$32,9,FALSE)),0)</f>
        <v>0</v>
      </c>
      <c r="AE29">
        <f>IF(AND(SUM(VLOOKUP($A29,test!$A$3:$F$32,2,FALSE),VLOOKUP(AE$1,test!$A$3:$F$32,2,FALSE))&lt;test!$K$16,$A29&lt;&gt;AE$1,feasible_mat!AE29=1),(VLOOKUP(AE$1,test!$A$3:$F$32,8,FALSE))-(VLOOKUP($A29,test!$A$3:$F$32,9,FALSE)),0)</f>
        <v>0</v>
      </c>
      <c r="AF29">
        <f>IF(AND(SUM(VLOOKUP($A29,test!$A$3:$F$32,2,FALSE),VLOOKUP(AF$1,test!$A$3:$F$32,2,FALSE))&lt;test!$K$16,$A29&lt;&gt;AF$1,feasible_mat!AF29=1),(VLOOKUP(AF$1,test!$A$3:$F$32,8,FALSE))-(VLOOKUP($A29,test!$A$3:$F$32,9,FALSE)),0)</f>
        <v>0</v>
      </c>
    </row>
    <row r="30" spans="1:32" x14ac:dyDescent="0.25">
      <c r="A30" t="s">
        <v>39</v>
      </c>
      <c r="B30">
        <v>0</v>
      </c>
      <c r="C30">
        <f>IF(AND(SUM(VLOOKUP($A30,test!$A$3:$F$32,2,FALSE),VLOOKUP(C$1,test!$A$3:$F$32,2,FALSE))&lt;test!$K$16,$A30&lt;&gt;C$1,feasible_mat!C30=1),(VLOOKUP(C$1,test!$A$3:$I$32,8,FALSE))-(VLOOKUP($A30,test!$A$3:$I$32,9,FALSE)),0)</f>
        <v>0</v>
      </c>
      <c r="D30">
        <f>IF(AND(SUM(VLOOKUP($A30,test!$A$3:$F$32,2,FALSE),VLOOKUP(D$1,test!$A$3:$F$32,2,FALSE))&lt;test!$K$16,$A30&lt;&gt;D$1,feasible_mat!D30=1),(VLOOKUP(D$1,test!$A$3:$I$32,8,FALSE))-(VLOOKUP($A30,test!$A$3:$I$32,9,FALSE)),0)</f>
        <v>0</v>
      </c>
      <c r="E30">
        <f>IF(AND(SUM(VLOOKUP($A30,test!$A$3:$F$32,2,FALSE),VLOOKUP(E$1,test!$A$3:$F$32,2,FALSE))&lt;test!$K$16,$A30&lt;&gt;E$1,feasible_mat!E30=1),(VLOOKUP(E$1,test!$A$3:$I$32,8,FALSE))-(VLOOKUP($A30,test!$A$3:$I$32,9,FALSE)),0)</f>
        <v>0</v>
      </c>
      <c r="F30">
        <f>IF(AND(SUM(VLOOKUP($A30,test!$A$3:$F$32,2,FALSE),VLOOKUP(F$1,test!$A$3:$F$32,2,FALSE))&lt;test!$K$16,$A30&lt;&gt;F$1,feasible_mat!F30=1),(VLOOKUP(F$1,test!$A$3:$I$32,8,FALSE))-(VLOOKUP($A30,test!$A$3:$I$32,9,FALSE)),0)</f>
        <v>0</v>
      </c>
      <c r="G30">
        <f>IF(AND(SUM(VLOOKUP($A30,test!$A$3:$F$32,2,FALSE),VLOOKUP(G$1,test!$A$3:$F$32,2,FALSE))&lt;test!$K$16,$A30&lt;&gt;G$1,feasible_mat!G30=1),(VLOOKUP(G$1,test!$A$3:$I$32,8,FALSE))-(VLOOKUP($A30,test!$A$3:$I$32,9,FALSE)),0)</f>
        <v>0</v>
      </c>
      <c r="H30">
        <f>IF(AND(SUM(VLOOKUP($A30,test!$A$3:$F$32,2,FALSE),VLOOKUP(H$1,test!$A$3:$F$32,2,FALSE))&lt;test!$K$16,$A30&lt;&gt;H$1,feasible_mat!H30=1),(VLOOKUP(H$1,test!$A$3:$I$32,8,FALSE))-(VLOOKUP($A30,test!$A$3:$I$32,9,FALSE)),0)</f>
        <v>0</v>
      </c>
      <c r="I30">
        <f>IF(AND(SUM(VLOOKUP($A30,test!$A$3:$F$32,2,FALSE),VLOOKUP(I$1,test!$A$3:$F$32,2,FALSE))&lt;test!$K$16,$A30&lt;&gt;I$1,feasible_mat!I30=1),(VLOOKUP(I$1,test!$A$3:$I$32,8,FALSE))-(VLOOKUP($A30,test!$A$3:$I$32,9,FALSE)),0)</f>
        <v>0</v>
      </c>
      <c r="J30">
        <f>IF(AND(SUM(VLOOKUP($A30,test!$A$3:$F$32,2,FALSE),VLOOKUP(J$1,test!$A$3:$F$32,2,FALSE))&lt;test!$K$16,$A30&lt;&gt;J$1,feasible_mat!J30=1),(VLOOKUP(J$1,test!$A$3:$I$32,8,FALSE))-(VLOOKUP($A30,test!$A$3:$I$32,9,FALSE)),0)</f>
        <v>0</v>
      </c>
      <c r="K30">
        <f>IF(AND(SUM(VLOOKUP($A30,test!$A$3:$F$32,2,FALSE),VLOOKUP(K$1,test!$A$3:$F$32,2,FALSE))&lt;test!$K$16,$A30&lt;&gt;K$1,feasible_mat!K30=1),(VLOOKUP(K$1,test!$A$3:$I$32,8,FALSE))-(VLOOKUP($A30,test!$A$3:$I$32,9,FALSE)),0)</f>
        <v>0</v>
      </c>
      <c r="L30">
        <f>IF(AND(SUM(VLOOKUP($A30,test!$A$3:$F$32,2,FALSE),VLOOKUP(L$1,test!$A$3:$F$32,2,FALSE))&lt;test!$K$16,$A30&lt;&gt;L$1,feasible_mat!L30=1),(VLOOKUP(L$1,test!$A$3:$I$32,8,FALSE))-(VLOOKUP($A30,test!$A$3:$I$32,9,FALSE)),0)</f>
        <v>0</v>
      </c>
      <c r="M30">
        <f>IF(AND(SUM(VLOOKUP($A30,test!$A$3:$F$32,2,FALSE),VLOOKUP(M$1,test!$A$3:$F$32,2,FALSE))&lt;test!$K$16,$A30&lt;&gt;M$1,feasible_mat!M30=1),(VLOOKUP(M$1,test!$A$3:$I$32,8,FALSE))-(VLOOKUP($A30,test!$A$3:$I$32,9,FALSE)),0)</f>
        <v>0</v>
      </c>
      <c r="N30">
        <f>IF(AND(SUM(VLOOKUP($A30,test!$A$3:$F$32,2,FALSE),VLOOKUP(N$1,test!$A$3:$F$32,2,FALSE))&lt;test!$K$16,$A30&lt;&gt;N$1,feasible_mat!N30=1),(VLOOKUP(N$1,test!$A$3:$I$32,8,FALSE))-(VLOOKUP($A30,test!$A$3:$I$32,9,FALSE)),0)</f>
        <v>0</v>
      </c>
      <c r="O30">
        <f>IF(AND(SUM(VLOOKUP($A30,test!$A$3:$F$32,2,FALSE),VLOOKUP(O$1,test!$A$3:$F$32,2,FALSE))&lt;test!$K$16,$A30&lt;&gt;O$1,feasible_mat!O30=1),(VLOOKUP(O$1,test!$A$3:$I$32,8,FALSE))-(VLOOKUP($A30,test!$A$3:$I$32,9,FALSE)),0)</f>
        <v>0</v>
      </c>
      <c r="P30">
        <f>IF(AND(SUM(VLOOKUP($A30,test!$A$3:$F$32,2,FALSE),VLOOKUP(P$1,test!$A$3:$F$32,2,FALSE))&lt;test!$K$16,$A30&lt;&gt;P$1,feasible_mat!P30=1),(VLOOKUP(P$1,test!$A$3:$I$32,8,FALSE))-(VLOOKUP($A30,test!$A$3:$I$32,9,FALSE)),0)</f>
        <v>0</v>
      </c>
      <c r="Q30">
        <f>IF(AND(SUM(VLOOKUP($A30,test!$A$3:$F$32,2,FALSE),VLOOKUP(Q$1,test!$A$3:$F$32,2,FALSE))&lt;test!$K$16,$A30&lt;&gt;Q$1,feasible_mat!Q30=1),(VLOOKUP(Q$1,test!$A$3:$I$32,8,FALSE))-(VLOOKUP($A30,test!$A$3:$I$32,9,FALSE)),0)</f>
        <v>0</v>
      </c>
      <c r="R30">
        <f>IF(AND(SUM(VLOOKUP($A30,test!$A$3:$F$32,2,FALSE),VLOOKUP(R$1,test!$A$3:$F$32,2,FALSE))&lt;test!$K$16,$A30&lt;&gt;R$1,feasible_mat!R30=1),(VLOOKUP(R$1,test!$A$3:$I$32,8,FALSE))-(VLOOKUP($A30,test!$A$3:$I$32,9,FALSE)),0)</f>
        <v>0</v>
      </c>
      <c r="S30">
        <f>IF(AND(SUM(VLOOKUP($A30,test!$A$3:$F$32,2,FALSE),VLOOKUP(S$1,test!$A$3:$F$32,2,FALSE))&lt;test!$K$16,$A30&lt;&gt;S$1,feasible_mat!S30=1),(VLOOKUP(S$1,test!$A$3:$I$32,8,FALSE))-(VLOOKUP($A30,test!$A$3:$I$32,9,FALSE)),0)</f>
        <v>0</v>
      </c>
      <c r="T30">
        <f>IF(AND(SUM(VLOOKUP($A30,test!$A$3:$F$32,2,FALSE),VLOOKUP(T$1,test!$A$3:$F$32,2,FALSE))&lt;test!$K$16,$A30&lt;&gt;T$1,feasible_mat!T30=1),(VLOOKUP(T$1,test!$A$3:$I$32,8,FALSE))-(VLOOKUP($A30,test!$A$3:$I$32,9,FALSE)),0)</f>
        <v>0</v>
      </c>
      <c r="U30">
        <f>IF(AND(SUM(VLOOKUP($A30,test!$A$3:$F$32,2,FALSE),VLOOKUP(U$1,test!$A$3:$F$32,2,FALSE))&lt;test!$K$16,$A30&lt;&gt;U$1,feasible_mat!U30=1),(VLOOKUP(U$1,test!$A$3:$I$32,8,FALSE))-(VLOOKUP($A30,test!$A$3:$I$32,9,FALSE)),0)</f>
        <v>0</v>
      </c>
      <c r="V30">
        <f>IF(AND(SUM(VLOOKUP($A30,test!$A$3:$F$32,2,FALSE),VLOOKUP(V$1,test!$A$3:$F$32,2,FALSE))&lt;test!$K$16,$A30&lt;&gt;V$1,feasible_mat!V30=1),(VLOOKUP(V$1,test!$A$3:$I$32,8,FALSE))-(VLOOKUP($A30,test!$A$3:$I$32,9,FALSE)),0)</f>
        <v>0</v>
      </c>
      <c r="W30">
        <f>IF(AND(SUM(VLOOKUP($A30,test!$A$3:$F$32,2,FALSE),VLOOKUP(W$1,test!$A$3:$F$32,2,FALSE))&lt;test!$K$16,$A30&lt;&gt;W$1,feasible_mat!W30=1),(VLOOKUP(W$1,test!$A$3:$I$32,8,FALSE))-(VLOOKUP($A30,test!$A$3:$I$32,9,FALSE)),0)</f>
        <v>0</v>
      </c>
      <c r="X30">
        <f>IF(AND(SUM(VLOOKUP($A30,test!$A$3:$F$32,2,FALSE),VLOOKUP(X$1,test!$A$3:$F$32,2,FALSE))&lt;test!$K$16,$A30&lt;&gt;X$1,feasible_mat!X30=1),(VLOOKUP(X$1,test!$A$3:$I$32,8,FALSE))-(VLOOKUP($A30,test!$A$3:$I$32,9,FALSE)),0)</f>
        <v>0</v>
      </c>
      <c r="Y30">
        <f>IF(AND(SUM(VLOOKUP($A30,test!$A$3:$F$32,2,FALSE),VLOOKUP(Y$1,test!$A$3:$F$32,2,FALSE))&lt;test!$K$16,$A30&lt;&gt;Y$1,feasible_mat!Y30=1),(VLOOKUP(Y$1,test!$A$3:$I$32,8,FALSE))-(VLOOKUP($A30,test!$A$3:$I$32,9,FALSE)),0)</f>
        <v>0</v>
      </c>
      <c r="Z30">
        <f>IF(AND(SUM(VLOOKUP($A30,test!$A$3:$F$32,2,FALSE),VLOOKUP(Z$1,test!$A$3:$F$32,2,FALSE))&lt;test!$K$16,$A30&lt;&gt;Z$1,feasible_mat!Z30=1),(VLOOKUP(Z$1,test!$A$3:$I$32,8,FALSE))-(VLOOKUP($A30,test!$A$3:$I$32,9,FALSE)),0)</f>
        <v>0</v>
      </c>
      <c r="AA30">
        <f>IF(AND(SUM(VLOOKUP($A30,test!$A$3:$F$32,2,FALSE),VLOOKUP(AA$1,test!$A$3:$F$32,2,FALSE))&lt;test!$K$16,$A30&lt;&gt;AA$1,feasible_mat!AA30=1),(VLOOKUP(AA$1,test!$A$3:$I$32,8,FALSE))-(VLOOKUP($A30,test!$A$3:$I$32,9,FALSE)),0)</f>
        <v>0</v>
      </c>
      <c r="AB30">
        <f>IF(AND(SUM(VLOOKUP($A30,test!$A$3:$F$32,2,FALSE),VLOOKUP(AB$1,test!$A$3:$F$32,2,FALSE))&lt;test!$K$16,$A30&lt;&gt;AB$1,feasible_mat!AB30=1),(VLOOKUP(AB$1,test!$A$3:$I$32,8,FALSE))-(VLOOKUP($A30,test!$A$3:$I$32,9,FALSE)),0)</f>
        <v>0</v>
      </c>
      <c r="AC30">
        <f>IF(AND(SUM(VLOOKUP($A30,test!$A$3:$F$32,2,FALSE),VLOOKUP(AC$1,test!$A$3:$F$32,2,FALSE))&lt;test!$K$16,$A30&lt;&gt;AC$1,feasible_mat!AC30=1),(VLOOKUP(AC$1,test!$A$3:$I$32,8,FALSE))-(VLOOKUP($A30,test!$A$3:$I$32,9,FALSE)),0)</f>
        <v>0</v>
      </c>
      <c r="AD30">
        <f>IF(AND(SUM(VLOOKUP($A30,test!$A$3:$F$32,2,FALSE),VLOOKUP(AD$1,test!$A$3:$F$32,2,FALSE))&lt;test!$K$16,$A30&lt;&gt;AD$1,feasible_mat!AD30=1),(VLOOKUP(AD$1,test!$A$3:$F$32,8,FALSE))-(VLOOKUP($A30,test!$A$3:$F$32,9,FALSE)),0)</f>
        <v>0</v>
      </c>
      <c r="AE30">
        <f>IF(AND(SUM(VLOOKUP($A30,test!$A$3:$F$32,2,FALSE),VLOOKUP(AE$1,test!$A$3:$F$32,2,FALSE))&lt;test!$K$16,$A30&lt;&gt;AE$1,feasible_mat!AE30=1),(VLOOKUP(AE$1,test!$A$3:$F$32,8,FALSE))-(VLOOKUP($A30,test!$A$3:$F$32,9,FALSE)),0)</f>
        <v>0</v>
      </c>
      <c r="AF30">
        <f>IF(AND(SUM(VLOOKUP($A30,test!$A$3:$F$32,2,FALSE),VLOOKUP(AF$1,test!$A$3:$F$32,2,FALSE))&lt;test!$K$16,$A30&lt;&gt;AF$1,feasible_mat!AF30=1),(VLOOKUP(AF$1,test!$A$3:$F$32,8,FALSE))-(VLOOKUP($A30,test!$A$3:$F$32,9,FALSE)),0)</f>
        <v>0</v>
      </c>
    </row>
    <row r="31" spans="1:32" x14ac:dyDescent="0.25">
      <c r="A31" t="s">
        <v>40</v>
      </c>
      <c r="B31">
        <v>0</v>
      </c>
      <c r="C31">
        <f>IF(AND(SUM(VLOOKUP($A31,test!$A$3:$F$32,2,FALSE),VLOOKUP(C$1,test!$A$3:$F$32,2,FALSE))&lt;test!$K$16,$A31&lt;&gt;C$1,feasible_mat!C31=1),(VLOOKUP(C$1,test!$A$3:$I$32,8,FALSE))-(VLOOKUP($A31,test!$A$3:$I$32,9,FALSE)),0)</f>
        <v>0</v>
      </c>
      <c r="D31">
        <f>IF(AND(SUM(VLOOKUP($A31,test!$A$3:$F$32,2,FALSE),VLOOKUP(D$1,test!$A$3:$F$32,2,FALSE))&lt;test!$K$16,$A31&lt;&gt;D$1,feasible_mat!D31=1),(VLOOKUP(D$1,test!$A$3:$I$32,8,FALSE))-(VLOOKUP($A31,test!$A$3:$I$32,9,FALSE)),0)</f>
        <v>0</v>
      </c>
      <c r="E31">
        <f>IF(AND(SUM(VLOOKUP($A31,test!$A$3:$F$32,2,FALSE),VLOOKUP(E$1,test!$A$3:$F$32,2,FALSE))&lt;test!$K$16,$A31&lt;&gt;E$1,feasible_mat!E31=1),(VLOOKUP(E$1,test!$A$3:$I$32,8,FALSE))-(VLOOKUP($A31,test!$A$3:$I$32,9,FALSE)),0)</f>
        <v>0</v>
      </c>
      <c r="F31">
        <f>IF(AND(SUM(VLOOKUP($A31,test!$A$3:$F$32,2,FALSE),VLOOKUP(F$1,test!$A$3:$F$32,2,FALSE))&lt;test!$K$16,$A31&lt;&gt;F$1,feasible_mat!F31=1),(VLOOKUP(F$1,test!$A$3:$I$32,8,FALSE))-(VLOOKUP($A31,test!$A$3:$I$32,9,FALSE)),0)</f>
        <v>0</v>
      </c>
      <c r="G31">
        <f>IF(AND(SUM(VLOOKUP($A31,test!$A$3:$F$32,2,FALSE),VLOOKUP(G$1,test!$A$3:$F$32,2,FALSE))&lt;test!$K$16,$A31&lt;&gt;G$1,feasible_mat!G31=1),(VLOOKUP(G$1,test!$A$3:$I$32,8,FALSE))-(VLOOKUP($A31,test!$A$3:$I$32,9,FALSE)),0)</f>
        <v>0</v>
      </c>
      <c r="H31">
        <f>IF(AND(SUM(VLOOKUP($A31,test!$A$3:$F$32,2,FALSE),VLOOKUP(H$1,test!$A$3:$F$32,2,FALSE))&lt;test!$K$16,$A31&lt;&gt;H$1,feasible_mat!H31=1),(VLOOKUP(H$1,test!$A$3:$I$32,8,FALSE))-(VLOOKUP($A31,test!$A$3:$I$32,9,FALSE)),0)</f>
        <v>0</v>
      </c>
      <c r="I31">
        <f>IF(AND(SUM(VLOOKUP($A31,test!$A$3:$F$32,2,FALSE),VLOOKUP(I$1,test!$A$3:$F$32,2,FALSE))&lt;test!$K$16,$A31&lt;&gt;I$1,feasible_mat!I31=1),(VLOOKUP(I$1,test!$A$3:$I$32,8,FALSE))-(VLOOKUP($A31,test!$A$3:$I$32,9,FALSE)),0)</f>
        <v>30</v>
      </c>
      <c r="J31">
        <f>IF(AND(SUM(VLOOKUP($A31,test!$A$3:$F$32,2,FALSE),VLOOKUP(J$1,test!$A$3:$F$32,2,FALSE))&lt;test!$K$16,$A31&lt;&gt;J$1,feasible_mat!J31=1),(VLOOKUP(J$1,test!$A$3:$I$32,8,FALSE))-(VLOOKUP($A31,test!$A$3:$I$32,9,FALSE)),0)</f>
        <v>120</v>
      </c>
      <c r="K31">
        <f>IF(AND(SUM(VLOOKUP($A31,test!$A$3:$F$32,2,FALSE),VLOOKUP(K$1,test!$A$3:$F$32,2,FALSE))&lt;test!$K$16,$A31&lt;&gt;K$1,feasible_mat!K31=1),(VLOOKUP(K$1,test!$A$3:$I$32,8,FALSE))-(VLOOKUP($A31,test!$A$3:$I$32,9,FALSE)),0)</f>
        <v>0</v>
      </c>
      <c r="L31">
        <f>IF(AND(SUM(VLOOKUP($A31,test!$A$3:$F$32,2,FALSE),VLOOKUP(L$1,test!$A$3:$F$32,2,FALSE))&lt;test!$K$16,$A31&lt;&gt;L$1,feasible_mat!L31=1),(VLOOKUP(L$1,test!$A$3:$I$32,8,FALSE))-(VLOOKUP($A31,test!$A$3:$I$32,9,FALSE)),0)</f>
        <v>0</v>
      </c>
      <c r="M31">
        <f>IF(AND(SUM(VLOOKUP($A31,test!$A$3:$F$32,2,FALSE),VLOOKUP(M$1,test!$A$3:$F$32,2,FALSE))&lt;test!$K$16,$A31&lt;&gt;M$1,feasible_mat!M31=1),(VLOOKUP(M$1,test!$A$3:$I$32,8,FALSE))-(VLOOKUP($A31,test!$A$3:$I$32,9,FALSE)),0)</f>
        <v>0</v>
      </c>
      <c r="N31">
        <f>IF(AND(SUM(VLOOKUP($A31,test!$A$3:$F$32,2,FALSE),VLOOKUP(N$1,test!$A$3:$F$32,2,FALSE))&lt;test!$K$16,$A31&lt;&gt;N$1,feasible_mat!N31=1),(VLOOKUP(N$1,test!$A$3:$I$32,8,FALSE))-(VLOOKUP($A31,test!$A$3:$I$32,9,FALSE)),0)</f>
        <v>0</v>
      </c>
      <c r="O31">
        <f>IF(AND(SUM(VLOOKUP($A31,test!$A$3:$F$32,2,FALSE),VLOOKUP(O$1,test!$A$3:$F$32,2,FALSE))&lt;test!$K$16,$A31&lt;&gt;O$1,feasible_mat!O31=1),(VLOOKUP(O$1,test!$A$3:$I$32,8,FALSE))-(VLOOKUP($A31,test!$A$3:$I$32,9,FALSE)),0)</f>
        <v>0</v>
      </c>
      <c r="P31">
        <f>IF(AND(SUM(VLOOKUP($A31,test!$A$3:$F$32,2,FALSE),VLOOKUP(P$1,test!$A$3:$F$32,2,FALSE))&lt;test!$K$16,$A31&lt;&gt;P$1,feasible_mat!P31=1),(VLOOKUP(P$1,test!$A$3:$I$32,8,FALSE))-(VLOOKUP($A31,test!$A$3:$I$32,9,FALSE)),0)</f>
        <v>0</v>
      </c>
      <c r="Q31">
        <f>IF(AND(SUM(VLOOKUP($A31,test!$A$3:$F$32,2,FALSE),VLOOKUP(Q$1,test!$A$3:$F$32,2,FALSE))&lt;test!$K$16,$A31&lt;&gt;Q$1,feasible_mat!Q31=1),(VLOOKUP(Q$1,test!$A$3:$I$32,8,FALSE))-(VLOOKUP($A31,test!$A$3:$I$32,9,FALSE)),0)</f>
        <v>0</v>
      </c>
      <c r="R31">
        <f>IF(AND(SUM(VLOOKUP($A31,test!$A$3:$F$32,2,FALSE),VLOOKUP(R$1,test!$A$3:$F$32,2,FALSE))&lt;test!$K$16,$A31&lt;&gt;R$1,feasible_mat!R31=1),(VLOOKUP(R$1,test!$A$3:$I$32,8,FALSE))-(VLOOKUP($A31,test!$A$3:$I$32,9,FALSE)),0)</f>
        <v>0</v>
      </c>
      <c r="S31">
        <f>IF(AND(SUM(VLOOKUP($A31,test!$A$3:$F$32,2,FALSE),VLOOKUP(S$1,test!$A$3:$F$32,2,FALSE))&lt;test!$K$16,$A31&lt;&gt;S$1,feasible_mat!S31=1),(VLOOKUP(S$1,test!$A$3:$I$32,8,FALSE))-(VLOOKUP($A31,test!$A$3:$I$32,9,FALSE)),0)</f>
        <v>0</v>
      </c>
      <c r="T31">
        <f>IF(AND(SUM(VLOOKUP($A31,test!$A$3:$F$32,2,FALSE),VLOOKUP(T$1,test!$A$3:$F$32,2,FALSE))&lt;test!$K$16,$A31&lt;&gt;T$1,feasible_mat!T31=1),(VLOOKUP(T$1,test!$A$3:$I$32,8,FALSE))-(VLOOKUP($A31,test!$A$3:$I$32,9,FALSE)),0)</f>
        <v>0</v>
      </c>
      <c r="U31">
        <f>IF(AND(SUM(VLOOKUP($A31,test!$A$3:$F$32,2,FALSE),VLOOKUP(U$1,test!$A$3:$F$32,2,FALSE))&lt;test!$K$16,$A31&lt;&gt;U$1,feasible_mat!U31=1),(VLOOKUP(U$1,test!$A$3:$I$32,8,FALSE))-(VLOOKUP($A31,test!$A$3:$I$32,9,FALSE)),0)</f>
        <v>0</v>
      </c>
      <c r="V31">
        <f>IF(AND(SUM(VLOOKUP($A31,test!$A$3:$F$32,2,FALSE),VLOOKUP(V$1,test!$A$3:$F$32,2,FALSE))&lt;test!$K$16,$A31&lt;&gt;V$1,feasible_mat!V31=1),(VLOOKUP(V$1,test!$A$3:$I$32,8,FALSE))-(VLOOKUP($A31,test!$A$3:$I$32,9,FALSE)),0)</f>
        <v>0</v>
      </c>
      <c r="W31">
        <f>IF(AND(SUM(VLOOKUP($A31,test!$A$3:$F$32,2,FALSE),VLOOKUP(W$1,test!$A$3:$F$32,2,FALSE))&lt;test!$K$16,$A31&lt;&gt;W$1,feasible_mat!W31=1),(VLOOKUP(W$1,test!$A$3:$I$32,8,FALSE))-(VLOOKUP($A31,test!$A$3:$I$32,9,FALSE)),0)</f>
        <v>0</v>
      </c>
      <c r="X31">
        <f>IF(AND(SUM(VLOOKUP($A31,test!$A$3:$F$32,2,FALSE),VLOOKUP(X$1,test!$A$3:$F$32,2,FALSE))&lt;test!$K$16,$A31&lt;&gt;X$1,feasible_mat!X31=1),(VLOOKUP(X$1,test!$A$3:$I$32,8,FALSE))-(VLOOKUP($A31,test!$A$3:$I$32,9,FALSE)),0)</f>
        <v>0</v>
      </c>
      <c r="Y31">
        <f>IF(AND(SUM(VLOOKUP($A31,test!$A$3:$F$32,2,FALSE),VLOOKUP(Y$1,test!$A$3:$F$32,2,FALSE))&lt;test!$K$16,$A31&lt;&gt;Y$1,feasible_mat!Y31=1),(VLOOKUP(Y$1,test!$A$3:$I$32,8,FALSE))-(VLOOKUP($A31,test!$A$3:$I$32,9,FALSE)),0)</f>
        <v>0</v>
      </c>
      <c r="Z31">
        <f>IF(AND(SUM(VLOOKUP($A31,test!$A$3:$F$32,2,FALSE),VLOOKUP(Z$1,test!$A$3:$F$32,2,FALSE))&lt;test!$K$16,$A31&lt;&gt;Z$1,feasible_mat!Z31=1),(VLOOKUP(Z$1,test!$A$3:$I$32,8,FALSE))-(VLOOKUP($A31,test!$A$3:$I$32,9,FALSE)),0)</f>
        <v>0</v>
      </c>
      <c r="AA31">
        <f>IF(AND(SUM(VLOOKUP($A31,test!$A$3:$F$32,2,FALSE),VLOOKUP(AA$1,test!$A$3:$F$32,2,FALSE))&lt;test!$K$16,$A31&lt;&gt;AA$1,feasible_mat!AA31=1),(VLOOKUP(AA$1,test!$A$3:$I$32,8,FALSE))-(VLOOKUP($A31,test!$A$3:$I$32,9,FALSE)),0)</f>
        <v>0</v>
      </c>
      <c r="AB31">
        <f>IF(AND(SUM(VLOOKUP($A31,test!$A$3:$F$32,2,FALSE),VLOOKUP(AB$1,test!$A$3:$F$32,2,FALSE))&lt;test!$K$16,$A31&lt;&gt;AB$1,feasible_mat!AB31=1),(VLOOKUP(AB$1,test!$A$3:$I$32,8,FALSE))-(VLOOKUP($A31,test!$A$3:$I$32,9,FALSE)),0)</f>
        <v>0</v>
      </c>
      <c r="AC31">
        <f>IF(AND(SUM(VLOOKUP($A31,test!$A$3:$F$32,2,FALSE),VLOOKUP(AC$1,test!$A$3:$F$32,2,FALSE))&lt;test!$K$16,$A31&lt;&gt;AC$1,feasible_mat!AC31=1),(VLOOKUP(AC$1,test!$A$3:$I$32,8,FALSE))-(VLOOKUP($A31,test!$A$3:$I$32,9,FALSE)),0)</f>
        <v>0</v>
      </c>
      <c r="AD31">
        <f>IF(AND(SUM(VLOOKUP($A31,test!$A$3:$F$32,2,FALSE),VLOOKUP(AD$1,test!$A$3:$F$32,2,FALSE))&lt;test!$K$16,$A31&lt;&gt;AD$1,feasible_mat!AD31=1),(VLOOKUP(AD$1,test!$A$3:$F$32,8,FALSE))-(VLOOKUP($A31,test!$A$3:$F$32,9,FALSE)),0)</f>
        <v>0</v>
      </c>
      <c r="AE31">
        <f>IF(AND(SUM(VLOOKUP($A31,test!$A$3:$F$32,2,FALSE),VLOOKUP(AE$1,test!$A$3:$F$32,2,FALSE))&lt;test!$K$16,$A31&lt;&gt;AE$1,feasible_mat!AE31=1),(VLOOKUP(AE$1,test!$A$3:$F$32,8,FALSE))-(VLOOKUP($A31,test!$A$3:$F$32,9,FALSE)),0)</f>
        <v>0</v>
      </c>
      <c r="AF31">
        <f>IF(AND(SUM(VLOOKUP($A31,test!$A$3:$F$32,2,FALSE),VLOOKUP(AF$1,test!$A$3:$F$32,2,FALSE))&lt;test!$K$16,$A31&lt;&gt;AF$1,feasible_mat!AF31=1),(VLOOKUP(AF$1,test!$A$3:$F$32,8,FALSE))-(VLOOKUP($A31,test!$A$3:$F$32,9,FALSE)),0)</f>
        <v>0</v>
      </c>
    </row>
    <row r="32" spans="1:32" x14ac:dyDescent="0.25">
      <c r="A32" t="s">
        <v>41</v>
      </c>
      <c r="B32">
        <v>0</v>
      </c>
      <c r="C32">
        <f>IF(AND(SUM(VLOOKUP($A32,test!$A$3:$F$32,2,FALSE),VLOOKUP(C$1,test!$A$3:$F$32,2,FALSE))&lt;test!$K$16,$A32&lt;&gt;C$1,feasible_mat!C32=1),(VLOOKUP(C$1,test!$A$3:$I$32,8,FALSE))-(VLOOKUP($A32,test!$A$3:$I$32,9,FALSE)),0)</f>
        <v>0</v>
      </c>
      <c r="D32">
        <f>IF(AND(SUM(VLOOKUP($A32,test!$A$3:$F$32,2,FALSE),VLOOKUP(D$1,test!$A$3:$F$32,2,FALSE))&lt;test!$K$16,$A32&lt;&gt;D$1,feasible_mat!D32=1),(VLOOKUP(D$1,test!$A$3:$I$32,8,FALSE))-(VLOOKUP($A32,test!$A$3:$I$32,9,FALSE)),0)</f>
        <v>0</v>
      </c>
      <c r="E32">
        <f>IF(AND(SUM(VLOOKUP($A32,test!$A$3:$F$32,2,FALSE),VLOOKUP(E$1,test!$A$3:$F$32,2,FALSE))&lt;test!$K$16,$A32&lt;&gt;E$1,feasible_mat!E32=1),(VLOOKUP(E$1,test!$A$3:$I$32,8,FALSE))-(VLOOKUP($A32,test!$A$3:$I$32,9,FALSE)),0)</f>
        <v>0</v>
      </c>
      <c r="F32">
        <f>IF(AND(SUM(VLOOKUP($A32,test!$A$3:$F$32,2,FALSE),VLOOKUP(F$1,test!$A$3:$F$32,2,FALSE))&lt;test!$K$16,$A32&lt;&gt;F$1,feasible_mat!F32=1),(VLOOKUP(F$1,test!$A$3:$I$32,8,FALSE))-(VLOOKUP($A32,test!$A$3:$I$32,9,FALSE)),0)</f>
        <v>0</v>
      </c>
      <c r="G32">
        <f>IF(AND(SUM(VLOOKUP($A32,test!$A$3:$F$32,2,FALSE),VLOOKUP(G$1,test!$A$3:$F$32,2,FALSE))&lt;test!$K$16,$A32&lt;&gt;G$1,feasible_mat!G32=1),(VLOOKUP(G$1,test!$A$3:$I$32,8,FALSE))-(VLOOKUP($A32,test!$A$3:$I$32,9,FALSE)),0)</f>
        <v>0</v>
      </c>
      <c r="H32">
        <f>IF(AND(SUM(VLOOKUP($A32,test!$A$3:$F$32,2,FALSE),VLOOKUP(H$1,test!$A$3:$F$32,2,FALSE))&lt;test!$K$16,$A32&lt;&gt;H$1,feasible_mat!H32=1),(VLOOKUP(H$1,test!$A$3:$I$32,8,FALSE))-(VLOOKUP($A32,test!$A$3:$I$32,9,FALSE)),0)</f>
        <v>0</v>
      </c>
      <c r="I32">
        <f>IF(AND(SUM(VLOOKUP($A32,test!$A$3:$F$32,2,FALSE),VLOOKUP(I$1,test!$A$3:$F$32,2,FALSE))&lt;test!$K$16,$A32&lt;&gt;I$1,feasible_mat!I32=1),(VLOOKUP(I$1,test!$A$3:$I$32,8,FALSE))-(VLOOKUP($A32,test!$A$3:$I$32,9,FALSE)),0)</f>
        <v>0</v>
      </c>
      <c r="J32">
        <f>IF(AND(SUM(VLOOKUP($A32,test!$A$3:$F$32,2,FALSE),VLOOKUP(J$1,test!$A$3:$F$32,2,FALSE))&lt;test!$K$16,$A32&lt;&gt;J$1,feasible_mat!J32=1),(VLOOKUP(J$1,test!$A$3:$I$32,8,FALSE))-(VLOOKUP($A32,test!$A$3:$I$32,9,FALSE)),0)</f>
        <v>0</v>
      </c>
      <c r="K32">
        <f>IF(AND(SUM(VLOOKUP($A32,test!$A$3:$F$32,2,FALSE),VLOOKUP(K$1,test!$A$3:$F$32,2,FALSE))&lt;test!$K$16,$A32&lt;&gt;K$1,feasible_mat!K32=1),(VLOOKUP(K$1,test!$A$3:$I$32,8,FALSE))-(VLOOKUP($A32,test!$A$3:$I$32,9,FALSE)),0)</f>
        <v>0</v>
      </c>
      <c r="L32">
        <f>IF(AND(SUM(VLOOKUP($A32,test!$A$3:$F$32,2,FALSE),VLOOKUP(L$1,test!$A$3:$F$32,2,FALSE))&lt;test!$K$16,$A32&lt;&gt;L$1,feasible_mat!L32=1),(VLOOKUP(L$1,test!$A$3:$I$32,8,FALSE))-(VLOOKUP($A32,test!$A$3:$I$32,9,FALSE)),0)</f>
        <v>0</v>
      </c>
      <c r="M32">
        <f>IF(AND(SUM(VLOOKUP($A32,test!$A$3:$F$32,2,FALSE),VLOOKUP(M$1,test!$A$3:$F$32,2,FALSE))&lt;test!$K$16,$A32&lt;&gt;M$1,feasible_mat!M32=1),(VLOOKUP(M$1,test!$A$3:$I$32,8,FALSE))-(VLOOKUP($A32,test!$A$3:$I$32,9,FALSE)),0)</f>
        <v>0</v>
      </c>
      <c r="N32">
        <f>IF(AND(SUM(VLOOKUP($A32,test!$A$3:$F$32,2,FALSE),VLOOKUP(N$1,test!$A$3:$F$32,2,FALSE))&lt;test!$K$16,$A32&lt;&gt;N$1,feasible_mat!N32=1),(VLOOKUP(N$1,test!$A$3:$I$32,8,FALSE))-(VLOOKUP($A32,test!$A$3:$I$32,9,FALSE)),0)</f>
        <v>0</v>
      </c>
      <c r="O32">
        <f>IF(AND(SUM(VLOOKUP($A32,test!$A$3:$F$32,2,FALSE),VLOOKUP(O$1,test!$A$3:$F$32,2,FALSE))&lt;test!$K$16,$A32&lt;&gt;O$1,feasible_mat!O32=1),(VLOOKUP(O$1,test!$A$3:$I$32,8,FALSE))-(VLOOKUP($A32,test!$A$3:$I$32,9,FALSE)),0)</f>
        <v>0</v>
      </c>
      <c r="P32">
        <f>IF(AND(SUM(VLOOKUP($A32,test!$A$3:$F$32,2,FALSE),VLOOKUP(P$1,test!$A$3:$F$32,2,FALSE))&lt;test!$K$16,$A32&lt;&gt;P$1,feasible_mat!P32=1),(VLOOKUP(P$1,test!$A$3:$I$32,8,FALSE))-(VLOOKUP($A32,test!$A$3:$I$32,9,FALSE)),0)</f>
        <v>0</v>
      </c>
      <c r="Q32">
        <f>IF(AND(SUM(VLOOKUP($A32,test!$A$3:$F$32,2,FALSE),VLOOKUP(Q$1,test!$A$3:$F$32,2,FALSE))&lt;test!$K$16,$A32&lt;&gt;Q$1,feasible_mat!Q32=1),(VLOOKUP(Q$1,test!$A$3:$I$32,8,FALSE))-(VLOOKUP($A32,test!$A$3:$I$32,9,FALSE)),0)</f>
        <v>0</v>
      </c>
      <c r="R32">
        <f>IF(AND(SUM(VLOOKUP($A32,test!$A$3:$F$32,2,FALSE),VLOOKUP(R$1,test!$A$3:$F$32,2,FALSE))&lt;test!$K$16,$A32&lt;&gt;R$1,feasible_mat!R32=1),(VLOOKUP(R$1,test!$A$3:$I$32,8,FALSE))-(VLOOKUP($A32,test!$A$3:$I$32,9,FALSE)),0)</f>
        <v>0</v>
      </c>
      <c r="S32">
        <f>IF(AND(SUM(VLOOKUP($A32,test!$A$3:$F$32,2,FALSE),VLOOKUP(S$1,test!$A$3:$F$32,2,FALSE))&lt;test!$K$16,$A32&lt;&gt;S$1,feasible_mat!S32=1),(VLOOKUP(S$1,test!$A$3:$I$32,8,FALSE))-(VLOOKUP($A32,test!$A$3:$I$32,9,FALSE)),0)</f>
        <v>0</v>
      </c>
      <c r="T32">
        <f>IF(AND(SUM(VLOOKUP($A32,test!$A$3:$F$32,2,FALSE),VLOOKUP(T$1,test!$A$3:$F$32,2,FALSE))&lt;test!$K$16,$A32&lt;&gt;T$1,feasible_mat!T32=1),(VLOOKUP(T$1,test!$A$3:$I$32,8,FALSE))-(VLOOKUP($A32,test!$A$3:$I$32,9,FALSE)),0)</f>
        <v>0</v>
      </c>
      <c r="U32">
        <f>IF(AND(SUM(VLOOKUP($A32,test!$A$3:$F$32,2,FALSE),VLOOKUP(U$1,test!$A$3:$F$32,2,FALSE))&lt;test!$K$16,$A32&lt;&gt;U$1,feasible_mat!U32=1),(VLOOKUP(U$1,test!$A$3:$I$32,8,FALSE))-(VLOOKUP($A32,test!$A$3:$I$32,9,FALSE)),0)</f>
        <v>0</v>
      </c>
      <c r="V32">
        <f>IF(AND(SUM(VLOOKUP($A32,test!$A$3:$F$32,2,FALSE),VLOOKUP(V$1,test!$A$3:$F$32,2,FALSE))&lt;test!$K$16,$A32&lt;&gt;V$1,feasible_mat!V32=1),(VLOOKUP(V$1,test!$A$3:$I$32,8,FALSE))-(VLOOKUP($A32,test!$A$3:$I$32,9,FALSE)),0)</f>
        <v>0</v>
      </c>
      <c r="W32">
        <f>IF(AND(SUM(VLOOKUP($A32,test!$A$3:$F$32,2,FALSE),VLOOKUP(W$1,test!$A$3:$F$32,2,FALSE))&lt;test!$K$16,$A32&lt;&gt;W$1,feasible_mat!W32=1),(VLOOKUP(W$1,test!$A$3:$I$32,8,FALSE))-(VLOOKUP($A32,test!$A$3:$I$32,9,FALSE)),0)</f>
        <v>0</v>
      </c>
      <c r="X32">
        <f>IF(AND(SUM(VLOOKUP($A32,test!$A$3:$F$32,2,FALSE),VLOOKUP(X$1,test!$A$3:$F$32,2,FALSE))&lt;test!$K$16,$A32&lt;&gt;X$1,feasible_mat!X32=1),(VLOOKUP(X$1,test!$A$3:$I$32,8,FALSE))-(VLOOKUP($A32,test!$A$3:$I$32,9,FALSE)),0)</f>
        <v>0</v>
      </c>
      <c r="Y32">
        <f>IF(AND(SUM(VLOOKUP($A32,test!$A$3:$F$32,2,FALSE),VLOOKUP(Y$1,test!$A$3:$F$32,2,FALSE))&lt;test!$K$16,$A32&lt;&gt;Y$1,feasible_mat!Y32=1),(VLOOKUP(Y$1,test!$A$3:$I$32,8,FALSE))-(VLOOKUP($A32,test!$A$3:$I$32,9,FALSE)),0)</f>
        <v>0</v>
      </c>
      <c r="Z32">
        <f>IF(AND(SUM(VLOOKUP($A32,test!$A$3:$F$32,2,FALSE),VLOOKUP(Z$1,test!$A$3:$F$32,2,FALSE))&lt;test!$K$16,$A32&lt;&gt;Z$1,feasible_mat!Z32=1),(VLOOKUP(Z$1,test!$A$3:$I$32,8,FALSE))-(VLOOKUP($A32,test!$A$3:$I$32,9,FALSE)),0)</f>
        <v>0</v>
      </c>
      <c r="AA32">
        <f>IF(AND(SUM(VLOOKUP($A32,test!$A$3:$F$32,2,FALSE),VLOOKUP(AA$1,test!$A$3:$F$32,2,FALSE))&lt;test!$K$16,$A32&lt;&gt;AA$1,feasible_mat!AA32=1),(VLOOKUP(AA$1,test!$A$3:$I$32,8,FALSE))-(VLOOKUP($A32,test!$A$3:$I$32,9,FALSE)),0)</f>
        <v>0</v>
      </c>
      <c r="AB32">
        <f>IF(AND(SUM(VLOOKUP($A32,test!$A$3:$F$32,2,FALSE),VLOOKUP(AB$1,test!$A$3:$F$32,2,FALSE))&lt;test!$K$16,$A32&lt;&gt;AB$1,feasible_mat!AB32=1),(VLOOKUP(AB$1,test!$A$3:$I$32,8,FALSE))-(VLOOKUP($A32,test!$A$3:$I$32,9,FALSE)),0)</f>
        <v>0</v>
      </c>
      <c r="AC32">
        <f>IF(AND(SUM(VLOOKUP($A32,test!$A$3:$F$32,2,FALSE),VLOOKUP(AC$1,test!$A$3:$F$32,2,FALSE))&lt;test!$K$16,$A32&lt;&gt;AC$1,feasible_mat!AC32=1),(VLOOKUP(AC$1,test!$A$3:$I$32,8,FALSE))-(VLOOKUP($A32,test!$A$3:$I$32,9,FALSE)),0)</f>
        <v>0</v>
      </c>
      <c r="AD32">
        <f>IF(AND(SUM(VLOOKUP($A32,test!$A$3:$F$32,2,FALSE),VLOOKUP(AD$1,test!$A$3:$F$32,2,FALSE))&lt;test!$K$16,$A32&lt;&gt;AD$1,feasible_mat!AD32=1),(VLOOKUP(AD$1,test!$A$3:$F$32,8,FALSE))-(VLOOKUP($A32,test!$A$3:$F$32,9,FALSE)),0)</f>
        <v>0</v>
      </c>
      <c r="AE32">
        <f>IF(AND(SUM(VLOOKUP($A32,test!$A$3:$F$32,2,FALSE),VLOOKUP(AE$1,test!$A$3:$F$32,2,FALSE))&lt;test!$K$16,$A32&lt;&gt;AE$1,feasible_mat!AE32=1),(VLOOKUP(AE$1,test!$A$3:$F$32,8,FALSE))-(VLOOKUP($A32,test!$A$3:$F$32,9,FALSE)),0)</f>
        <v>0</v>
      </c>
      <c r="AF32">
        <f>IF(AND(SUM(VLOOKUP($A32,test!$A$3:$F$32,2,FALSE),VLOOKUP(AF$1,test!$A$3:$F$32,2,FALSE))&lt;test!$K$16,$A32&lt;&gt;AF$1,feasible_mat!AF32=1),(VLOOKUP(AF$1,test!$A$3:$F$32,8,FALSE))-(VLOOKUP($A32,test!$A$3:$F$32,9,FALSE)),0)</f>
        <v>0</v>
      </c>
    </row>
    <row r="33" spans="1:32" x14ac:dyDescent="0.25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6</v>
      </c>
      <c r="B34">
        <v>0</v>
      </c>
      <c r="C34">
        <f>IF(AND(SUM(VLOOKUP($A34,test!$A$3:$F$32,2,FALSE),VLOOKUP(C$1,test!$A$3:$F$32,2,FALSE))&lt;test!$K$16,$A34&lt;&gt;C$1,Recharged_Feasible_mat!D3=1),(VLOOKUP(C$1,test!$A$3:$I$32,8,FALSE))-(VLOOKUP($A34,test!$A$3:$I$32,9,FALSE))-test!$B$33,0)</f>
        <v>0</v>
      </c>
      <c r="D34">
        <f>IF(AND(SUM(VLOOKUP($A34,test!$A$3:$F$32,2,FALSE),VLOOKUP(D$1,test!$A$3:$F$32,2,FALSE))&lt;test!$K$16,$A34&lt;&gt;D$1,Recharged_Feasible_mat!E3=1),(VLOOKUP(D$1,test!$A$3:$I$32,8,FALSE))-(VLOOKUP($A34,test!$A$3:$I$32,9,FALSE))-test!$B$33,0)</f>
        <v>0</v>
      </c>
      <c r="E34">
        <f>IF(AND(SUM(VLOOKUP($A34,test!$A$3:$F$32,2,FALSE),VLOOKUP(E$1,test!$A$3:$F$32,2,FALSE))&lt;test!$K$16,$A34&lt;&gt;E$1,Recharged_Feasible_mat!F3=1),(VLOOKUP(E$1,test!$A$3:$I$32,8,FALSE))-(VLOOKUP($A34,test!$A$3:$I$32,9,FALSE))-test!$B$33,0)</f>
        <v>75</v>
      </c>
      <c r="F34">
        <f>IF(AND(SUM(VLOOKUP($A34,test!$A$3:$F$32,2,FALSE),VLOOKUP(F$1,test!$A$3:$F$32,2,FALSE))&lt;test!$K$16,$A34&lt;&gt;F$1,Recharged_Feasible_mat!G3=1),(VLOOKUP(F$1,test!$A$3:$I$32,8,FALSE))-(VLOOKUP($A34,test!$A$3:$I$32,9,FALSE))-test!$B$33,0)</f>
        <v>165</v>
      </c>
      <c r="G34">
        <f>IF(AND(SUM(VLOOKUP($A34,test!$A$3:$F$32,2,FALSE),VLOOKUP(G$1,test!$A$3:$F$32,2,FALSE))&lt;test!$K$16,$A34&lt;&gt;G$1,Recharged_Feasible_mat!H3=1),(VLOOKUP(G$1,test!$A$3:$I$32,8,FALSE))-(VLOOKUP($A34,test!$A$3:$I$32,9,FALSE))-test!$B$33,0)</f>
        <v>225</v>
      </c>
      <c r="H34">
        <f>IF(AND(SUM(VLOOKUP($A34,test!$A$3:$F$32,2,FALSE),VLOOKUP(H$1,test!$A$3:$F$32,2,FALSE))&lt;test!$K$16,$A34&lt;&gt;H$1,Recharged_Feasible_mat!I3=1),(VLOOKUP(H$1,test!$A$3:$I$32,8,FALSE))-(VLOOKUP($A34,test!$A$3:$I$32,9,FALSE))-test!$B$33,0)</f>
        <v>285</v>
      </c>
      <c r="I34">
        <f>IF(AND(SUM(VLOOKUP($A34,test!$A$3:$F$32,2,FALSE),VLOOKUP(I$1,test!$A$3:$F$32,2,FALSE))&lt;test!$K$16,$A34&lt;&gt;I$1,Recharged_Feasible_mat!J3=1),(VLOOKUP(I$1,test!$A$3:$I$32,8,FALSE))-(VLOOKUP($A34,test!$A$3:$I$32,9,FALSE))-test!$B$33,0)</f>
        <v>345</v>
      </c>
      <c r="J34">
        <f>IF(AND(SUM(VLOOKUP($A34,test!$A$3:$F$32,2,FALSE),VLOOKUP(J$1,test!$A$3:$F$32,2,FALSE))&lt;test!$K$16,$A34&lt;&gt;J$1,Recharged_Feasible_mat!K3=1),(VLOOKUP(J$1,test!$A$3:$I$32,8,FALSE))-(VLOOKUP($A34,test!$A$3:$I$32,9,FALSE))-test!$B$33,0)</f>
        <v>435</v>
      </c>
      <c r="K34">
        <f>IF(AND(SUM(VLOOKUP($A34,test!$A$3:$F$32,2,FALSE),VLOOKUP(K$1,test!$A$3:$F$32,2,FALSE))&lt;test!$K$16,$A34&lt;&gt;K$1,Recharged_Feasible_mat!L3=1),(VLOOKUP(K$1,test!$A$3:$I$32,8,FALSE))-(VLOOKUP($A34,test!$A$3:$I$32,9,FALSE))-test!$B$33,0)</f>
        <v>0</v>
      </c>
      <c r="L34">
        <f>IF(AND(SUM(VLOOKUP($A34,test!$A$3:$F$32,2,FALSE),VLOOKUP(L$1,test!$A$3:$F$32,2,FALSE))&lt;test!$K$16,$A34&lt;&gt;L$1,Recharged_Feasible_mat!M3=1),(VLOOKUP(L$1,test!$A$3:$I$32,8,FALSE))-(VLOOKUP($A34,test!$A$3:$I$32,9,FALSE))-test!$B$33,0)</f>
        <v>0</v>
      </c>
      <c r="M34">
        <f>IF(AND(SUM(VLOOKUP($A34,test!$A$3:$F$32,2,FALSE),VLOOKUP(M$1,test!$A$3:$F$32,2,FALSE))&lt;test!$K$16,$A34&lt;&gt;M$1,Recharged_Feasible_mat!N3=1),(VLOOKUP(M$1,test!$A$3:$I$32,8,FALSE))-(VLOOKUP($A34,test!$A$3:$I$32,9,FALSE))-test!$B$33,0)</f>
        <v>40</v>
      </c>
      <c r="N34">
        <f>IF(AND(SUM(VLOOKUP($A34,test!$A$3:$F$32,2,FALSE),VLOOKUP(N$1,test!$A$3:$F$32,2,FALSE))&lt;test!$K$16,$A34&lt;&gt;N$1,Recharged_Feasible_mat!O3=1),(VLOOKUP(N$1,test!$A$3:$I$32,8,FALSE))-(VLOOKUP($A34,test!$A$3:$I$32,9,FALSE))-test!$B$33,0)</f>
        <v>400</v>
      </c>
      <c r="O34">
        <f>IF(AND(SUM(VLOOKUP($A34,test!$A$3:$F$32,2,FALSE),VLOOKUP(O$1,test!$A$3:$F$32,2,FALSE))&lt;test!$K$16,$A34&lt;&gt;O$1,Recharged_Feasible_mat!P3=1),(VLOOKUP(O$1,test!$A$3:$I$32,8,FALSE))-(VLOOKUP($A34,test!$A$3:$I$32,9,FALSE))-test!$B$33,0)</f>
        <v>460</v>
      </c>
      <c r="P34">
        <f>IF(AND(SUM(VLOOKUP($A34,test!$A$3:$F$32,2,FALSE),VLOOKUP(P$1,test!$A$3:$F$32,2,FALSE))&lt;test!$K$16,$A34&lt;&gt;P$1,Recharged_Feasible_mat!Q3=1),(VLOOKUP(P$1,test!$A$3:$I$32,8,FALSE))-(VLOOKUP($A34,test!$A$3:$I$32,9,FALSE))-test!$B$33,0)</f>
        <v>0</v>
      </c>
      <c r="Q34">
        <f>IF(AND(SUM(VLOOKUP($A34,test!$A$3:$F$32,2,FALSE),VLOOKUP(Q$1,test!$A$3:$F$32,2,FALSE))&lt;test!$K$16,$A34&lt;&gt;Q$1,Recharged_Feasible_mat!R3=1),(VLOOKUP(Q$1,test!$A$3:$I$32,8,FALSE))-(VLOOKUP($A34,test!$A$3:$I$32,9,FALSE))-test!$B$33,0)</f>
        <v>0</v>
      </c>
      <c r="R34">
        <f>IF(AND(SUM(VLOOKUP($A34,test!$A$3:$F$32,2,FALSE),VLOOKUP(R$1,test!$A$3:$F$32,2,FALSE))&lt;test!$K$16,$A34&lt;&gt;R$1,Recharged_Feasible_mat!S3=1),(VLOOKUP(R$1,test!$A$3:$I$32,8,FALSE))-(VLOOKUP($A34,test!$A$3:$I$32,9,FALSE))-test!$B$33,0)</f>
        <v>0</v>
      </c>
      <c r="S34">
        <f>IF(AND(SUM(VLOOKUP($A34,test!$A$3:$F$32,2,FALSE),VLOOKUP(S$1,test!$A$3:$F$32,2,FALSE))&lt;test!$K$16,$A34&lt;&gt;S$1,Recharged_Feasible_mat!T3=1),(VLOOKUP(S$1,test!$A$3:$I$32,8,FALSE))-(VLOOKUP($A34,test!$A$3:$I$32,9,FALSE))-test!$B$33,0)</f>
        <v>0</v>
      </c>
      <c r="T34">
        <f>IF(AND(SUM(VLOOKUP($A34,test!$A$3:$F$32,2,FALSE),VLOOKUP(T$1,test!$A$3:$F$32,2,FALSE))&lt;test!$K$16,$A34&lt;&gt;T$1,Recharged_Feasible_mat!U3=1),(VLOOKUP(T$1,test!$A$3:$I$32,8,FALSE))-(VLOOKUP($A34,test!$A$3:$I$32,9,FALSE))-test!$B$33,0)</f>
        <v>55</v>
      </c>
      <c r="U34">
        <f>IF(AND(SUM(VLOOKUP($A34,test!$A$3:$F$32,2,FALSE),VLOOKUP(U$1,test!$A$3:$F$32,2,FALSE))&lt;test!$K$16,$A34&lt;&gt;U$1,Recharged_Feasible_mat!V3=1),(VLOOKUP(U$1,test!$A$3:$I$32,8,FALSE))-(VLOOKUP($A34,test!$A$3:$I$32,9,FALSE))-test!$B$33,0)</f>
        <v>145</v>
      </c>
      <c r="V34">
        <f>IF(AND(SUM(VLOOKUP($A34,test!$A$3:$F$32,2,FALSE),VLOOKUP(V$1,test!$A$3:$F$32,2,FALSE))&lt;test!$K$16,$A34&lt;&gt;V$1,Recharged_Feasible_mat!W3=1),(VLOOKUP(V$1,test!$A$3:$I$32,8,FALSE))-(VLOOKUP($A34,test!$A$3:$I$32,9,FALSE))-test!$B$33,0)</f>
        <v>235</v>
      </c>
      <c r="W34">
        <f>IF(AND(SUM(VLOOKUP($A34,test!$A$3:$F$32,2,FALSE),VLOOKUP(W$1,test!$A$3:$F$32,2,FALSE))&lt;test!$K$16,$A34&lt;&gt;W$1,Recharged_Feasible_mat!X3=1),(VLOOKUP(W$1,test!$A$3:$I$32,8,FALSE))-(VLOOKUP($A34,test!$A$3:$I$32,9,FALSE))-test!$B$33,0)</f>
        <v>325</v>
      </c>
      <c r="X34">
        <f>IF(AND(SUM(VLOOKUP($A34,test!$A$3:$F$32,2,FALSE),VLOOKUP(X$1,test!$A$3:$F$32,2,FALSE))&lt;test!$K$16,$A34&lt;&gt;X$1,Recharged_Feasible_mat!Y3=1),(VLOOKUP(X$1,test!$A$3:$I$32,8,FALSE))-(VLOOKUP($A34,test!$A$3:$I$32,9,FALSE))-test!$B$33,0)</f>
        <v>385</v>
      </c>
      <c r="Y34">
        <f>IF(AND(SUM(VLOOKUP($A34,test!$A$3:$F$32,2,FALSE),VLOOKUP(Y$1,test!$A$3:$F$32,2,FALSE))&lt;test!$K$16,$A34&lt;&gt;Y$1,Recharged_Feasible_mat!Z3=1),(VLOOKUP(Y$1,test!$A$3:$I$32,8,FALSE))-(VLOOKUP($A34,test!$A$3:$I$32,9,FALSE))-test!$B$33,0)</f>
        <v>0</v>
      </c>
      <c r="Z34">
        <f>IF(AND(SUM(VLOOKUP($A34,test!$A$3:$F$32,2,FALSE),VLOOKUP(Z$1,test!$A$3:$F$32,2,FALSE))&lt;test!$K$16,$A34&lt;&gt;Z$1,Recharged_Feasible_mat!AA3=1),(VLOOKUP(Z$1,test!$A$3:$I$32,8,FALSE))-(VLOOKUP($A34,test!$A$3:$I$32,9,FALSE))-test!$B$33,0)</f>
        <v>0</v>
      </c>
      <c r="AA34">
        <f>IF(AND(SUM(VLOOKUP($A34,test!$A$3:$F$32,2,FALSE),VLOOKUP(AA$1,test!$A$3:$F$32,2,FALSE))&lt;test!$K$16,$A34&lt;&gt;AA$1,Recharged_Feasible_mat!AB3=1),(VLOOKUP(AA$1,test!$A$3:$I$32,8,FALSE))-(VLOOKUP($A34,test!$A$3:$I$32,9,FALSE))-test!$B$33,0)</f>
        <v>105</v>
      </c>
      <c r="AB34">
        <f>IF(AND(SUM(VLOOKUP($A34,test!$A$3:$F$32,2,FALSE),VLOOKUP(AB$1,test!$A$3:$F$32,2,FALSE))&lt;test!$K$16,$A34&lt;&gt;AB$1,Recharged_Feasible_mat!AC3=1),(VLOOKUP(AB$1,test!$A$3:$I$32,8,FALSE))-(VLOOKUP($A34,test!$A$3:$I$32,9,FALSE))-test!$B$33,0)</f>
        <v>165</v>
      </c>
      <c r="AC34">
        <f>IF(AND(SUM(VLOOKUP($A34,test!$A$3:$F$32,2,FALSE),VLOOKUP(AC$1,test!$A$3:$F$32,2,FALSE))&lt;test!$K$16,$A34&lt;&gt;AC$1,Recharged_Feasible_mat!AD3=1),(VLOOKUP(AC$1,test!$A$3:$I$32,8,FALSE))-(VLOOKUP($A34,test!$A$3:$I$32,9,FALSE))-test!$B$33,0)</f>
        <v>285</v>
      </c>
      <c r="AD34">
        <f>IF(AND(SUM(VLOOKUP($A34,test!$A$3:$F$32,2,FALSE),VLOOKUP(AD$1,test!$A$3:$F$32,2,FALSE))&lt;test!$K$16,$A34&lt;&gt;AD$1,Recharged_Feasible_mat!AE3=1),(VLOOKUP(AD$1,test!$A$3:$I$32,8,FALSE))-(VLOOKUP($A34,test!$A$3:$I$32,9,FALSE))-test!$B$33,0)</f>
        <v>0</v>
      </c>
      <c r="AE34">
        <f>IF(AND(SUM(VLOOKUP($A34,test!$A$3:$F$32,2,FALSE),VLOOKUP(AE$1,test!$A$3:$F$32,2,FALSE))&lt;test!$K$16,$A34&lt;&gt;AE$1,Recharged_Feasible_mat!AF3=1),(VLOOKUP(AE$1,test!$A$3:$I$32,8,FALSE))-(VLOOKUP($A34,test!$A$3:$I$32,9,FALSE))-test!$B$33,0)</f>
        <v>105</v>
      </c>
      <c r="AF34">
        <f>IF(AND(SUM(VLOOKUP($A34,test!$A$3:$F$32,2,FALSE),VLOOKUP(AF$1,test!$A$3:$F$32,2,FALSE))&lt;test!$K$16,$A34&lt;&gt;AF$1,Recharged_Feasible_mat!AG3=1),(VLOOKUP(AF$1,test!$A$3:$I$32,8,FALSE))-(VLOOKUP($A34,test!$A$3:$I$32,9,FALSE))-test!$B$33,0)</f>
        <v>0</v>
      </c>
    </row>
    <row r="35" spans="1:32" x14ac:dyDescent="0.25">
      <c r="A35" t="s">
        <v>9</v>
      </c>
      <c r="B35">
        <v>0</v>
      </c>
      <c r="C35">
        <f>IF(AND(SUM(VLOOKUP($A35,test!$A$3:$F$32,2,FALSE),VLOOKUP(C$1,test!$A$3:$F$32,2,FALSE))&lt;test!$K$16,$A35&lt;&gt;C$1,Recharged_Feasible_mat!D4=1),(VLOOKUP(C$1,test!$A$3:$I$32,8,FALSE))-(VLOOKUP($A35,test!$A$3:$I$32,9,FALSE))-test!$B$33,0)</f>
        <v>0</v>
      </c>
      <c r="D35">
        <f>IF(AND(SUM(VLOOKUP($A35,test!$A$3:$F$32,2,FALSE),VLOOKUP(D$1,test!$A$3:$F$32,2,FALSE))&lt;test!$K$16,$A35&lt;&gt;D$1,Recharged_Feasible_mat!E4=1),(VLOOKUP(D$1,test!$A$3:$I$32,8,FALSE))-(VLOOKUP($A35,test!$A$3:$I$32,9,FALSE))-test!$B$33,0)</f>
        <v>0</v>
      </c>
      <c r="E35">
        <f>IF(AND(SUM(VLOOKUP($A35,test!$A$3:$F$32,2,FALSE),VLOOKUP(E$1,test!$A$3:$F$32,2,FALSE))&lt;test!$K$16,$A35&lt;&gt;E$1,Recharged_Feasible_mat!F4=1),(VLOOKUP(E$1,test!$A$3:$I$32,8,FALSE))-(VLOOKUP($A35,test!$A$3:$I$32,9,FALSE))-test!$B$33,0)</f>
        <v>0</v>
      </c>
      <c r="F35">
        <f>IF(AND(SUM(VLOOKUP($A35,test!$A$3:$F$32,2,FALSE),VLOOKUP(F$1,test!$A$3:$F$32,2,FALSE))&lt;test!$K$16,$A35&lt;&gt;F$1,Recharged_Feasible_mat!G4=1),(VLOOKUP(F$1,test!$A$3:$I$32,8,FALSE))-(VLOOKUP($A35,test!$A$3:$I$32,9,FALSE))-test!$B$33,0)</f>
        <v>0</v>
      </c>
      <c r="G35">
        <f>IF(AND(SUM(VLOOKUP($A35,test!$A$3:$F$32,2,FALSE),VLOOKUP(G$1,test!$A$3:$F$32,2,FALSE))&lt;test!$K$16,$A35&lt;&gt;G$1,Recharged_Feasible_mat!H4=1),(VLOOKUP(G$1,test!$A$3:$I$32,8,FALSE))-(VLOOKUP($A35,test!$A$3:$I$32,9,FALSE))-test!$B$33,0)</f>
        <v>45</v>
      </c>
      <c r="H35">
        <f>IF(AND(SUM(VLOOKUP($A35,test!$A$3:$F$32,2,FALSE),VLOOKUP(H$1,test!$A$3:$F$32,2,FALSE))&lt;test!$K$16,$A35&lt;&gt;H$1,Recharged_Feasible_mat!I4=1),(VLOOKUP(H$1,test!$A$3:$I$32,8,FALSE))-(VLOOKUP($A35,test!$A$3:$I$32,9,FALSE))-test!$B$33,0)</f>
        <v>105</v>
      </c>
      <c r="I35">
        <f>IF(AND(SUM(VLOOKUP($A35,test!$A$3:$F$32,2,FALSE),VLOOKUP(I$1,test!$A$3:$F$32,2,FALSE))&lt;test!$K$16,$A35&lt;&gt;I$1,Recharged_Feasible_mat!J4=1),(VLOOKUP(I$1,test!$A$3:$I$32,8,FALSE))-(VLOOKUP($A35,test!$A$3:$I$32,9,FALSE))-test!$B$33,0)</f>
        <v>165</v>
      </c>
      <c r="J35">
        <f>IF(AND(SUM(VLOOKUP($A35,test!$A$3:$F$32,2,FALSE),VLOOKUP(J$1,test!$A$3:$F$32,2,FALSE))&lt;test!$K$16,$A35&lt;&gt;J$1,Recharged_Feasible_mat!K4=1),(VLOOKUP(J$1,test!$A$3:$I$32,8,FALSE))-(VLOOKUP($A35,test!$A$3:$I$32,9,FALSE))-test!$B$33,0)</f>
        <v>255</v>
      </c>
      <c r="K35">
        <f>IF(AND(SUM(VLOOKUP($A35,test!$A$3:$F$32,2,FALSE),VLOOKUP(K$1,test!$A$3:$F$32,2,FALSE))&lt;test!$K$16,$A35&lt;&gt;K$1,Recharged_Feasible_mat!L4=1),(VLOOKUP(K$1,test!$A$3:$I$32,8,FALSE))-(VLOOKUP($A35,test!$A$3:$I$32,9,FALSE))-test!$B$33,0)</f>
        <v>0</v>
      </c>
      <c r="L35">
        <f>IF(AND(SUM(VLOOKUP($A35,test!$A$3:$F$32,2,FALSE),VLOOKUP(L$1,test!$A$3:$F$32,2,FALSE))&lt;test!$K$16,$A35&lt;&gt;L$1,Recharged_Feasible_mat!M4=1),(VLOOKUP(L$1,test!$A$3:$I$32,8,FALSE))-(VLOOKUP($A35,test!$A$3:$I$32,9,FALSE))-test!$B$33,0)</f>
        <v>0</v>
      </c>
      <c r="M35">
        <f>IF(AND(SUM(VLOOKUP($A35,test!$A$3:$F$32,2,FALSE),VLOOKUP(M$1,test!$A$3:$F$32,2,FALSE))&lt;test!$K$16,$A35&lt;&gt;M$1,Recharged_Feasible_mat!N4=1),(VLOOKUP(M$1,test!$A$3:$I$32,8,FALSE))-(VLOOKUP($A35,test!$A$3:$I$32,9,FALSE))-test!$B$33,0)</f>
        <v>0</v>
      </c>
      <c r="N35">
        <f>IF(AND(SUM(VLOOKUP($A35,test!$A$3:$F$32,2,FALSE),VLOOKUP(N$1,test!$A$3:$F$32,2,FALSE))&lt;test!$K$16,$A35&lt;&gt;N$1,Recharged_Feasible_mat!O4=1),(VLOOKUP(N$1,test!$A$3:$I$32,8,FALSE))-(VLOOKUP($A35,test!$A$3:$I$32,9,FALSE))-test!$B$33,0)</f>
        <v>220</v>
      </c>
      <c r="O35">
        <f>IF(AND(SUM(VLOOKUP($A35,test!$A$3:$F$32,2,FALSE),VLOOKUP(O$1,test!$A$3:$F$32,2,FALSE))&lt;test!$K$16,$A35&lt;&gt;O$1,Recharged_Feasible_mat!P4=1),(VLOOKUP(O$1,test!$A$3:$I$32,8,FALSE))-(VLOOKUP($A35,test!$A$3:$I$32,9,FALSE))-test!$B$33,0)</f>
        <v>280</v>
      </c>
      <c r="P35">
        <f>IF(AND(SUM(VLOOKUP($A35,test!$A$3:$F$32,2,FALSE),VLOOKUP(P$1,test!$A$3:$F$32,2,FALSE))&lt;test!$K$16,$A35&lt;&gt;P$1,Recharged_Feasible_mat!Q4=1),(VLOOKUP(P$1,test!$A$3:$I$32,8,FALSE))-(VLOOKUP($A35,test!$A$3:$I$32,9,FALSE))-test!$B$33,0)</f>
        <v>0</v>
      </c>
      <c r="Q35">
        <f>IF(AND(SUM(VLOOKUP($A35,test!$A$3:$F$32,2,FALSE),VLOOKUP(Q$1,test!$A$3:$F$32,2,FALSE))&lt;test!$K$16,$A35&lt;&gt;Q$1,Recharged_Feasible_mat!R4=1),(VLOOKUP(Q$1,test!$A$3:$I$32,8,FALSE))-(VLOOKUP($A35,test!$A$3:$I$32,9,FALSE))-test!$B$33,0)</f>
        <v>0</v>
      </c>
      <c r="R35">
        <f>IF(AND(SUM(VLOOKUP($A35,test!$A$3:$F$32,2,FALSE),VLOOKUP(R$1,test!$A$3:$F$32,2,FALSE))&lt;test!$K$16,$A35&lt;&gt;R$1,Recharged_Feasible_mat!S4=1),(VLOOKUP(R$1,test!$A$3:$I$32,8,FALSE))-(VLOOKUP($A35,test!$A$3:$I$32,9,FALSE))-test!$B$33,0)</f>
        <v>0</v>
      </c>
      <c r="S35">
        <f>IF(AND(SUM(VLOOKUP($A35,test!$A$3:$F$32,2,FALSE),VLOOKUP(S$1,test!$A$3:$F$32,2,FALSE))&lt;test!$K$16,$A35&lt;&gt;S$1,Recharged_Feasible_mat!T4=1),(VLOOKUP(S$1,test!$A$3:$I$32,8,FALSE))-(VLOOKUP($A35,test!$A$3:$I$32,9,FALSE))-test!$B$33,0)</f>
        <v>0</v>
      </c>
      <c r="T35">
        <f>IF(AND(SUM(VLOOKUP($A35,test!$A$3:$F$32,2,FALSE),VLOOKUP(T$1,test!$A$3:$F$32,2,FALSE))&lt;test!$K$16,$A35&lt;&gt;T$1,Recharged_Feasible_mat!U4=1),(VLOOKUP(T$1,test!$A$3:$I$32,8,FALSE))-(VLOOKUP($A35,test!$A$3:$I$32,9,FALSE))-test!$B$33,0)</f>
        <v>0</v>
      </c>
      <c r="U35">
        <f>IF(AND(SUM(VLOOKUP($A35,test!$A$3:$F$32,2,FALSE),VLOOKUP(U$1,test!$A$3:$F$32,2,FALSE))&lt;test!$K$16,$A35&lt;&gt;U$1,Recharged_Feasible_mat!V4=1),(VLOOKUP(U$1,test!$A$3:$I$32,8,FALSE))-(VLOOKUP($A35,test!$A$3:$I$32,9,FALSE))-test!$B$33,0)</f>
        <v>0</v>
      </c>
      <c r="V35">
        <f>IF(AND(SUM(VLOOKUP($A35,test!$A$3:$F$32,2,FALSE),VLOOKUP(V$1,test!$A$3:$F$32,2,FALSE))&lt;test!$K$16,$A35&lt;&gt;V$1,Recharged_Feasible_mat!W4=1),(VLOOKUP(V$1,test!$A$3:$I$32,8,FALSE))-(VLOOKUP($A35,test!$A$3:$I$32,9,FALSE))-test!$B$33,0)</f>
        <v>55</v>
      </c>
      <c r="W35">
        <f>IF(AND(SUM(VLOOKUP($A35,test!$A$3:$F$32,2,FALSE),VLOOKUP(W$1,test!$A$3:$F$32,2,FALSE))&lt;test!$K$16,$A35&lt;&gt;W$1,Recharged_Feasible_mat!X4=1),(VLOOKUP(W$1,test!$A$3:$I$32,8,FALSE))-(VLOOKUP($A35,test!$A$3:$I$32,9,FALSE))-test!$B$33,0)</f>
        <v>145</v>
      </c>
      <c r="X35">
        <f>IF(AND(SUM(VLOOKUP($A35,test!$A$3:$F$32,2,FALSE),VLOOKUP(X$1,test!$A$3:$F$32,2,FALSE))&lt;test!$K$16,$A35&lt;&gt;X$1,Recharged_Feasible_mat!Y4=1),(VLOOKUP(X$1,test!$A$3:$I$32,8,FALSE))-(VLOOKUP($A35,test!$A$3:$I$32,9,FALSE))-test!$B$33,0)</f>
        <v>205</v>
      </c>
      <c r="Y35">
        <f>IF(AND(SUM(VLOOKUP($A35,test!$A$3:$F$32,2,FALSE),VLOOKUP(Y$1,test!$A$3:$F$32,2,FALSE))&lt;test!$K$16,$A35&lt;&gt;Y$1,Recharged_Feasible_mat!Z4=1),(VLOOKUP(Y$1,test!$A$3:$I$32,8,FALSE))-(VLOOKUP($A35,test!$A$3:$I$32,9,FALSE))-test!$B$33,0)</f>
        <v>0</v>
      </c>
      <c r="Z35">
        <f>IF(AND(SUM(VLOOKUP($A35,test!$A$3:$F$32,2,FALSE),VLOOKUP(Z$1,test!$A$3:$F$32,2,FALSE))&lt;test!$K$16,$A35&lt;&gt;Z$1,Recharged_Feasible_mat!AA4=1),(VLOOKUP(Z$1,test!$A$3:$I$32,8,FALSE))-(VLOOKUP($A35,test!$A$3:$I$32,9,FALSE))-test!$B$33,0)</f>
        <v>0</v>
      </c>
      <c r="AA35">
        <f>IF(AND(SUM(VLOOKUP($A35,test!$A$3:$F$32,2,FALSE),VLOOKUP(AA$1,test!$A$3:$F$32,2,FALSE))&lt;test!$K$16,$A35&lt;&gt;AA$1,Recharged_Feasible_mat!AB4=1),(VLOOKUP(AA$1,test!$A$3:$I$32,8,FALSE))-(VLOOKUP($A35,test!$A$3:$I$32,9,FALSE))-test!$B$33,0)</f>
        <v>0</v>
      </c>
      <c r="AB35">
        <f>IF(AND(SUM(VLOOKUP($A35,test!$A$3:$F$32,2,FALSE),VLOOKUP(AB$1,test!$A$3:$F$32,2,FALSE))&lt;test!$K$16,$A35&lt;&gt;AB$1,Recharged_Feasible_mat!AC4=1),(VLOOKUP(AB$1,test!$A$3:$I$32,8,FALSE))-(VLOOKUP($A35,test!$A$3:$I$32,9,FALSE))-test!$B$33,0)</f>
        <v>0</v>
      </c>
      <c r="AC35">
        <f>IF(AND(SUM(VLOOKUP($A35,test!$A$3:$F$32,2,FALSE),VLOOKUP(AC$1,test!$A$3:$F$32,2,FALSE))&lt;test!$K$16,$A35&lt;&gt;AC$1,Recharged_Feasible_mat!AD4=1),(VLOOKUP(AC$1,test!$A$3:$I$32,8,FALSE))-(VLOOKUP($A35,test!$A$3:$I$32,9,FALSE))-test!$B$33,0)</f>
        <v>105</v>
      </c>
      <c r="AD35">
        <f>IF(AND(SUM(VLOOKUP($A35,test!$A$3:$F$32,2,FALSE),VLOOKUP(AD$1,test!$A$3:$F$32,2,FALSE))&lt;test!$K$16,$A35&lt;&gt;AD$1,Recharged_Feasible_mat!AE4=1),(VLOOKUP(AD$1,test!$A$3:$I$32,8,FALSE))-(VLOOKUP($A35,test!$A$3:$I$32,9,FALSE))-test!$B$33,0)</f>
        <v>0</v>
      </c>
      <c r="AE35">
        <f>IF(AND(SUM(VLOOKUP($A35,test!$A$3:$F$32,2,FALSE),VLOOKUP(AE$1,test!$A$3:$F$32,2,FALSE))&lt;test!$K$16,$A35&lt;&gt;AE$1,Recharged_Feasible_mat!AF4=1),(VLOOKUP(AE$1,test!$A$3:$I$32,8,FALSE))-(VLOOKUP($A35,test!$A$3:$I$32,9,FALSE))-test!$B$33,0)</f>
        <v>0</v>
      </c>
      <c r="AF35">
        <f>IF(AND(SUM(VLOOKUP($A35,test!$A$3:$F$32,2,FALSE),VLOOKUP(AF$1,test!$A$3:$F$32,2,FALSE))&lt;test!$K$16,$A35&lt;&gt;AF$1,Recharged_Feasible_mat!AG4=1),(VLOOKUP(AF$1,test!$A$3:$I$32,8,FALSE))-(VLOOKUP($A35,test!$A$3:$I$32,9,FALSE))-test!$B$33,0)</f>
        <v>0</v>
      </c>
    </row>
    <row r="36" spans="1:32" x14ac:dyDescent="0.25">
      <c r="A36" t="s">
        <v>10</v>
      </c>
      <c r="B36">
        <v>0</v>
      </c>
      <c r="C36">
        <f>IF(AND(SUM(VLOOKUP($A36,test!$A$3:$F$32,2,FALSE),VLOOKUP(C$1,test!$A$3:$F$32,2,FALSE))&lt;test!$K$16,$A36&lt;&gt;C$1,Recharged_Feasible_mat!D5=1),(VLOOKUP(C$1,test!$A$3:$I$32,8,FALSE))-(VLOOKUP($A36,test!$A$3:$I$32,9,FALSE))-test!$B$33,0)</f>
        <v>0</v>
      </c>
      <c r="D36">
        <f>IF(AND(SUM(VLOOKUP($A36,test!$A$3:$F$32,2,FALSE),VLOOKUP(D$1,test!$A$3:$F$32,2,FALSE))&lt;test!$K$16,$A36&lt;&gt;D$1,Recharged_Feasible_mat!E5=1),(VLOOKUP(D$1,test!$A$3:$I$32,8,FALSE))-(VLOOKUP($A36,test!$A$3:$I$32,9,FALSE))-test!$B$33,0)</f>
        <v>0</v>
      </c>
      <c r="E36">
        <f>IF(AND(SUM(VLOOKUP($A36,test!$A$3:$F$32,2,FALSE),VLOOKUP(E$1,test!$A$3:$F$32,2,FALSE))&lt;test!$K$16,$A36&lt;&gt;E$1,Recharged_Feasible_mat!F5=1),(VLOOKUP(E$1,test!$A$3:$I$32,8,FALSE))-(VLOOKUP($A36,test!$A$3:$I$32,9,FALSE))-test!$B$33,0)</f>
        <v>0</v>
      </c>
      <c r="F36">
        <f>IF(AND(SUM(VLOOKUP($A36,test!$A$3:$F$32,2,FALSE),VLOOKUP(F$1,test!$A$3:$F$32,2,FALSE))&lt;test!$K$16,$A36&lt;&gt;F$1,Recharged_Feasible_mat!G5=1),(VLOOKUP(F$1,test!$A$3:$I$32,8,FALSE))-(VLOOKUP($A36,test!$A$3:$I$32,9,FALSE))-test!$B$33,0)</f>
        <v>0</v>
      </c>
      <c r="G36">
        <f>IF(AND(SUM(VLOOKUP($A36,test!$A$3:$F$32,2,FALSE),VLOOKUP(G$1,test!$A$3:$F$32,2,FALSE))&lt;test!$K$16,$A36&lt;&gt;G$1,Recharged_Feasible_mat!H5=1),(VLOOKUP(G$1,test!$A$3:$I$32,8,FALSE))-(VLOOKUP($A36,test!$A$3:$I$32,9,FALSE))-test!$B$33,0)</f>
        <v>0</v>
      </c>
      <c r="H36">
        <f>IF(AND(SUM(VLOOKUP($A36,test!$A$3:$F$32,2,FALSE),VLOOKUP(H$1,test!$A$3:$F$32,2,FALSE))&lt;test!$K$16,$A36&lt;&gt;H$1,Recharged_Feasible_mat!I5=1),(VLOOKUP(H$1,test!$A$3:$I$32,8,FALSE))-(VLOOKUP($A36,test!$A$3:$I$32,9,FALSE))-test!$B$33,0)</f>
        <v>15</v>
      </c>
      <c r="I36">
        <f>IF(AND(SUM(VLOOKUP($A36,test!$A$3:$F$32,2,FALSE),VLOOKUP(I$1,test!$A$3:$F$32,2,FALSE))&lt;test!$K$16,$A36&lt;&gt;I$1,Recharged_Feasible_mat!J5=1),(VLOOKUP(I$1,test!$A$3:$I$32,8,FALSE))-(VLOOKUP($A36,test!$A$3:$I$32,9,FALSE))-test!$B$33,0)</f>
        <v>75</v>
      </c>
      <c r="J36">
        <f>IF(AND(SUM(VLOOKUP($A36,test!$A$3:$F$32,2,FALSE),VLOOKUP(J$1,test!$A$3:$F$32,2,FALSE))&lt;test!$K$16,$A36&lt;&gt;J$1,Recharged_Feasible_mat!K5=1),(VLOOKUP(J$1,test!$A$3:$I$32,8,FALSE))-(VLOOKUP($A36,test!$A$3:$I$32,9,FALSE))-test!$B$33,0)</f>
        <v>165</v>
      </c>
      <c r="K36">
        <f>IF(AND(SUM(VLOOKUP($A36,test!$A$3:$F$32,2,FALSE),VLOOKUP(K$1,test!$A$3:$F$32,2,FALSE))&lt;test!$K$16,$A36&lt;&gt;K$1,Recharged_Feasible_mat!L5=1),(VLOOKUP(K$1,test!$A$3:$I$32,8,FALSE))-(VLOOKUP($A36,test!$A$3:$I$32,9,FALSE))-test!$B$33,0)</f>
        <v>0</v>
      </c>
      <c r="L36">
        <f>IF(AND(SUM(VLOOKUP($A36,test!$A$3:$F$32,2,FALSE),VLOOKUP(L$1,test!$A$3:$F$32,2,FALSE))&lt;test!$K$16,$A36&lt;&gt;L$1,Recharged_Feasible_mat!M5=1),(VLOOKUP(L$1,test!$A$3:$I$32,8,FALSE))-(VLOOKUP($A36,test!$A$3:$I$32,9,FALSE))-test!$B$33,0)</f>
        <v>0</v>
      </c>
      <c r="M36">
        <f>IF(AND(SUM(VLOOKUP($A36,test!$A$3:$F$32,2,FALSE),VLOOKUP(M$1,test!$A$3:$F$32,2,FALSE))&lt;test!$K$16,$A36&lt;&gt;M$1,Recharged_Feasible_mat!N5=1),(VLOOKUP(M$1,test!$A$3:$I$32,8,FALSE))-(VLOOKUP($A36,test!$A$3:$I$32,9,FALSE))-test!$B$33,0)</f>
        <v>0</v>
      </c>
      <c r="N36">
        <f>IF(AND(SUM(VLOOKUP($A36,test!$A$3:$F$32,2,FALSE),VLOOKUP(N$1,test!$A$3:$F$32,2,FALSE))&lt;test!$K$16,$A36&lt;&gt;N$1,Recharged_Feasible_mat!O5=1),(VLOOKUP(N$1,test!$A$3:$I$32,8,FALSE))-(VLOOKUP($A36,test!$A$3:$I$32,9,FALSE))-test!$B$33,0)</f>
        <v>130</v>
      </c>
      <c r="O36">
        <f>IF(AND(SUM(VLOOKUP($A36,test!$A$3:$F$32,2,FALSE),VLOOKUP(O$1,test!$A$3:$F$32,2,FALSE))&lt;test!$K$16,$A36&lt;&gt;O$1,Recharged_Feasible_mat!P5=1),(VLOOKUP(O$1,test!$A$3:$I$32,8,FALSE))-(VLOOKUP($A36,test!$A$3:$I$32,9,FALSE))-test!$B$33,0)</f>
        <v>190</v>
      </c>
      <c r="P36">
        <f>IF(AND(SUM(VLOOKUP($A36,test!$A$3:$F$32,2,FALSE),VLOOKUP(P$1,test!$A$3:$F$32,2,FALSE))&lt;test!$K$16,$A36&lt;&gt;P$1,Recharged_Feasible_mat!Q5=1),(VLOOKUP(P$1,test!$A$3:$I$32,8,FALSE))-(VLOOKUP($A36,test!$A$3:$I$32,9,FALSE))-test!$B$33,0)</f>
        <v>0</v>
      </c>
      <c r="Q36">
        <f>IF(AND(SUM(VLOOKUP($A36,test!$A$3:$F$32,2,FALSE),VLOOKUP(Q$1,test!$A$3:$F$32,2,FALSE))&lt;test!$K$16,$A36&lt;&gt;Q$1,Recharged_Feasible_mat!R5=1),(VLOOKUP(Q$1,test!$A$3:$I$32,8,FALSE))-(VLOOKUP($A36,test!$A$3:$I$32,9,FALSE))-test!$B$33,0)</f>
        <v>0</v>
      </c>
      <c r="R36">
        <f>IF(AND(SUM(VLOOKUP($A36,test!$A$3:$F$32,2,FALSE),VLOOKUP(R$1,test!$A$3:$F$32,2,FALSE))&lt;test!$K$16,$A36&lt;&gt;R$1,Recharged_Feasible_mat!S5=1),(VLOOKUP(R$1,test!$A$3:$I$32,8,FALSE))-(VLOOKUP($A36,test!$A$3:$I$32,9,FALSE))-test!$B$33,0)</f>
        <v>0</v>
      </c>
      <c r="S36">
        <f>IF(AND(SUM(VLOOKUP($A36,test!$A$3:$F$32,2,FALSE),VLOOKUP(S$1,test!$A$3:$F$32,2,FALSE))&lt;test!$K$16,$A36&lt;&gt;S$1,Recharged_Feasible_mat!T5=1),(VLOOKUP(S$1,test!$A$3:$I$32,8,FALSE))-(VLOOKUP($A36,test!$A$3:$I$32,9,FALSE))-test!$B$33,0)</f>
        <v>0</v>
      </c>
      <c r="T36">
        <f>IF(AND(SUM(VLOOKUP($A36,test!$A$3:$F$32,2,FALSE),VLOOKUP(T$1,test!$A$3:$F$32,2,FALSE))&lt;test!$K$16,$A36&lt;&gt;T$1,Recharged_Feasible_mat!U5=1),(VLOOKUP(T$1,test!$A$3:$I$32,8,FALSE))-(VLOOKUP($A36,test!$A$3:$I$32,9,FALSE))-test!$B$33,0)</f>
        <v>0</v>
      </c>
      <c r="U36">
        <f>IF(AND(SUM(VLOOKUP($A36,test!$A$3:$F$32,2,FALSE),VLOOKUP(U$1,test!$A$3:$F$32,2,FALSE))&lt;test!$K$16,$A36&lt;&gt;U$1,Recharged_Feasible_mat!V5=1),(VLOOKUP(U$1,test!$A$3:$I$32,8,FALSE))-(VLOOKUP($A36,test!$A$3:$I$32,9,FALSE))-test!$B$33,0)</f>
        <v>0</v>
      </c>
      <c r="V36">
        <f>IF(AND(SUM(VLOOKUP($A36,test!$A$3:$F$32,2,FALSE),VLOOKUP(V$1,test!$A$3:$F$32,2,FALSE))&lt;test!$K$16,$A36&lt;&gt;V$1,Recharged_Feasible_mat!W5=1),(VLOOKUP(V$1,test!$A$3:$I$32,8,FALSE))-(VLOOKUP($A36,test!$A$3:$I$32,9,FALSE))-test!$B$33,0)</f>
        <v>0</v>
      </c>
      <c r="W36">
        <f>IF(AND(SUM(VLOOKUP($A36,test!$A$3:$F$32,2,FALSE),VLOOKUP(W$1,test!$A$3:$F$32,2,FALSE))&lt;test!$K$16,$A36&lt;&gt;W$1,Recharged_Feasible_mat!X5=1),(VLOOKUP(W$1,test!$A$3:$I$32,8,FALSE))-(VLOOKUP($A36,test!$A$3:$I$32,9,FALSE))-test!$B$33,0)</f>
        <v>55</v>
      </c>
      <c r="X36">
        <f>IF(AND(SUM(VLOOKUP($A36,test!$A$3:$F$32,2,FALSE),VLOOKUP(X$1,test!$A$3:$F$32,2,FALSE))&lt;test!$K$16,$A36&lt;&gt;X$1,Recharged_Feasible_mat!Y5=1),(VLOOKUP(X$1,test!$A$3:$I$32,8,FALSE))-(VLOOKUP($A36,test!$A$3:$I$32,9,FALSE))-test!$B$33,0)</f>
        <v>115</v>
      </c>
      <c r="Y36">
        <f>IF(AND(SUM(VLOOKUP($A36,test!$A$3:$F$32,2,FALSE),VLOOKUP(Y$1,test!$A$3:$F$32,2,FALSE))&lt;test!$K$16,$A36&lt;&gt;Y$1,Recharged_Feasible_mat!Z5=1),(VLOOKUP(Y$1,test!$A$3:$I$32,8,FALSE))-(VLOOKUP($A36,test!$A$3:$I$32,9,FALSE))-test!$B$33,0)</f>
        <v>0</v>
      </c>
      <c r="Z36">
        <f>IF(AND(SUM(VLOOKUP($A36,test!$A$3:$F$32,2,FALSE),VLOOKUP(Z$1,test!$A$3:$F$32,2,FALSE))&lt;test!$K$16,$A36&lt;&gt;Z$1,Recharged_Feasible_mat!AA5=1),(VLOOKUP(Z$1,test!$A$3:$I$32,8,FALSE))-(VLOOKUP($A36,test!$A$3:$I$32,9,FALSE))-test!$B$33,0)</f>
        <v>0</v>
      </c>
      <c r="AA36">
        <f>IF(AND(SUM(VLOOKUP($A36,test!$A$3:$F$32,2,FALSE),VLOOKUP(AA$1,test!$A$3:$F$32,2,FALSE))&lt;test!$K$16,$A36&lt;&gt;AA$1,Recharged_Feasible_mat!AB5=1),(VLOOKUP(AA$1,test!$A$3:$I$32,8,FALSE))-(VLOOKUP($A36,test!$A$3:$I$32,9,FALSE))-test!$B$33,0)</f>
        <v>0</v>
      </c>
      <c r="AB36">
        <f>IF(AND(SUM(VLOOKUP($A36,test!$A$3:$F$32,2,FALSE),VLOOKUP(AB$1,test!$A$3:$F$32,2,FALSE))&lt;test!$K$16,$A36&lt;&gt;AB$1,Recharged_Feasible_mat!AC5=1),(VLOOKUP(AB$1,test!$A$3:$I$32,8,FALSE))-(VLOOKUP($A36,test!$A$3:$I$32,9,FALSE))-test!$B$33,0)</f>
        <v>0</v>
      </c>
      <c r="AC36">
        <f>IF(AND(SUM(VLOOKUP($A36,test!$A$3:$F$32,2,FALSE),VLOOKUP(AC$1,test!$A$3:$F$32,2,FALSE))&lt;test!$K$16,$A36&lt;&gt;AC$1,Recharged_Feasible_mat!AD5=1),(VLOOKUP(AC$1,test!$A$3:$I$32,8,FALSE))-(VLOOKUP($A36,test!$A$3:$I$32,9,FALSE))-test!$B$33,0)</f>
        <v>15</v>
      </c>
      <c r="AD36">
        <f>IF(AND(SUM(VLOOKUP($A36,test!$A$3:$F$32,2,FALSE),VLOOKUP(AD$1,test!$A$3:$F$32,2,FALSE))&lt;test!$K$16,$A36&lt;&gt;AD$1,Recharged_Feasible_mat!AE5=1),(VLOOKUP(AD$1,test!$A$3:$I$32,8,FALSE))-(VLOOKUP($A36,test!$A$3:$I$32,9,FALSE))-test!$B$33,0)</f>
        <v>0</v>
      </c>
      <c r="AE36">
        <f>IF(AND(SUM(VLOOKUP($A36,test!$A$3:$F$32,2,FALSE),VLOOKUP(AE$1,test!$A$3:$F$32,2,FALSE))&lt;test!$K$16,$A36&lt;&gt;AE$1,Recharged_Feasible_mat!AF5=1),(VLOOKUP(AE$1,test!$A$3:$I$32,8,FALSE))-(VLOOKUP($A36,test!$A$3:$I$32,9,FALSE))-test!$B$33,0)</f>
        <v>0</v>
      </c>
      <c r="AF36">
        <f>IF(AND(SUM(VLOOKUP($A36,test!$A$3:$F$32,2,FALSE),VLOOKUP(AF$1,test!$A$3:$F$32,2,FALSE))&lt;test!$K$16,$A36&lt;&gt;AF$1,Recharged_Feasible_mat!AG5=1),(VLOOKUP(AF$1,test!$A$3:$I$32,8,FALSE))-(VLOOKUP($A36,test!$A$3:$I$32,9,FALSE))-test!$B$33,0)</f>
        <v>0</v>
      </c>
    </row>
    <row r="37" spans="1:32" x14ac:dyDescent="0.25">
      <c r="A37" t="s">
        <v>11</v>
      </c>
      <c r="B37">
        <v>0</v>
      </c>
      <c r="C37">
        <f>IF(AND(SUM(VLOOKUP($A37,test!$A$3:$F$32,2,FALSE),VLOOKUP(C$1,test!$A$3:$F$32,2,FALSE))&lt;test!$K$16,$A37&lt;&gt;C$1,Recharged_Feasible_mat!D6=1),(VLOOKUP(C$1,test!$A$3:$I$32,8,FALSE))-(VLOOKUP($A37,test!$A$3:$I$32,9,FALSE))-test!$B$33,0)</f>
        <v>0</v>
      </c>
      <c r="D37">
        <f>IF(AND(SUM(VLOOKUP($A37,test!$A$3:$F$32,2,FALSE),VLOOKUP(D$1,test!$A$3:$F$32,2,FALSE))&lt;test!$K$16,$A37&lt;&gt;D$1,Recharged_Feasible_mat!E6=1),(VLOOKUP(D$1,test!$A$3:$I$32,8,FALSE))-(VLOOKUP($A37,test!$A$3:$I$32,9,FALSE))-test!$B$33,0)</f>
        <v>0</v>
      </c>
      <c r="E37">
        <f>IF(AND(SUM(VLOOKUP($A37,test!$A$3:$F$32,2,FALSE),VLOOKUP(E$1,test!$A$3:$F$32,2,FALSE))&lt;test!$K$16,$A37&lt;&gt;E$1,Recharged_Feasible_mat!F6=1),(VLOOKUP(E$1,test!$A$3:$I$32,8,FALSE))-(VLOOKUP($A37,test!$A$3:$I$32,9,FALSE))-test!$B$33,0)</f>
        <v>0</v>
      </c>
      <c r="F37">
        <f>IF(AND(SUM(VLOOKUP($A37,test!$A$3:$F$32,2,FALSE),VLOOKUP(F$1,test!$A$3:$F$32,2,FALSE))&lt;test!$K$16,$A37&lt;&gt;F$1,Recharged_Feasible_mat!G6=1),(VLOOKUP(F$1,test!$A$3:$I$32,8,FALSE))-(VLOOKUP($A37,test!$A$3:$I$32,9,FALSE))-test!$B$33,0)</f>
        <v>0</v>
      </c>
      <c r="G37">
        <f>IF(AND(SUM(VLOOKUP($A37,test!$A$3:$F$32,2,FALSE),VLOOKUP(G$1,test!$A$3:$F$32,2,FALSE))&lt;test!$K$16,$A37&lt;&gt;G$1,Recharged_Feasible_mat!H6=1),(VLOOKUP(G$1,test!$A$3:$I$32,8,FALSE))-(VLOOKUP($A37,test!$A$3:$I$32,9,FALSE))-test!$B$33,0)</f>
        <v>0</v>
      </c>
      <c r="H37">
        <f>IF(AND(SUM(VLOOKUP($A37,test!$A$3:$F$32,2,FALSE),VLOOKUP(H$1,test!$A$3:$F$32,2,FALSE))&lt;test!$K$16,$A37&lt;&gt;H$1,Recharged_Feasible_mat!I6=1),(VLOOKUP(H$1,test!$A$3:$I$32,8,FALSE))-(VLOOKUP($A37,test!$A$3:$I$32,9,FALSE))-test!$B$33,0)</f>
        <v>0</v>
      </c>
      <c r="I37">
        <f>IF(AND(SUM(VLOOKUP($A37,test!$A$3:$F$32,2,FALSE),VLOOKUP(I$1,test!$A$3:$F$32,2,FALSE))&lt;test!$K$16,$A37&lt;&gt;I$1,Recharged_Feasible_mat!J6=1),(VLOOKUP(I$1,test!$A$3:$I$32,8,FALSE))-(VLOOKUP($A37,test!$A$3:$I$32,9,FALSE))-test!$B$33,0)</f>
        <v>0</v>
      </c>
      <c r="J37">
        <f>IF(AND(SUM(VLOOKUP($A37,test!$A$3:$F$32,2,FALSE),VLOOKUP(J$1,test!$A$3:$F$32,2,FALSE))&lt;test!$K$16,$A37&lt;&gt;J$1,Recharged_Feasible_mat!K6=1),(VLOOKUP(J$1,test!$A$3:$I$32,8,FALSE))-(VLOOKUP($A37,test!$A$3:$I$32,9,FALSE))-test!$B$33,0)</f>
        <v>75</v>
      </c>
      <c r="K37">
        <f>IF(AND(SUM(VLOOKUP($A37,test!$A$3:$F$32,2,FALSE),VLOOKUP(K$1,test!$A$3:$F$32,2,FALSE))&lt;test!$K$16,$A37&lt;&gt;K$1,Recharged_Feasible_mat!L6=1),(VLOOKUP(K$1,test!$A$3:$I$32,8,FALSE))-(VLOOKUP($A37,test!$A$3:$I$32,9,FALSE))-test!$B$33,0)</f>
        <v>0</v>
      </c>
      <c r="L37">
        <f>IF(AND(SUM(VLOOKUP($A37,test!$A$3:$F$32,2,FALSE),VLOOKUP(L$1,test!$A$3:$F$32,2,FALSE))&lt;test!$K$16,$A37&lt;&gt;L$1,Recharged_Feasible_mat!M6=1),(VLOOKUP(L$1,test!$A$3:$I$32,8,FALSE))-(VLOOKUP($A37,test!$A$3:$I$32,9,FALSE))-test!$B$33,0)</f>
        <v>0</v>
      </c>
      <c r="M37">
        <f>IF(AND(SUM(VLOOKUP($A37,test!$A$3:$F$32,2,FALSE),VLOOKUP(M$1,test!$A$3:$F$32,2,FALSE))&lt;test!$K$16,$A37&lt;&gt;M$1,Recharged_Feasible_mat!N6=1),(VLOOKUP(M$1,test!$A$3:$I$32,8,FALSE))-(VLOOKUP($A37,test!$A$3:$I$32,9,FALSE))-test!$B$33,0)</f>
        <v>0</v>
      </c>
      <c r="N37">
        <f>IF(AND(SUM(VLOOKUP($A37,test!$A$3:$F$32,2,FALSE),VLOOKUP(N$1,test!$A$3:$F$32,2,FALSE))&lt;test!$K$16,$A37&lt;&gt;N$1,Recharged_Feasible_mat!O6=1),(VLOOKUP(N$1,test!$A$3:$I$32,8,FALSE))-(VLOOKUP($A37,test!$A$3:$I$32,9,FALSE))-test!$B$33,0)</f>
        <v>40</v>
      </c>
      <c r="O37">
        <f>IF(AND(SUM(VLOOKUP($A37,test!$A$3:$F$32,2,FALSE),VLOOKUP(O$1,test!$A$3:$F$32,2,FALSE))&lt;test!$K$16,$A37&lt;&gt;O$1,Recharged_Feasible_mat!P6=1),(VLOOKUP(O$1,test!$A$3:$I$32,8,FALSE))-(VLOOKUP($A37,test!$A$3:$I$32,9,FALSE))-test!$B$33,0)</f>
        <v>100</v>
      </c>
      <c r="P37">
        <f>IF(AND(SUM(VLOOKUP($A37,test!$A$3:$F$32,2,FALSE),VLOOKUP(P$1,test!$A$3:$F$32,2,FALSE))&lt;test!$K$16,$A37&lt;&gt;P$1,Recharged_Feasible_mat!Q6=1),(VLOOKUP(P$1,test!$A$3:$I$32,8,FALSE))-(VLOOKUP($A37,test!$A$3:$I$32,9,FALSE))-test!$B$33,0)</f>
        <v>0</v>
      </c>
      <c r="Q37">
        <f>IF(AND(SUM(VLOOKUP($A37,test!$A$3:$F$32,2,FALSE),VLOOKUP(Q$1,test!$A$3:$F$32,2,FALSE))&lt;test!$K$16,$A37&lt;&gt;Q$1,Recharged_Feasible_mat!R6=1),(VLOOKUP(Q$1,test!$A$3:$I$32,8,FALSE))-(VLOOKUP($A37,test!$A$3:$I$32,9,FALSE))-test!$B$33,0)</f>
        <v>0</v>
      </c>
      <c r="R37">
        <f>IF(AND(SUM(VLOOKUP($A37,test!$A$3:$F$32,2,FALSE),VLOOKUP(R$1,test!$A$3:$F$32,2,FALSE))&lt;test!$K$16,$A37&lt;&gt;R$1,Recharged_Feasible_mat!S6=1),(VLOOKUP(R$1,test!$A$3:$I$32,8,FALSE))-(VLOOKUP($A37,test!$A$3:$I$32,9,FALSE))-test!$B$33,0)</f>
        <v>0</v>
      </c>
      <c r="S37">
        <f>IF(AND(SUM(VLOOKUP($A37,test!$A$3:$F$32,2,FALSE),VLOOKUP(S$1,test!$A$3:$F$32,2,FALSE))&lt;test!$K$16,$A37&lt;&gt;S$1,Recharged_Feasible_mat!T6=1),(VLOOKUP(S$1,test!$A$3:$I$32,8,FALSE))-(VLOOKUP($A37,test!$A$3:$I$32,9,FALSE))-test!$B$33,0)</f>
        <v>0</v>
      </c>
      <c r="T37">
        <f>IF(AND(SUM(VLOOKUP($A37,test!$A$3:$F$32,2,FALSE),VLOOKUP(T$1,test!$A$3:$F$32,2,FALSE))&lt;test!$K$16,$A37&lt;&gt;T$1,Recharged_Feasible_mat!U6=1),(VLOOKUP(T$1,test!$A$3:$I$32,8,FALSE))-(VLOOKUP($A37,test!$A$3:$I$32,9,FALSE))-test!$B$33,0)</f>
        <v>0</v>
      </c>
      <c r="U37">
        <f>IF(AND(SUM(VLOOKUP($A37,test!$A$3:$F$32,2,FALSE),VLOOKUP(U$1,test!$A$3:$F$32,2,FALSE))&lt;test!$K$16,$A37&lt;&gt;U$1,Recharged_Feasible_mat!V6=1),(VLOOKUP(U$1,test!$A$3:$I$32,8,FALSE))-(VLOOKUP($A37,test!$A$3:$I$32,9,FALSE))-test!$B$33,0)</f>
        <v>0</v>
      </c>
      <c r="V37">
        <f>IF(AND(SUM(VLOOKUP($A37,test!$A$3:$F$32,2,FALSE),VLOOKUP(V$1,test!$A$3:$F$32,2,FALSE))&lt;test!$K$16,$A37&lt;&gt;V$1,Recharged_Feasible_mat!W6=1),(VLOOKUP(V$1,test!$A$3:$I$32,8,FALSE))-(VLOOKUP($A37,test!$A$3:$I$32,9,FALSE))-test!$B$33,0)</f>
        <v>0</v>
      </c>
      <c r="W37">
        <f>IF(AND(SUM(VLOOKUP($A37,test!$A$3:$F$32,2,FALSE),VLOOKUP(W$1,test!$A$3:$F$32,2,FALSE))&lt;test!$K$16,$A37&lt;&gt;W$1,Recharged_Feasible_mat!X6=1),(VLOOKUP(W$1,test!$A$3:$I$32,8,FALSE))-(VLOOKUP($A37,test!$A$3:$I$32,9,FALSE))-test!$B$33,0)</f>
        <v>0</v>
      </c>
      <c r="X37">
        <f>IF(AND(SUM(VLOOKUP($A37,test!$A$3:$F$32,2,FALSE),VLOOKUP(X$1,test!$A$3:$F$32,2,FALSE))&lt;test!$K$16,$A37&lt;&gt;X$1,Recharged_Feasible_mat!Y6=1),(VLOOKUP(X$1,test!$A$3:$I$32,8,FALSE))-(VLOOKUP($A37,test!$A$3:$I$32,9,FALSE))-test!$B$33,0)</f>
        <v>25</v>
      </c>
      <c r="Y37">
        <f>IF(AND(SUM(VLOOKUP($A37,test!$A$3:$F$32,2,FALSE),VLOOKUP(Y$1,test!$A$3:$F$32,2,FALSE))&lt;test!$K$16,$A37&lt;&gt;Y$1,Recharged_Feasible_mat!Z6=1),(VLOOKUP(Y$1,test!$A$3:$I$32,8,FALSE))-(VLOOKUP($A37,test!$A$3:$I$32,9,FALSE))-test!$B$33,0)</f>
        <v>0</v>
      </c>
      <c r="Z37">
        <f>IF(AND(SUM(VLOOKUP($A37,test!$A$3:$F$32,2,FALSE),VLOOKUP(Z$1,test!$A$3:$F$32,2,FALSE))&lt;test!$K$16,$A37&lt;&gt;Z$1,Recharged_Feasible_mat!AA6=1),(VLOOKUP(Z$1,test!$A$3:$I$32,8,FALSE))-(VLOOKUP($A37,test!$A$3:$I$32,9,FALSE))-test!$B$33,0)</f>
        <v>0</v>
      </c>
      <c r="AA37">
        <f>IF(AND(SUM(VLOOKUP($A37,test!$A$3:$F$32,2,FALSE),VLOOKUP(AA$1,test!$A$3:$F$32,2,FALSE))&lt;test!$K$16,$A37&lt;&gt;AA$1,Recharged_Feasible_mat!AB6=1),(VLOOKUP(AA$1,test!$A$3:$I$32,8,FALSE))-(VLOOKUP($A37,test!$A$3:$I$32,9,FALSE))-test!$B$33,0)</f>
        <v>0</v>
      </c>
      <c r="AB37">
        <f>IF(AND(SUM(VLOOKUP($A37,test!$A$3:$F$32,2,FALSE),VLOOKUP(AB$1,test!$A$3:$F$32,2,FALSE))&lt;test!$K$16,$A37&lt;&gt;AB$1,Recharged_Feasible_mat!AC6=1),(VLOOKUP(AB$1,test!$A$3:$I$32,8,FALSE))-(VLOOKUP($A37,test!$A$3:$I$32,9,FALSE))-test!$B$33,0)</f>
        <v>0</v>
      </c>
      <c r="AC37">
        <f>IF(AND(SUM(VLOOKUP($A37,test!$A$3:$F$32,2,FALSE),VLOOKUP(AC$1,test!$A$3:$F$32,2,FALSE))&lt;test!$K$16,$A37&lt;&gt;AC$1,Recharged_Feasible_mat!AD6=1),(VLOOKUP(AC$1,test!$A$3:$I$32,8,FALSE))-(VLOOKUP($A37,test!$A$3:$I$32,9,FALSE))-test!$B$33,0)</f>
        <v>0</v>
      </c>
      <c r="AD37">
        <f>IF(AND(SUM(VLOOKUP($A37,test!$A$3:$F$32,2,FALSE),VLOOKUP(AD$1,test!$A$3:$F$32,2,FALSE))&lt;test!$K$16,$A37&lt;&gt;AD$1,Recharged_Feasible_mat!AE6=1),(VLOOKUP(AD$1,test!$A$3:$I$32,8,FALSE))-(VLOOKUP($A37,test!$A$3:$I$32,9,FALSE))-test!$B$33,0)</f>
        <v>0</v>
      </c>
      <c r="AE37">
        <f>IF(AND(SUM(VLOOKUP($A37,test!$A$3:$F$32,2,FALSE),VLOOKUP(AE$1,test!$A$3:$F$32,2,FALSE))&lt;test!$K$16,$A37&lt;&gt;AE$1,Recharged_Feasible_mat!AF6=1),(VLOOKUP(AE$1,test!$A$3:$I$32,8,FALSE))-(VLOOKUP($A37,test!$A$3:$I$32,9,FALSE))-test!$B$33,0)</f>
        <v>0</v>
      </c>
      <c r="AF37">
        <f>IF(AND(SUM(VLOOKUP($A37,test!$A$3:$F$32,2,FALSE),VLOOKUP(AF$1,test!$A$3:$F$32,2,FALSE))&lt;test!$K$16,$A37&lt;&gt;AF$1,Recharged_Feasible_mat!AG6=1),(VLOOKUP(AF$1,test!$A$3:$I$32,8,FALSE))-(VLOOKUP($A37,test!$A$3:$I$32,9,FALSE))-test!$B$33,0)</f>
        <v>0</v>
      </c>
    </row>
    <row r="38" spans="1:32" x14ac:dyDescent="0.25">
      <c r="A38" t="s">
        <v>12</v>
      </c>
      <c r="B38">
        <v>0</v>
      </c>
      <c r="C38">
        <f>IF(AND(SUM(VLOOKUP($A38,test!$A$3:$F$32,2,FALSE),VLOOKUP(C$1,test!$A$3:$F$32,2,FALSE))&lt;test!$K$16,$A38&lt;&gt;C$1,Recharged_Feasible_mat!D7=1),(VLOOKUP(C$1,test!$A$3:$I$32,8,FALSE))-(VLOOKUP($A38,test!$A$3:$I$32,9,FALSE))-test!$B$33,0)</f>
        <v>0</v>
      </c>
      <c r="D38">
        <f>IF(AND(SUM(VLOOKUP($A38,test!$A$3:$F$32,2,FALSE),VLOOKUP(D$1,test!$A$3:$F$32,2,FALSE))&lt;test!$K$16,$A38&lt;&gt;D$1,Recharged_Feasible_mat!E7=1),(VLOOKUP(D$1,test!$A$3:$I$32,8,FALSE))-(VLOOKUP($A38,test!$A$3:$I$32,9,FALSE))-test!$B$33,0)</f>
        <v>0</v>
      </c>
      <c r="E38">
        <f>IF(AND(SUM(VLOOKUP($A38,test!$A$3:$F$32,2,FALSE),VLOOKUP(E$1,test!$A$3:$F$32,2,FALSE))&lt;test!$K$16,$A38&lt;&gt;E$1,Recharged_Feasible_mat!F7=1),(VLOOKUP(E$1,test!$A$3:$I$32,8,FALSE))-(VLOOKUP($A38,test!$A$3:$I$32,9,FALSE))-test!$B$33,0)</f>
        <v>0</v>
      </c>
      <c r="F38">
        <f>IF(AND(SUM(VLOOKUP($A38,test!$A$3:$F$32,2,FALSE),VLOOKUP(F$1,test!$A$3:$F$32,2,FALSE))&lt;test!$K$16,$A38&lt;&gt;F$1,Recharged_Feasible_mat!G7=1),(VLOOKUP(F$1,test!$A$3:$I$32,8,FALSE))-(VLOOKUP($A38,test!$A$3:$I$32,9,FALSE))-test!$B$33,0)</f>
        <v>0</v>
      </c>
      <c r="G38">
        <f>IF(AND(SUM(VLOOKUP($A38,test!$A$3:$F$32,2,FALSE),VLOOKUP(G$1,test!$A$3:$F$32,2,FALSE))&lt;test!$K$16,$A38&lt;&gt;G$1,Recharged_Feasible_mat!H7=1),(VLOOKUP(G$1,test!$A$3:$I$32,8,FALSE))-(VLOOKUP($A38,test!$A$3:$I$32,9,FALSE))-test!$B$33,0)</f>
        <v>0</v>
      </c>
      <c r="H38">
        <f>IF(AND(SUM(VLOOKUP($A38,test!$A$3:$F$32,2,FALSE),VLOOKUP(H$1,test!$A$3:$F$32,2,FALSE))&lt;test!$K$16,$A38&lt;&gt;H$1,Recharged_Feasible_mat!I7=1),(VLOOKUP(H$1,test!$A$3:$I$32,8,FALSE))-(VLOOKUP($A38,test!$A$3:$I$32,9,FALSE))-test!$B$33,0)</f>
        <v>0</v>
      </c>
      <c r="I38">
        <f>IF(AND(SUM(VLOOKUP($A38,test!$A$3:$F$32,2,FALSE),VLOOKUP(I$1,test!$A$3:$F$32,2,FALSE))&lt;test!$K$16,$A38&lt;&gt;I$1,Recharged_Feasible_mat!J7=1),(VLOOKUP(I$1,test!$A$3:$I$32,8,FALSE))-(VLOOKUP($A38,test!$A$3:$I$32,9,FALSE))-test!$B$33,0)</f>
        <v>0</v>
      </c>
      <c r="J38">
        <f>IF(AND(SUM(VLOOKUP($A38,test!$A$3:$F$32,2,FALSE),VLOOKUP(J$1,test!$A$3:$F$32,2,FALSE))&lt;test!$K$16,$A38&lt;&gt;J$1,Recharged_Feasible_mat!K7=1),(VLOOKUP(J$1,test!$A$3:$I$32,8,FALSE))-(VLOOKUP($A38,test!$A$3:$I$32,9,FALSE))-test!$B$33,0)</f>
        <v>15</v>
      </c>
      <c r="K38">
        <f>IF(AND(SUM(VLOOKUP($A38,test!$A$3:$F$32,2,FALSE),VLOOKUP(K$1,test!$A$3:$F$32,2,FALSE))&lt;test!$K$16,$A38&lt;&gt;K$1,Recharged_Feasible_mat!L7=1),(VLOOKUP(K$1,test!$A$3:$I$32,8,FALSE))-(VLOOKUP($A38,test!$A$3:$I$32,9,FALSE))-test!$B$33,0)</f>
        <v>0</v>
      </c>
      <c r="L38">
        <f>IF(AND(SUM(VLOOKUP($A38,test!$A$3:$F$32,2,FALSE),VLOOKUP(L$1,test!$A$3:$F$32,2,FALSE))&lt;test!$K$16,$A38&lt;&gt;L$1,Recharged_Feasible_mat!M7=1),(VLOOKUP(L$1,test!$A$3:$I$32,8,FALSE))-(VLOOKUP($A38,test!$A$3:$I$32,9,FALSE))-test!$B$33,0)</f>
        <v>0</v>
      </c>
      <c r="M38">
        <f>IF(AND(SUM(VLOOKUP($A38,test!$A$3:$F$32,2,FALSE),VLOOKUP(M$1,test!$A$3:$F$32,2,FALSE))&lt;test!$K$16,$A38&lt;&gt;M$1,Recharged_Feasible_mat!N7=1),(VLOOKUP(M$1,test!$A$3:$I$32,8,FALSE))-(VLOOKUP($A38,test!$A$3:$I$32,9,FALSE))-test!$B$33,0)</f>
        <v>0</v>
      </c>
      <c r="N38">
        <f>IF(AND(SUM(VLOOKUP($A38,test!$A$3:$F$32,2,FALSE),VLOOKUP(N$1,test!$A$3:$F$32,2,FALSE))&lt;test!$K$16,$A38&lt;&gt;N$1,Recharged_Feasible_mat!O7=1),(VLOOKUP(N$1,test!$A$3:$I$32,8,FALSE))-(VLOOKUP($A38,test!$A$3:$I$32,9,FALSE))-test!$B$33,0)</f>
        <v>0</v>
      </c>
      <c r="O38">
        <f>IF(AND(SUM(VLOOKUP($A38,test!$A$3:$F$32,2,FALSE),VLOOKUP(O$1,test!$A$3:$F$32,2,FALSE))&lt;test!$K$16,$A38&lt;&gt;O$1,Recharged_Feasible_mat!P7=1),(VLOOKUP(O$1,test!$A$3:$I$32,8,FALSE))-(VLOOKUP($A38,test!$A$3:$I$32,9,FALSE))-test!$B$33,0)</f>
        <v>40</v>
      </c>
      <c r="P38">
        <f>IF(AND(SUM(VLOOKUP($A38,test!$A$3:$F$32,2,FALSE),VLOOKUP(P$1,test!$A$3:$F$32,2,FALSE))&lt;test!$K$16,$A38&lt;&gt;P$1,Recharged_Feasible_mat!Q7=1),(VLOOKUP(P$1,test!$A$3:$I$32,8,FALSE))-(VLOOKUP($A38,test!$A$3:$I$32,9,FALSE))-test!$B$33,0)</f>
        <v>0</v>
      </c>
      <c r="Q38">
        <f>IF(AND(SUM(VLOOKUP($A38,test!$A$3:$F$32,2,FALSE),VLOOKUP(Q$1,test!$A$3:$F$32,2,FALSE))&lt;test!$K$16,$A38&lt;&gt;Q$1,Recharged_Feasible_mat!R7=1),(VLOOKUP(Q$1,test!$A$3:$I$32,8,FALSE))-(VLOOKUP($A38,test!$A$3:$I$32,9,FALSE))-test!$B$33,0)</f>
        <v>0</v>
      </c>
      <c r="R38">
        <f>IF(AND(SUM(VLOOKUP($A38,test!$A$3:$F$32,2,FALSE),VLOOKUP(R$1,test!$A$3:$F$32,2,FALSE))&lt;test!$K$16,$A38&lt;&gt;R$1,Recharged_Feasible_mat!S7=1),(VLOOKUP(R$1,test!$A$3:$I$32,8,FALSE))-(VLOOKUP($A38,test!$A$3:$I$32,9,FALSE))-test!$B$33,0)</f>
        <v>0</v>
      </c>
      <c r="S38">
        <f>IF(AND(SUM(VLOOKUP($A38,test!$A$3:$F$32,2,FALSE),VLOOKUP(S$1,test!$A$3:$F$32,2,FALSE))&lt;test!$K$16,$A38&lt;&gt;S$1,Recharged_Feasible_mat!T7=1),(VLOOKUP(S$1,test!$A$3:$I$32,8,FALSE))-(VLOOKUP($A38,test!$A$3:$I$32,9,FALSE))-test!$B$33,0)</f>
        <v>0</v>
      </c>
      <c r="T38">
        <f>IF(AND(SUM(VLOOKUP($A38,test!$A$3:$F$32,2,FALSE),VLOOKUP(T$1,test!$A$3:$F$32,2,FALSE))&lt;test!$K$16,$A38&lt;&gt;T$1,Recharged_Feasible_mat!U7=1),(VLOOKUP(T$1,test!$A$3:$I$32,8,FALSE))-(VLOOKUP($A38,test!$A$3:$I$32,9,FALSE))-test!$B$33,0)</f>
        <v>0</v>
      </c>
      <c r="U38">
        <f>IF(AND(SUM(VLOOKUP($A38,test!$A$3:$F$32,2,FALSE),VLOOKUP(U$1,test!$A$3:$F$32,2,FALSE))&lt;test!$K$16,$A38&lt;&gt;U$1,Recharged_Feasible_mat!V7=1),(VLOOKUP(U$1,test!$A$3:$I$32,8,FALSE))-(VLOOKUP($A38,test!$A$3:$I$32,9,FALSE))-test!$B$33,0)</f>
        <v>0</v>
      </c>
      <c r="V38">
        <f>IF(AND(SUM(VLOOKUP($A38,test!$A$3:$F$32,2,FALSE),VLOOKUP(V$1,test!$A$3:$F$32,2,FALSE))&lt;test!$K$16,$A38&lt;&gt;V$1,Recharged_Feasible_mat!W7=1),(VLOOKUP(V$1,test!$A$3:$I$32,8,FALSE))-(VLOOKUP($A38,test!$A$3:$I$32,9,FALSE))-test!$B$33,0)</f>
        <v>0</v>
      </c>
      <c r="W38">
        <f>IF(AND(SUM(VLOOKUP($A38,test!$A$3:$F$32,2,FALSE),VLOOKUP(W$1,test!$A$3:$F$32,2,FALSE))&lt;test!$K$16,$A38&lt;&gt;W$1,Recharged_Feasible_mat!X7=1),(VLOOKUP(W$1,test!$A$3:$I$32,8,FALSE))-(VLOOKUP($A38,test!$A$3:$I$32,9,FALSE))-test!$B$33,0)</f>
        <v>0</v>
      </c>
      <c r="X38">
        <f>IF(AND(SUM(VLOOKUP($A38,test!$A$3:$F$32,2,FALSE),VLOOKUP(X$1,test!$A$3:$F$32,2,FALSE))&lt;test!$K$16,$A38&lt;&gt;X$1,Recharged_Feasible_mat!Y7=1),(VLOOKUP(X$1,test!$A$3:$I$32,8,FALSE))-(VLOOKUP($A38,test!$A$3:$I$32,9,FALSE))-test!$B$33,0)</f>
        <v>0</v>
      </c>
      <c r="Y38">
        <f>IF(AND(SUM(VLOOKUP($A38,test!$A$3:$F$32,2,FALSE),VLOOKUP(Y$1,test!$A$3:$F$32,2,FALSE))&lt;test!$K$16,$A38&lt;&gt;Y$1,Recharged_Feasible_mat!Z7=1),(VLOOKUP(Y$1,test!$A$3:$I$32,8,FALSE))-(VLOOKUP($A38,test!$A$3:$I$32,9,FALSE))-test!$B$33,0)</f>
        <v>0</v>
      </c>
      <c r="Z38">
        <f>IF(AND(SUM(VLOOKUP($A38,test!$A$3:$F$32,2,FALSE),VLOOKUP(Z$1,test!$A$3:$F$32,2,FALSE))&lt;test!$K$16,$A38&lt;&gt;Z$1,Recharged_Feasible_mat!AA7=1),(VLOOKUP(Z$1,test!$A$3:$I$32,8,FALSE))-(VLOOKUP($A38,test!$A$3:$I$32,9,FALSE))-test!$B$33,0)</f>
        <v>0</v>
      </c>
      <c r="AA38">
        <f>IF(AND(SUM(VLOOKUP($A38,test!$A$3:$F$32,2,FALSE),VLOOKUP(AA$1,test!$A$3:$F$32,2,FALSE))&lt;test!$K$16,$A38&lt;&gt;AA$1,Recharged_Feasible_mat!AB7=1),(VLOOKUP(AA$1,test!$A$3:$I$32,8,FALSE))-(VLOOKUP($A38,test!$A$3:$I$32,9,FALSE))-test!$B$33,0)</f>
        <v>0</v>
      </c>
      <c r="AB38">
        <f>IF(AND(SUM(VLOOKUP($A38,test!$A$3:$F$32,2,FALSE),VLOOKUP(AB$1,test!$A$3:$F$32,2,FALSE))&lt;test!$K$16,$A38&lt;&gt;AB$1,Recharged_Feasible_mat!AC7=1),(VLOOKUP(AB$1,test!$A$3:$I$32,8,FALSE))-(VLOOKUP($A38,test!$A$3:$I$32,9,FALSE))-test!$B$33,0)</f>
        <v>0</v>
      </c>
      <c r="AC38">
        <f>IF(AND(SUM(VLOOKUP($A38,test!$A$3:$F$32,2,FALSE),VLOOKUP(AC$1,test!$A$3:$F$32,2,FALSE))&lt;test!$K$16,$A38&lt;&gt;AC$1,Recharged_Feasible_mat!AD7=1),(VLOOKUP(AC$1,test!$A$3:$I$32,8,FALSE))-(VLOOKUP($A38,test!$A$3:$I$32,9,FALSE))-test!$B$33,0)</f>
        <v>0</v>
      </c>
      <c r="AD38">
        <f>IF(AND(SUM(VLOOKUP($A38,test!$A$3:$F$32,2,FALSE),VLOOKUP(AD$1,test!$A$3:$F$32,2,FALSE))&lt;test!$K$16,$A38&lt;&gt;AD$1,Recharged_Feasible_mat!AE7=1),(VLOOKUP(AD$1,test!$A$3:$I$32,8,FALSE))-(VLOOKUP($A38,test!$A$3:$I$32,9,FALSE))-test!$B$33,0)</f>
        <v>0</v>
      </c>
      <c r="AE38">
        <f>IF(AND(SUM(VLOOKUP($A38,test!$A$3:$F$32,2,FALSE),VLOOKUP(AE$1,test!$A$3:$F$32,2,FALSE))&lt;test!$K$16,$A38&lt;&gt;AE$1,Recharged_Feasible_mat!AF7=1),(VLOOKUP(AE$1,test!$A$3:$I$32,8,FALSE))-(VLOOKUP($A38,test!$A$3:$I$32,9,FALSE))-test!$B$33,0)</f>
        <v>0</v>
      </c>
      <c r="AF38">
        <f>IF(AND(SUM(VLOOKUP($A38,test!$A$3:$F$32,2,FALSE),VLOOKUP(AF$1,test!$A$3:$F$32,2,FALSE))&lt;test!$K$16,$A38&lt;&gt;AF$1,Recharged_Feasible_mat!AG7=1),(VLOOKUP(AF$1,test!$A$3:$I$32,8,FALSE))-(VLOOKUP($A38,test!$A$3:$I$32,9,FALSE))-test!$B$33,0)</f>
        <v>0</v>
      </c>
    </row>
    <row r="39" spans="1:32" x14ac:dyDescent="0.25">
      <c r="A39" t="s">
        <v>13</v>
      </c>
      <c r="B39">
        <v>0</v>
      </c>
      <c r="C39">
        <f>IF(AND(SUM(VLOOKUP($A39,test!$A$3:$F$32,2,FALSE),VLOOKUP(C$1,test!$A$3:$F$32,2,FALSE))&lt;test!$K$16,$A39&lt;&gt;C$1,Recharged_Feasible_mat!D8=1),(VLOOKUP(C$1,test!$A$3:$I$32,8,FALSE))-(VLOOKUP($A39,test!$A$3:$I$32,9,FALSE))-test!$B$33,0)</f>
        <v>0</v>
      </c>
      <c r="D39">
        <f>IF(AND(SUM(VLOOKUP($A39,test!$A$3:$F$32,2,FALSE),VLOOKUP(D$1,test!$A$3:$F$32,2,FALSE))&lt;test!$K$16,$A39&lt;&gt;D$1,Recharged_Feasible_mat!E8=1),(VLOOKUP(D$1,test!$A$3:$I$32,8,FALSE))-(VLOOKUP($A39,test!$A$3:$I$32,9,FALSE))-test!$B$33,0)</f>
        <v>0</v>
      </c>
      <c r="E39">
        <f>IF(AND(SUM(VLOOKUP($A39,test!$A$3:$F$32,2,FALSE),VLOOKUP(E$1,test!$A$3:$F$32,2,FALSE))&lt;test!$K$16,$A39&lt;&gt;E$1,Recharged_Feasible_mat!F8=1),(VLOOKUP(E$1,test!$A$3:$I$32,8,FALSE))-(VLOOKUP($A39,test!$A$3:$I$32,9,FALSE))-test!$B$33,0)</f>
        <v>0</v>
      </c>
      <c r="F39">
        <f>IF(AND(SUM(VLOOKUP($A39,test!$A$3:$F$32,2,FALSE),VLOOKUP(F$1,test!$A$3:$F$32,2,FALSE))&lt;test!$K$16,$A39&lt;&gt;F$1,Recharged_Feasible_mat!G8=1),(VLOOKUP(F$1,test!$A$3:$I$32,8,FALSE))-(VLOOKUP($A39,test!$A$3:$I$32,9,FALSE))-test!$B$33,0)</f>
        <v>0</v>
      </c>
      <c r="G39">
        <f>IF(AND(SUM(VLOOKUP($A39,test!$A$3:$F$32,2,FALSE),VLOOKUP(G$1,test!$A$3:$F$32,2,FALSE))&lt;test!$K$16,$A39&lt;&gt;G$1,Recharged_Feasible_mat!H8=1),(VLOOKUP(G$1,test!$A$3:$I$32,8,FALSE))-(VLOOKUP($A39,test!$A$3:$I$32,9,FALSE))-test!$B$33,0)</f>
        <v>0</v>
      </c>
      <c r="H39">
        <f>IF(AND(SUM(VLOOKUP($A39,test!$A$3:$F$32,2,FALSE),VLOOKUP(H$1,test!$A$3:$F$32,2,FALSE))&lt;test!$K$16,$A39&lt;&gt;H$1,Recharged_Feasible_mat!I8=1),(VLOOKUP(H$1,test!$A$3:$I$32,8,FALSE))-(VLOOKUP($A39,test!$A$3:$I$32,9,FALSE))-test!$B$33,0)</f>
        <v>0</v>
      </c>
      <c r="I39">
        <f>IF(AND(SUM(VLOOKUP($A39,test!$A$3:$F$32,2,FALSE),VLOOKUP(I$1,test!$A$3:$F$32,2,FALSE))&lt;test!$K$16,$A39&lt;&gt;I$1,Recharged_Feasible_mat!J8=1),(VLOOKUP(I$1,test!$A$3:$I$32,8,FALSE))-(VLOOKUP($A39,test!$A$3:$I$32,9,FALSE))-test!$B$33,0)</f>
        <v>0</v>
      </c>
      <c r="J39">
        <f>IF(AND(SUM(VLOOKUP($A39,test!$A$3:$F$32,2,FALSE),VLOOKUP(J$1,test!$A$3:$F$32,2,FALSE))&lt;test!$K$16,$A39&lt;&gt;J$1,Recharged_Feasible_mat!K8=1),(VLOOKUP(J$1,test!$A$3:$I$32,8,FALSE))-(VLOOKUP($A39,test!$A$3:$I$32,9,FALSE))-test!$B$33,0)</f>
        <v>0</v>
      </c>
      <c r="K39">
        <f>IF(AND(SUM(VLOOKUP($A39,test!$A$3:$F$32,2,FALSE),VLOOKUP(K$1,test!$A$3:$F$32,2,FALSE))&lt;test!$K$16,$A39&lt;&gt;K$1,Recharged_Feasible_mat!L8=1),(VLOOKUP(K$1,test!$A$3:$I$32,8,FALSE))-(VLOOKUP($A39,test!$A$3:$I$32,9,FALSE))-test!$B$33,0)</f>
        <v>0</v>
      </c>
      <c r="L39">
        <f>IF(AND(SUM(VLOOKUP($A39,test!$A$3:$F$32,2,FALSE),VLOOKUP(L$1,test!$A$3:$F$32,2,FALSE))&lt;test!$K$16,$A39&lt;&gt;L$1,Recharged_Feasible_mat!M8=1),(VLOOKUP(L$1,test!$A$3:$I$32,8,FALSE))-(VLOOKUP($A39,test!$A$3:$I$32,9,FALSE))-test!$B$33,0)</f>
        <v>0</v>
      </c>
      <c r="M39">
        <f>IF(AND(SUM(VLOOKUP($A39,test!$A$3:$F$32,2,FALSE),VLOOKUP(M$1,test!$A$3:$F$32,2,FALSE))&lt;test!$K$16,$A39&lt;&gt;M$1,Recharged_Feasible_mat!N8=1),(VLOOKUP(M$1,test!$A$3:$I$32,8,FALSE))-(VLOOKUP($A39,test!$A$3:$I$32,9,FALSE))-test!$B$33,0)</f>
        <v>0</v>
      </c>
      <c r="N39">
        <f>IF(AND(SUM(VLOOKUP($A39,test!$A$3:$F$32,2,FALSE),VLOOKUP(N$1,test!$A$3:$F$32,2,FALSE))&lt;test!$K$16,$A39&lt;&gt;N$1,Recharged_Feasible_mat!O8=1),(VLOOKUP(N$1,test!$A$3:$I$32,8,FALSE))-(VLOOKUP($A39,test!$A$3:$I$32,9,FALSE))-test!$B$33,0)</f>
        <v>0</v>
      </c>
      <c r="O39">
        <f>IF(AND(SUM(VLOOKUP($A39,test!$A$3:$F$32,2,FALSE),VLOOKUP(O$1,test!$A$3:$F$32,2,FALSE))&lt;test!$K$16,$A39&lt;&gt;O$1,Recharged_Feasible_mat!P8=1),(VLOOKUP(O$1,test!$A$3:$I$32,8,FALSE))-(VLOOKUP($A39,test!$A$3:$I$32,9,FALSE))-test!$B$33,0)</f>
        <v>0</v>
      </c>
      <c r="P39">
        <f>IF(AND(SUM(VLOOKUP($A39,test!$A$3:$F$32,2,FALSE),VLOOKUP(P$1,test!$A$3:$F$32,2,FALSE))&lt;test!$K$16,$A39&lt;&gt;P$1,Recharged_Feasible_mat!Q8=1),(VLOOKUP(P$1,test!$A$3:$I$32,8,FALSE))-(VLOOKUP($A39,test!$A$3:$I$32,9,FALSE))-test!$B$33,0)</f>
        <v>0</v>
      </c>
      <c r="Q39">
        <f>IF(AND(SUM(VLOOKUP($A39,test!$A$3:$F$32,2,FALSE),VLOOKUP(Q$1,test!$A$3:$F$32,2,FALSE))&lt;test!$K$16,$A39&lt;&gt;Q$1,Recharged_Feasible_mat!R8=1),(VLOOKUP(Q$1,test!$A$3:$I$32,8,FALSE))-(VLOOKUP($A39,test!$A$3:$I$32,9,FALSE))-test!$B$33,0)</f>
        <v>0</v>
      </c>
      <c r="R39">
        <f>IF(AND(SUM(VLOOKUP($A39,test!$A$3:$F$32,2,FALSE),VLOOKUP(R$1,test!$A$3:$F$32,2,FALSE))&lt;test!$K$16,$A39&lt;&gt;R$1,Recharged_Feasible_mat!S8=1),(VLOOKUP(R$1,test!$A$3:$I$32,8,FALSE))-(VLOOKUP($A39,test!$A$3:$I$32,9,FALSE))-test!$B$33,0)</f>
        <v>0</v>
      </c>
      <c r="S39">
        <f>IF(AND(SUM(VLOOKUP($A39,test!$A$3:$F$32,2,FALSE),VLOOKUP(S$1,test!$A$3:$F$32,2,FALSE))&lt;test!$K$16,$A39&lt;&gt;S$1,Recharged_Feasible_mat!T8=1),(VLOOKUP(S$1,test!$A$3:$I$32,8,FALSE))-(VLOOKUP($A39,test!$A$3:$I$32,9,FALSE))-test!$B$33,0)</f>
        <v>0</v>
      </c>
      <c r="T39">
        <f>IF(AND(SUM(VLOOKUP($A39,test!$A$3:$F$32,2,FALSE),VLOOKUP(T$1,test!$A$3:$F$32,2,FALSE))&lt;test!$K$16,$A39&lt;&gt;T$1,Recharged_Feasible_mat!U8=1),(VLOOKUP(T$1,test!$A$3:$I$32,8,FALSE))-(VLOOKUP($A39,test!$A$3:$I$32,9,FALSE))-test!$B$33,0)</f>
        <v>0</v>
      </c>
      <c r="U39">
        <f>IF(AND(SUM(VLOOKUP($A39,test!$A$3:$F$32,2,FALSE),VLOOKUP(U$1,test!$A$3:$F$32,2,FALSE))&lt;test!$K$16,$A39&lt;&gt;U$1,Recharged_Feasible_mat!V8=1),(VLOOKUP(U$1,test!$A$3:$I$32,8,FALSE))-(VLOOKUP($A39,test!$A$3:$I$32,9,FALSE))-test!$B$33,0)</f>
        <v>0</v>
      </c>
      <c r="V39">
        <f>IF(AND(SUM(VLOOKUP($A39,test!$A$3:$F$32,2,FALSE),VLOOKUP(V$1,test!$A$3:$F$32,2,FALSE))&lt;test!$K$16,$A39&lt;&gt;V$1,Recharged_Feasible_mat!W8=1),(VLOOKUP(V$1,test!$A$3:$I$32,8,FALSE))-(VLOOKUP($A39,test!$A$3:$I$32,9,FALSE))-test!$B$33,0)</f>
        <v>0</v>
      </c>
      <c r="W39">
        <f>IF(AND(SUM(VLOOKUP($A39,test!$A$3:$F$32,2,FALSE),VLOOKUP(W$1,test!$A$3:$F$32,2,FALSE))&lt;test!$K$16,$A39&lt;&gt;W$1,Recharged_Feasible_mat!X8=1),(VLOOKUP(W$1,test!$A$3:$I$32,8,FALSE))-(VLOOKUP($A39,test!$A$3:$I$32,9,FALSE))-test!$B$33,0)</f>
        <v>0</v>
      </c>
      <c r="X39">
        <f>IF(AND(SUM(VLOOKUP($A39,test!$A$3:$F$32,2,FALSE),VLOOKUP(X$1,test!$A$3:$F$32,2,FALSE))&lt;test!$K$16,$A39&lt;&gt;X$1,Recharged_Feasible_mat!Y8=1),(VLOOKUP(X$1,test!$A$3:$I$32,8,FALSE))-(VLOOKUP($A39,test!$A$3:$I$32,9,FALSE))-test!$B$33,0)</f>
        <v>0</v>
      </c>
      <c r="Y39">
        <f>IF(AND(SUM(VLOOKUP($A39,test!$A$3:$F$32,2,FALSE),VLOOKUP(Y$1,test!$A$3:$F$32,2,FALSE))&lt;test!$K$16,$A39&lt;&gt;Y$1,Recharged_Feasible_mat!Z8=1),(VLOOKUP(Y$1,test!$A$3:$I$32,8,FALSE))-(VLOOKUP($A39,test!$A$3:$I$32,9,FALSE))-test!$B$33,0)</f>
        <v>0</v>
      </c>
      <c r="Z39">
        <f>IF(AND(SUM(VLOOKUP($A39,test!$A$3:$F$32,2,FALSE),VLOOKUP(Z$1,test!$A$3:$F$32,2,FALSE))&lt;test!$K$16,$A39&lt;&gt;Z$1,Recharged_Feasible_mat!AA8=1),(VLOOKUP(Z$1,test!$A$3:$I$32,8,FALSE))-(VLOOKUP($A39,test!$A$3:$I$32,9,FALSE))-test!$B$33,0)</f>
        <v>0</v>
      </c>
      <c r="AA39">
        <f>IF(AND(SUM(VLOOKUP($A39,test!$A$3:$F$32,2,FALSE),VLOOKUP(AA$1,test!$A$3:$F$32,2,FALSE))&lt;test!$K$16,$A39&lt;&gt;AA$1,Recharged_Feasible_mat!AB8=1),(VLOOKUP(AA$1,test!$A$3:$I$32,8,FALSE))-(VLOOKUP($A39,test!$A$3:$I$32,9,FALSE))-test!$B$33,0)</f>
        <v>0</v>
      </c>
      <c r="AB39">
        <f>IF(AND(SUM(VLOOKUP($A39,test!$A$3:$F$32,2,FALSE),VLOOKUP(AB$1,test!$A$3:$F$32,2,FALSE))&lt;test!$K$16,$A39&lt;&gt;AB$1,Recharged_Feasible_mat!AC8=1),(VLOOKUP(AB$1,test!$A$3:$I$32,8,FALSE))-(VLOOKUP($A39,test!$A$3:$I$32,9,FALSE))-test!$B$33,0)</f>
        <v>0</v>
      </c>
      <c r="AC39">
        <f>IF(AND(SUM(VLOOKUP($A39,test!$A$3:$F$32,2,FALSE),VLOOKUP(AC$1,test!$A$3:$F$32,2,FALSE))&lt;test!$K$16,$A39&lt;&gt;AC$1,Recharged_Feasible_mat!AD8=1),(VLOOKUP(AC$1,test!$A$3:$I$32,8,FALSE))-(VLOOKUP($A39,test!$A$3:$I$32,9,FALSE))-test!$B$33,0)</f>
        <v>0</v>
      </c>
      <c r="AD39">
        <f>IF(AND(SUM(VLOOKUP($A39,test!$A$3:$F$32,2,FALSE),VLOOKUP(AD$1,test!$A$3:$F$32,2,FALSE))&lt;test!$K$16,$A39&lt;&gt;AD$1,Recharged_Feasible_mat!AE8=1),(VLOOKUP(AD$1,test!$A$3:$I$32,8,FALSE))-(VLOOKUP($A39,test!$A$3:$I$32,9,FALSE))-test!$B$33,0)</f>
        <v>0</v>
      </c>
      <c r="AE39">
        <f>IF(AND(SUM(VLOOKUP($A39,test!$A$3:$F$32,2,FALSE),VLOOKUP(AE$1,test!$A$3:$F$32,2,FALSE))&lt;test!$K$16,$A39&lt;&gt;AE$1,Recharged_Feasible_mat!AF8=1),(VLOOKUP(AE$1,test!$A$3:$I$32,8,FALSE))-(VLOOKUP($A39,test!$A$3:$I$32,9,FALSE))-test!$B$33,0)</f>
        <v>0</v>
      </c>
      <c r="AF39">
        <f>IF(AND(SUM(VLOOKUP($A39,test!$A$3:$F$32,2,FALSE),VLOOKUP(AF$1,test!$A$3:$F$32,2,FALSE))&lt;test!$K$16,$A39&lt;&gt;AF$1,Recharged_Feasible_mat!AG8=1),(VLOOKUP(AF$1,test!$A$3:$I$32,8,FALSE))-(VLOOKUP($A39,test!$A$3:$I$32,9,FALSE))-test!$B$33,0)</f>
        <v>0</v>
      </c>
    </row>
    <row r="40" spans="1:32" x14ac:dyDescent="0.25">
      <c r="A40" t="s">
        <v>14</v>
      </c>
      <c r="B40">
        <v>0</v>
      </c>
      <c r="C40">
        <f>IF(AND(SUM(VLOOKUP($A40,test!$A$3:$F$32,2,FALSE),VLOOKUP(C$1,test!$A$3:$F$32,2,FALSE))&lt;test!$K$16,$A40&lt;&gt;C$1,Recharged_Feasible_mat!D9=1),(VLOOKUP(C$1,test!$A$3:$I$32,8,FALSE))-(VLOOKUP($A40,test!$A$3:$I$32,9,FALSE))-test!$B$33,0)</f>
        <v>0</v>
      </c>
      <c r="D40">
        <f>IF(AND(SUM(VLOOKUP($A40,test!$A$3:$F$32,2,FALSE),VLOOKUP(D$1,test!$A$3:$F$32,2,FALSE))&lt;test!$K$16,$A40&lt;&gt;D$1,Recharged_Feasible_mat!E9=1),(VLOOKUP(D$1,test!$A$3:$I$32,8,FALSE))-(VLOOKUP($A40,test!$A$3:$I$32,9,FALSE))-test!$B$33,0)</f>
        <v>0</v>
      </c>
      <c r="E40">
        <f>IF(AND(SUM(VLOOKUP($A40,test!$A$3:$F$32,2,FALSE),VLOOKUP(E$1,test!$A$3:$F$32,2,FALSE))&lt;test!$K$16,$A40&lt;&gt;E$1,Recharged_Feasible_mat!F9=1),(VLOOKUP(E$1,test!$A$3:$I$32,8,FALSE))-(VLOOKUP($A40,test!$A$3:$I$32,9,FALSE))-test!$B$33,0)</f>
        <v>0</v>
      </c>
      <c r="F40">
        <f>IF(AND(SUM(VLOOKUP($A40,test!$A$3:$F$32,2,FALSE),VLOOKUP(F$1,test!$A$3:$F$32,2,FALSE))&lt;test!$K$16,$A40&lt;&gt;F$1,Recharged_Feasible_mat!G9=1),(VLOOKUP(F$1,test!$A$3:$I$32,8,FALSE))-(VLOOKUP($A40,test!$A$3:$I$32,9,FALSE))-test!$B$33,0)</f>
        <v>0</v>
      </c>
      <c r="G40">
        <f>IF(AND(SUM(VLOOKUP($A40,test!$A$3:$F$32,2,FALSE),VLOOKUP(G$1,test!$A$3:$F$32,2,FALSE))&lt;test!$K$16,$A40&lt;&gt;G$1,Recharged_Feasible_mat!H9=1),(VLOOKUP(G$1,test!$A$3:$I$32,8,FALSE))-(VLOOKUP($A40,test!$A$3:$I$32,9,FALSE))-test!$B$33,0)</f>
        <v>0</v>
      </c>
      <c r="H40">
        <f>IF(AND(SUM(VLOOKUP($A40,test!$A$3:$F$32,2,FALSE),VLOOKUP(H$1,test!$A$3:$F$32,2,FALSE))&lt;test!$K$16,$A40&lt;&gt;H$1,Recharged_Feasible_mat!I9=1),(VLOOKUP(H$1,test!$A$3:$I$32,8,FALSE))-(VLOOKUP($A40,test!$A$3:$I$32,9,FALSE))-test!$B$33,0)</f>
        <v>0</v>
      </c>
      <c r="I40">
        <f>IF(AND(SUM(VLOOKUP($A40,test!$A$3:$F$32,2,FALSE),VLOOKUP(I$1,test!$A$3:$F$32,2,FALSE))&lt;test!$K$16,$A40&lt;&gt;I$1,Recharged_Feasible_mat!J9=1),(VLOOKUP(I$1,test!$A$3:$I$32,8,FALSE))-(VLOOKUP($A40,test!$A$3:$I$32,9,FALSE))-test!$B$33,0)</f>
        <v>0</v>
      </c>
      <c r="J40">
        <f>IF(AND(SUM(VLOOKUP($A40,test!$A$3:$F$32,2,FALSE),VLOOKUP(J$1,test!$A$3:$F$32,2,FALSE))&lt;test!$K$16,$A40&lt;&gt;J$1,Recharged_Feasible_mat!K9=1),(VLOOKUP(J$1,test!$A$3:$I$32,8,FALSE))-(VLOOKUP($A40,test!$A$3:$I$32,9,FALSE))-test!$B$33,0)</f>
        <v>0</v>
      </c>
      <c r="K40">
        <f>IF(AND(SUM(VLOOKUP($A40,test!$A$3:$F$32,2,FALSE),VLOOKUP(K$1,test!$A$3:$F$32,2,FALSE))&lt;test!$K$16,$A40&lt;&gt;K$1,Recharged_Feasible_mat!L9=1),(VLOOKUP(K$1,test!$A$3:$I$32,8,FALSE))-(VLOOKUP($A40,test!$A$3:$I$32,9,FALSE))-test!$B$33,0)</f>
        <v>0</v>
      </c>
      <c r="L40">
        <f>IF(AND(SUM(VLOOKUP($A40,test!$A$3:$F$32,2,FALSE),VLOOKUP(L$1,test!$A$3:$F$32,2,FALSE))&lt;test!$K$16,$A40&lt;&gt;L$1,Recharged_Feasible_mat!M9=1),(VLOOKUP(L$1,test!$A$3:$I$32,8,FALSE))-(VLOOKUP($A40,test!$A$3:$I$32,9,FALSE))-test!$B$33,0)</f>
        <v>0</v>
      </c>
      <c r="M40">
        <f>IF(AND(SUM(VLOOKUP($A40,test!$A$3:$F$32,2,FALSE),VLOOKUP(M$1,test!$A$3:$F$32,2,FALSE))&lt;test!$K$16,$A40&lt;&gt;M$1,Recharged_Feasible_mat!N9=1),(VLOOKUP(M$1,test!$A$3:$I$32,8,FALSE))-(VLOOKUP($A40,test!$A$3:$I$32,9,FALSE))-test!$B$33,0)</f>
        <v>0</v>
      </c>
      <c r="N40">
        <f>IF(AND(SUM(VLOOKUP($A40,test!$A$3:$F$32,2,FALSE),VLOOKUP(N$1,test!$A$3:$F$32,2,FALSE))&lt;test!$K$16,$A40&lt;&gt;N$1,Recharged_Feasible_mat!O9=1),(VLOOKUP(N$1,test!$A$3:$I$32,8,FALSE))-(VLOOKUP($A40,test!$A$3:$I$32,9,FALSE))-test!$B$33,0)</f>
        <v>0</v>
      </c>
      <c r="O40">
        <f>IF(AND(SUM(VLOOKUP($A40,test!$A$3:$F$32,2,FALSE),VLOOKUP(O$1,test!$A$3:$F$32,2,FALSE))&lt;test!$K$16,$A40&lt;&gt;O$1,Recharged_Feasible_mat!P9=1),(VLOOKUP(O$1,test!$A$3:$I$32,8,FALSE))-(VLOOKUP($A40,test!$A$3:$I$32,9,FALSE))-test!$B$33,0)</f>
        <v>0</v>
      </c>
      <c r="P40">
        <f>IF(AND(SUM(VLOOKUP($A40,test!$A$3:$F$32,2,FALSE),VLOOKUP(P$1,test!$A$3:$F$32,2,FALSE))&lt;test!$K$16,$A40&lt;&gt;P$1,Recharged_Feasible_mat!Q9=1),(VLOOKUP(P$1,test!$A$3:$I$32,8,FALSE))-(VLOOKUP($A40,test!$A$3:$I$32,9,FALSE))-test!$B$33,0)</f>
        <v>0</v>
      </c>
      <c r="Q40">
        <f>IF(AND(SUM(VLOOKUP($A40,test!$A$3:$F$32,2,FALSE),VLOOKUP(Q$1,test!$A$3:$F$32,2,FALSE))&lt;test!$K$16,$A40&lt;&gt;Q$1,Recharged_Feasible_mat!R9=1),(VLOOKUP(Q$1,test!$A$3:$I$32,8,FALSE))-(VLOOKUP($A40,test!$A$3:$I$32,9,FALSE))-test!$B$33,0)</f>
        <v>0</v>
      </c>
      <c r="R40">
        <f>IF(AND(SUM(VLOOKUP($A40,test!$A$3:$F$32,2,FALSE),VLOOKUP(R$1,test!$A$3:$F$32,2,FALSE))&lt;test!$K$16,$A40&lt;&gt;R$1,Recharged_Feasible_mat!S9=1),(VLOOKUP(R$1,test!$A$3:$I$32,8,FALSE))-(VLOOKUP($A40,test!$A$3:$I$32,9,FALSE))-test!$B$33,0)</f>
        <v>0</v>
      </c>
      <c r="S40">
        <f>IF(AND(SUM(VLOOKUP($A40,test!$A$3:$F$32,2,FALSE),VLOOKUP(S$1,test!$A$3:$F$32,2,FALSE))&lt;test!$K$16,$A40&lt;&gt;S$1,Recharged_Feasible_mat!T9=1),(VLOOKUP(S$1,test!$A$3:$I$32,8,FALSE))-(VLOOKUP($A40,test!$A$3:$I$32,9,FALSE))-test!$B$33,0)</f>
        <v>0</v>
      </c>
      <c r="T40">
        <f>IF(AND(SUM(VLOOKUP($A40,test!$A$3:$F$32,2,FALSE),VLOOKUP(T$1,test!$A$3:$F$32,2,FALSE))&lt;test!$K$16,$A40&lt;&gt;T$1,Recharged_Feasible_mat!U9=1),(VLOOKUP(T$1,test!$A$3:$I$32,8,FALSE))-(VLOOKUP($A40,test!$A$3:$I$32,9,FALSE))-test!$B$33,0)</f>
        <v>0</v>
      </c>
      <c r="U40">
        <f>IF(AND(SUM(VLOOKUP($A40,test!$A$3:$F$32,2,FALSE),VLOOKUP(U$1,test!$A$3:$F$32,2,FALSE))&lt;test!$K$16,$A40&lt;&gt;U$1,Recharged_Feasible_mat!V9=1),(VLOOKUP(U$1,test!$A$3:$I$32,8,FALSE))-(VLOOKUP($A40,test!$A$3:$I$32,9,FALSE))-test!$B$33,0)</f>
        <v>0</v>
      </c>
      <c r="V40">
        <f>IF(AND(SUM(VLOOKUP($A40,test!$A$3:$F$32,2,FALSE),VLOOKUP(V$1,test!$A$3:$F$32,2,FALSE))&lt;test!$K$16,$A40&lt;&gt;V$1,Recharged_Feasible_mat!W9=1),(VLOOKUP(V$1,test!$A$3:$I$32,8,FALSE))-(VLOOKUP($A40,test!$A$3:$I$32,9,FALSE))-test!$B$33,0)</f>
        <v>0</v>
      </c>
      <c r="W40">
        <f>IF(AND(SUM(VLOOKUP($A40,test!$A$3:$F$32,2,FALSE),VLOOKUP(W$1,test!$A$3:$F$32,2,FALSE))&lt;test!$K$16,$A40&lt;&gt;W$1,Recharged_Feasible_mat!X9=1),(VLOOKUP(W$1,test!$A$3:$I$32,8,FALSE))-(VLOOKUP($A40,test!$A$3:$I$32,9,FALSE))-test!$B$33,0)</f>
        <v>0</v>
      </c>
      <c r="X40">
        <f>IF(AND(SUM(VLOOKUP($A40,test!$A$3:$F$32,2,FALSE),VLOOKUP(X$1,test!$A$3:$F$32,2,FALSE))&lt;test!$K$16,$A40&lt;&gt;X$1,Recharged_Feasible_mat!Y9=1),(VLOOKUP(X$1,test!$A$3:$I$32,8,FALSE))-(VLOOKUP($A40,test!$A$3:$I$32,9,FALSE))-test!$B$33,0)</f>
        <v>0</v>
      </c>
      <c r="Y40">
        <f>IF(AND(SUM(VLOOKUP($A40,test!$A$3:$F$32,2,FALSE),VLOOKUP(Y$1,test!$A$3:$F$32,2,FALSE))&lt;test!$K$16,$A40&lt;&gt;Y$1,Recharged_Feasible_mat!Z9=1),(VLOOKUP(Y$1,test!$A$3:$I$32,8,FALSE))-(VLOOKUP($A40,test!$A$3:$I$32,9,FALSE))-test!$B$33,0)</f>
        <v>0</v>
      </c>
      <c r="Z40">
        <f>IF(AND(SUM(VLOOKUP($A40,test!$A$3:$F$32,2,FALSE),VLOOKUP(Z$1,test!$A$3:$F$32,2,FALSE))&lt;test!$K$16,$A40&lt;&gt;Z$1,Recharged_Feasible_mat!AA9=1),(VLOOKUP(Z$1,test!$A$3:$I$32,8,FALSE))-(VLOOKUP($A40,test!$A$3:$I$32,9,FALSE))-test!$B$33,0)</f>
        <v>0</v>
      </c>
      <c r="AA40">
        <f>IF(AND(SUM(VLOOKUP($A40,test!$A$3:$F$32,2,FALSE),VLOOKUP(AA$1,test!$A$3:$F$32,2,FALSE))&lt;test!$K$16,$A40&lt;&gt;AA$1,Recharged_Feasible_mat!AB9=1),(VLOOKUP(AA$1,test!$A$3:$I$32,8,FALSE))-(VLOOKUP($A40,test!$A$3:$I$32,9,FALSE))-test!$B$33,0)</f>
        <v>0</v>
      </c>
      <c r="AB40">
        <f>IF(AND(SUM(VLOOKUP($A40,test!$A$3:$F$32,2,FALSE),VLOOKUP(AB$1,test!$A$3:$F$32,2,FALSE))&lt;test!$K$16,$A40&lt;&gt;AB$1,Recharged_Feasible_mat!AC9=1),(VLOOKUP(AB$1,test!$A$3:$I$32,8,FALSE))-(VLOOKUP($A40,test!$A$3:$I$32,9,FALSE))-test!$B$33,0)</f>
        <v>0</v>
      </c>
      <c r="AC40">
        <f>IF(AND(SUM(VLOOKUP($A40,test!$A$3:$F$32,2,FALSE),VLOOKUP(AC$1,test!$A$3:$F$32,2,FALSE))&lt;test!$K$16,$A40&lt;&gt;AC$1,Recharged_Feasible_mat!AD9=1),(VLOOKUP(AC$1,test!$A$3:$I$32,8,FALSE))-(VLOOKUP($A40,test!$A$3:$I$32,9,FALSE))-test!$B$33,0)</f>
        <v>0</v>
      </c>
      <c r="AD40">
        <f>IF(AND(SUM(VLOOKUP($A40,test!$A$3:$F$32,2,FALSE),VLOOKUP(AD$1,test!$A$3:$F$32,2,FALSE))&lt;test!$K$16,$A40&lt;&gt;AD$1,Recharged_Feasible_mat!AE9=1),(VLOOKUP(AD$1,test!$A$3:$I$32,8,FALSE))-(VLOOKUP($A40,test!$A$3:$I$32,9,FALSE))-test!$B$33,0)</f>
        <v>0</v>
      </c>
      <c r="AE40">
        <f>IF(AND(SUM(VLOOKUP($A40,test!$A$3:$F$32,2,FALSE),VLOOKUP(AE$1,test!$A$3:$F$32,2,FALSE))&lt;test!$K$16,$A40&lt;&gt;AE$1,Recharged_Feasible_mat!AF9=1),(VLOOKUP(AE$1,test!$A$3:$I$32,8,FALSE))-(VLOOKUP($A40,test!$A$3:$I$32,9,FALSE))-test!$B$33,0)</f>
        <v>0</v>
      </c>
      <c r="AF40">
        <f>IF(AND(SUM(VLOOKUP($A40,test!$A$3:$F$32,2,FALSE),VLOOKUP(AF$1,test!$A$3:$F$32,2,FALSE))&lt;test!$K$16,$A40&lt;&gt;AF$1,Recharged_Feasible_mat!AG9=1),(VLOOKUP(AF$1,test!$A$3:$I$32,8,FALSE))-(VLOOKUP($A40,test!$A$3:$I$32,9,FALSE))-test!$B$33,0)</f>
        <v>0</v>
      </c>
    </row>
    <row r="41" spans="1:32" x14ac:dyDescent="0.25">
      <c r="A41" t="s">
        <v>15</v>
      </c>
      <c r="B41">
        <v>0</v>
      </c>
      <c r="C41">
        <f>IF(AND(SUM(VLOOKUP($A41,test!$A$3:$F$32,2,FALSE),VLOOKUP(C$1,test!$A$3:$F$32,2,FALSE))&lt;test!$K$16,$A41&lt;&gt;C$1,Recharged_Feasible_mat!D10=1),(VLOOKUP(C$1,test!$A$3:$I$32,8,FALSE))-(VLOOKUP($A41,test!$A$3:$I$32,9,FALSE))-test!$B$33,0)</f>
        <v>0</v>
      </c>
      <c r="D41">
        <f>IF(AND(SUM(VLOOKUP($A41,test!$A$3:$F$32,2,FALSE),VLOOKUP(D$1,test!$A$3:$F$32,2,FALSE))&lt;test!$K$16,$A41&lt;&gt;D$1,Recharged_Feasible_mat!E10=1),(VLOOKUP(D$1,test!$A$3:$I$32,8,FALSE))-(VLOOKUP($A41,test!$A$3:$I$32,9,FALSE))-test!$B$33,0)</f>
        <v>0</v>
      </c>
      <c r="E41">
        <f>IF(AND(SUM(VLOOKUP($A41,test!$A$3:$F$32,2,FALSE),VLOOKUP(E$1,test!$A$3:$F$32,2,FALSE))&lt;test!$K$16,$A41&lt;&gt;E$1,Recharged_Feasible_mat!F10=1),(VLOOKUP(E$1,test!$A$3:$I$32,8,FALSE))-(VLOOKUP($A41,test!$A$3:$I$32,9,FALSE))-test!$B$33,0)</f>
        <v>0</v>
      </c>
      <c r="F41">
        <f>IF(AND(SUM(VLOOKUP($A41,test!$A$3:$F$32,2,FALSE),VLOOKUP(F$1,test!$A$3:$F$32,2,FALSE))&lt;test!$K$16,$A41&lt;&gt;F$1,Recharged_Feasible_mat!G10=1),(VLOOKUP(F$1,test!$A$3:$I$32,8,FALSE))-(VLOOKUP($A41,test!$A$3:$I$32,9,FALSE))-test!$B$33,0)</f>
        <v>0</v>
      </c>
      <c r="G41">
        <f>IF(AND(SUM(VLOOKUP($A41,test!$A$3:$F$32,2,FALSE),VLOOKUP(G$1,test!$A$3:$F$32,2,FALSE))&lt;test!$K$16,$A41&lt;&gt;G$1,Recharged_Feasible_mat!H10=1),(VLOOKUP(G$1,test!$A$3:$I$32,8,FALSE))-(VLOOKUP($A41,test!$A$3:$I$32,9,FALSE))-test!$B$33,0)</f>
        <v>0</v>
      </c>
      <c r="H41">
        <f>IF(AND(SUM(VLOOKUP($A41,test!$A$3:$F$32,2,FALSE),VLOOKUP(H$1,test!$A$3:$F$32,2,FALSE))&lt;test!$K$16,$A41&lt;&gt;H$1,Recharged_Feasible_mat!I10=1),(VLOOKUP(H$1,test!$A$3:$I$32,8,FALSE))-(VLOOKUP($A41,test!$A$3:$I$32,9,FALSE))-test!$B$33,0)</f>
        <v>0</v>
      </c>
      <c r="I41">
        <f>IF(AND(SUM(VLOOKUP($A41,test!$A$3:$F$32,2,FALSE),VLOOKUP(I$1,test!$A$3:$F$32,2,FALSE))&lt;test!$K$16,$A41&lt;&gt;I$1,Recharged_Feasible_mat!J10=1),(VLOOKUP(I$1,test!$A$3:$I$32,8,FALSE))-(VLOOKUP($A41,test!$A$3:$I$32,9,FALSE))-test!$B$33,0)</f>
        <v>0</v>
      </c>
      <c r="J41">
        <f>IF(AND(SUM(VLOOKUP($A41,test!$A$3:$F$32,2,FALSE),VLOOKUP(J$1,test!$A$3:$F$32,2,FALSE))&lt;test!$K$16,$A41&lt;&gt;J$1,Recharged_Feasible_mat!K10=1),(VLOOKUP(J$1,test!$A$3:$I$32,8,FALSE))-(VLOOKUP($A41,test!$A$3:$I$32,9,FALSE))-test!$B$33,0)</f>
        <v>0</v>
      </c>
      <c r="K41">
        <f>IF(AND(SUM(VLOOKUP($A41,test!$A$3:$F$32,2,FALSE),VLOOKUP(K$1,test!$A$3:$F$32,2,FALSE))&lt;test!$K$16,$A41&lt;&gt;K$1,Recharged_Feasible_mat!L10=1),(VLOOKUP(K$1,test!$A$3:$I$32,8,FALSE))-(VLOOKUP($A41,test!$A$3:$I$32,9,FALSE))-test!$B$33,0)</f>
        <v>0</v>
      </c>
      <c r="L41">
        <f>IF(AND(SUM(VLOOKUP($A41,test!$A$3:$F$32,2,FALSE),VLOOKUP(L$1,test!$A$3:$F$32,2,FALSE))&lt;test!$K$16,$A41&lt;&gt;L$1,Recharged_Feasible_mat!M10=1),(VLOOKUP(L$1,test!$A$3:$I$32,8,FALSE))-(VLOOKUP($A41,test!$A$3:$I$32,9,FALSE))-test!$B$33,0)</f>
        <v>0</v>
      </c>
      <c r="M41">
        <f>IF(AND(SUM(VLOOKUP($A41,test!$A$3:$F$32,2,FALSE),VLOOKUP(M$1,test!$A$3:$F$32,2,FALSE))&lt;test!$K$16,$A41&lt;&gt;M$1,Recharged_Feasible_mat!N10=1),(VLOOKUP(M$1,test!$A$3:$I$32,8,FALSE))-(VLOOKUP($A41,test!$A$3:$I$32,9,FALSE))-test!$B$33,0)</f>
        <v>0</v>
      </c>
      <c r="N41">
        <f>IF(AND(SUM(VLOOKUP($A41,test!$A$3:$F$32,2,FALSE),VLOOKUP(N$1,test!$A$3:$F$32,2,FALSE))&lt;test!$K$16,$A41&lt;&gt;N$1,Recharged_Feasible_mat!O10=1),(VLOOKUP(N$1,test!$A$3:$I$32,8,FALSE))-(VLOOKUP($A41,test!$A$3:$I$32,9,FALSE))-test!$B$33,0)</f>
        <v>0</v>
      </c>
      <c r="O41">
        <f>IF(AND(SUM(VLOOKUP($A41,test!$A$3:$F$32,2,FALSE),VLOOKUP(O$1,test!$A$3:$F$32,2,FALSE))&lt;test!$K$16,$A41&lt;&gt;O$1,Recharged_Feasible_mat!P10=1),(VLOOKUP(O$1,test!$A$3:$I$32,8,FALSE))-(VLOOKUP($A41,test!$A$3:$I$32,9,FALSE))-test!$B$33,0)</f>
        <v>0</v>
      </c>
      <c r="P41">
        <f>IF(AND(SUM(VLOOKUP($A41,test!$A$3:$F$32,2,FALSE),VLOOKUP(P$1,test!$A$3:$F$32,2,FALSE))&lt;test!$K$16,$A41&lt;&gt;P$1,Recharged_Feasible_mat!Q10=1),(VLOOKUP(P$1,test!$A$3:$I$32,8,FALSE))-(VLOOKUP($A41,test!$A$3:$I$32,9,FALSE))-test!$B$33,0)</f>
        <v>0</v>
      </c>
      <c r="Q41">
        <f>IF(AND(SUM(VLOOKUP($A41,test!$A$3:$F$32,2,FALSE),VLOOKUP(Q$1,test!$A$3:$F$32,2,FALSE))&lt;test!$K$16,$A41&lt;&gt;Q$1,Recharged_Feasible_mat!R10=1),(VLOOKUP(Q$1,test!$A$3:$I$32,8,FALSE))-(VLOOKUP($A41,test!$A$3:$I$32,9,FALSE))-test!$B$33,0)</f>
        <v>0</v>
      </c>
      <c r="R41">
        <f>IF(AND(SUM(VLOOKUP($A41,test!$A$3:$F$32,2,FALSE),VLOOKUP(R$1,test!$A$3:$F$32,2,FALSE))&lt;test!$K$16,$A41&lt;&gt;R$1,Recharged_Feasible_mat!S10=1),(VLOOKUP(R$1,test!$A$3:$I$32,8,FALSE))-(VLOOKUP($A41,test!$A$3:$I$32,9,FALSE))-test!$B$33,0)</f>
        <v>0</v>
      </c>
      <c r="S41">
        <f>IF(AND(SUM(VLOOKUP($A41,test!$A$3:$F$32,2,FALSE),VLOOKUP(S$1,test!$A$3:$F$32,2,FALSE))&lt;test!$K$16,$A41&lt;&gt;S$1,Recharged_Feasible_mat!T10=1),(VLOOKUP(S$1,test!$A$3:$I$32,8,FALSE))-(VLOOKUP($A41,test!$A$3:$I$32,9,FALSE))-test!$B$33,0)</f>
        <v>0</v>
      </c>
      <c r="T41">
        <f>IF(AND(SUM(VLOOKUP($A41,test!$A$3:$F$32,2,FALSE),VLOOKUP(T$1,test!$A$3:$F$32,2,FALSE))&lt;test!$K$16,$A41&lt;&gt;T$1,Recharged_Feasible_mat!U10=1),(VLOOKUP(T$1,test!$A$3:$I$32,8,FALSE))-(VLOOKUP($A41,test!$A$3:$I$32,9,FALSE))-test!$B$33,0)</f>
        <v>0</v>
      </c>
      <c r="U41">
        <f>IF(AND(SUM(VLOOKUP($A41,test!$A$3:$F$32,2,FALSE),VLOOKUP(U$1,test!$A$3:$F$32,2,FALSE))&lt;test!$K$16,$A41&lt;&gt;U$1,Recharged_Feasible_mat!V10=1),(VLOOKUP(U$1,test!$A$3:$I$32,8,FALSE))-(VLOOKUP($A41,test!$A$3:$I$32,9,FALSE))-test!$B$33,0)</f>
        <v>0</v>
      </c>
      <c r="V41">
        <f>IF(AND(SUM(VLOOKUP($A41,test!$A$3:$F$32,2,FALSE),VLOOKUP(V$1,test!$A$3:$F$32,2,FALSE))&lt;test!$K$16,$A41&lt;&gt;V$1,Recharged_Feasible_mat!W10=1),(VLOOKUP(V$1,test!$A$3:$I$32,8,FALSE))-(VLOOKUP($A41,test!$A$3:$I$32,9,FALSE))-test!$B$33,0)</f>
        <v>0</v>
      </c>
      <c r="W41">
        <f>IF(AND(SUM(VLOOKUP($A41,test!$A$3:$F$32,2,FALSE),VLOOKUP(W$1,test!$A$3:$F$32,2,FALSE))&lt;test!$K$16,$A41&lt;&gt;W$1,Recharged_Feasible_mat!X10=1),(VLOOKUP(W$1,test!$A$3:$I$32,8,FALSE))-(VLOOKUP($A41,test!$A$3:$I$32,9,FALSE))-test!$B$33,0)</f>
        <v>0</v>
      </c>
      <c r="X41">
        <f>IF(AND(SUM(VLOOKUP($A41,test!$A$3:$F$32,2,FALSE),VLOOKUP(X$1,test!$A$3:$F$32,2,FALSE))&lt;test!$K$16,$A41&lt;&gt;X$1,Recharged_Feasible_mat!Y10=1),(VLOOKUP(X$1,test!$A$3:$I$32,8,FALSE))-(VLOOKUP($A41,test!$A$3:$I$32,9,FALSE))-test!$B$33,0)</f>
        <v>0</v>
      </c>
      <c r="Y41">
        <f>IF(AND(SUM(VLOOKUP($A41,test!$A$3:$F$32,2,FALSE),VLOOKUP(Y$1,test!$A$3:$F$32,2,FALSE))&lt;test!$K$16,$A41&lt;&gt;Y$1,Recharged_Feasible_mat!Z10=1),(VLOOKUP(Y$1,test!$A$3:$I$32,8,FALSE))-(VLOOKUP($A41,test!$A$3:$I$32,9,FALSE))-test!$B$33,0)</f>
        <v>0</v>
      </c>
      <c r="Z41">
        <f>IF(AND(SUM(VLOOKUP($A41,test!$A$3:$F$32,2,FALSE),VLOOKUP(Z$1,test!$A$3:$F$32,2,FALSE))&lt;test!$K$16,$A41&lt;&gt;Z$1,Recharged_Feasible_mat!AA10=1),(VLOOKUP(Z$1,test!$A$3:$I$32,8,FALSE))-(VLOOKUP($A41,test!$A$3:$I$32,9,FALSE))-test!$B$33,0)</f>
        <v>0</v>
      </c>
      <c r="AA41">
        <f>IF(AND(SUM(VLOOKUP($A41,test!$A$3:$F$32,2,FALSE),VLOOKUP(AA$1,test!$A$3:$F$32,2,FALSE))&lt;test!$K$16,$A41&lt;&gt;AA$1,Recharged_Feasible_mat!AB10=1),(VLOOKUP(AA$1,test!$A$3:$I$32,8,FALSE))-(VLOOKUP($A41,test!$A$3:$I$32,9,FALSE))-test!$B$33,0)</f>
        <v>0</v>
      </c>
      <c r="AB41">
        <f>IF(AND(SUM(VLOOKUP($A41,test!$A$3:$F$32,2,FALSE),VLOOKUP(AB$1,test!$A$3:$F$32,2,FALSE))&lt;test!$K$16,$A41&lt;&gt;AB$1,Recharged_Feasible_mat!AC10=1),(VLOOKUP(AB$1,test!$A$3:$I$32,8,FALSE))-(VLOOKUP($A41,test!$A$3:$I$32,9,FALSE))-test!$B$33,0)</f>
        <v>0</v>
      </c>
      <c r="AC41">
        <f>IF(AND(SUM(VLOOKUP($A41,test!$A$3:$F$32,2,FALSE),VLOOKUP(AC$1,test!$A$3:$F$32,2,FALSE))&lt;test!$K$16,$A41&lt;&gt;AC$1,Recharged_Feasible_mat!AD10=1),(VLOOKUP(AC$1,test!$A$3:$I$32,8,FALSE))-(VLOOKUP($A41,test!$A$3:$I$32,9,FALSE))-test!$B$33,0)</f>
        <v>0</v>
      </c>
      <c r="AD41">
        <f>IF(AND(SUM(VLOOKUP($A41,test!$A$3:$F$32,2,FALSE),VLOOKUP(AD$1,test!$A$3:$F$32,2,FALSE))&lt;test!$K$16,$A41&lt;&gt;AD$1,Recharged_Feasible_mat!AE10=1),(VLOOKUP(AD$1,test!$A$3:$I$32,8,FALSE))-(VLOOKUP($A41,test!$A$3:$I$32,9,FALSE))-test!$B$33,0)</f>
        <v>0</v>
      </c>
      <c r="AE41">
        <f>IF(AND(SUM(VLOOKUP($A41,test!$A$3:$F$32,2,FALSE),VLOOKUP(AE$1,test!$A$3:$F$32,2,FALSE))&lt;test!$K$16,$A41&lt;&gt;AE$1,Recharged_Feasible_mat!AF10=1),(VLOOKUP(AE$1,test!$A$3:$I$32,8,FALSE))-(VLOOKUP($A41,test!$A$3:$I$32,9,FALSE))-test!$B$33,0)</f>
        <v>0</v>
      </c>
      <c r="AF41">
        <f>IF(AND(SUM(VLOOKUP($A41,test!$A$3:$F$32,2,FALSE),VLOOKUP(AF$1,test!$A$3:$F$32,2,FALSE))&lt;test!$K$16,$A41&lt;&gt;AF$1,Recharged_Feasible_mat!AG10=1),(VLOOKUP(AF$1,test!$A$3:$I$32,8,FALSE))-(VLOOKUP($A41,test!$A$3:$I$32,9,FALSE))-test!$B$33,0)</f>
        <v>0</v>
      </c>
    </row>
    <row r="42" spans="1:32" x14ac:dyDescent="0.25">
      <c r="A42" t="s">
        <v>18</v>
      </c>
      <c r="B42">
        <v>0</v>
      </c>
      <c r="C42">
        <f>IF(AND(SUM(VLOOKUP($A42,test!$A$3:$F$32,2,FALSE),VLOOKUP(C$1,test!$A$3:$F$32,2,FALSE))&lt;test!$K$16,$A42&lt;&gt;C$1,Recharged_Feasible_mat!D11=1),(VLOOKUP(C$1,test!$A$3:$I$32,8,FALSE))-(VLOOKUP($A42,test!$A$3:$I$32,9,FALSE))-test!$B$33,0)</f>
        <v>0</v>
      </c>
      <c r="D42">
        <f>IF(AND(SUM(VLOOKUP($A42,test!$A$3:$F$32,2,FALSE),VLOOKUP(D$1,test!$A$3:$F$32,2,FALSE))&lt;test!$K$16,$A42&lt;&gt;D$1,Recharged_Feasible_mat!E11=1),(VLOOKUP(D$1,test!$A$3:$I$32,8,FALSE))-(VLOOKUP($A42,test!$A$3:$I$32,9,FALSE))-test!$B$33,0)</f>
        <v>0</v>
      </c>
      <c r="E42">
        <f>IF(AND(SUM(VLOOKUP($A42,test!$A$3:$F$32,2,FALSE),VLOOKUP(E$1,test!$A$3:$F$32,2,FALSE))&lt;test!$K$16,$A42&lt;&gt;E$1,Recharged_Feasible_mat!F11=1),(VLOOKUP(E$1,test!$A$3:$I$32,8,FALSE))-(VLOOKUP($A42,test!$A$3:$I$32,9,FALSE))-test!$B$33,0)</f>
        <v>75</v>
      </c>
      <c r="F42">
        <f>IF(AND(SUM(VLOOKUP($A42,test!$A$3:$F$32,2,FALSE),VLOOKUP(F$1,test!$A$3:$F$32,2,FALSE))&lt;test!$K$16,$A42&lt;&gt;F$1,Recharged_Feasible_mat!G11=1),(VLOOKUP(F$1,test!$A$3:$I$32,8,FALSE))-(VLOOKUP($A42,test!$A$3:$I$32,9,FALSE))-test!$B$33,0)</f>
        <v>165</v>
      </c>
      <c r="G42">
        <f>IF(AND(SUM(VLOOKUP($A42,test!$A$3:$F$32,2,FALSE),VLOOKUP(G$1,test!$A$3:$F$32,2,FALSE))&lt;test!$K$16,$A42&lt;&gt;G$1,Recharged_Feasible_mat!H11=1),(VLOOKUP(G$1,test!$A$3:$I$32,8,FALSE))-(VLOOKUP($A42,test!$A$3:$I$32,9,FALSE))-test!$B$33,0)</f>
        <v>225</v>
      </c>
      <c r="H42">
        <f>IF(AND(SUM(VLOOKUP($A42,test!$A$3:$F$32,2,FALSE),VLOOKUP(H$1,test!$A$3:$F$32,2,FALSE))&lt;test!$K$16,$A42&lt;&gt;H$1,Recharged_Feasible_mat!I11=1),(VLOOKUP(H$1,test!$A$3:$I$32,8,FALSE))-(VLOOKUP($A42,test!$A$3:$I$32,9,FALSE))-test!$B$33,0)</f>
        <v>285</v>
      </c>
      <c r="I42">
        <f>IF(AND(SUM(VLOOKUP($A42,test!$A$3:$F$32,2,FALSE),VLOOKUP(I$1,test!$A$3:$F$32,2,FALSE))&lt;test!$K$16,$A42&lt;&gt;I$1,Recharged_Feasible_mat!J11=1),(VLOOKUP(I$1,test!$A$3:$I$32,8,FALSE))-(VLOOKUP($A42,test!$A$3:$I$32,9,FALSE))-test!$B$33,0)</f>
        <v>345</v>
      </c>
      <c r="J42">
        <f>IF(AND(SUM(VLOOKUP($A42,test!$A$3:$F$32,2,FALSE),VLOOKUP(J$1,test!$A$3:$F$32,2,FALSE))&lt;test!$K$16,$A42&lt;&gt;J$1,Recharged_Feasible_mat!K11=1),(VLOOKUP(J$1,test!$A$3:$I$32,8,FALSE))-(VLOOKUP($A42,test!$A$3:$I$32,9,FALSE))-test!$B$33,0)</f>
        <v>435</v>
      </c>
      <c r="K42">
        <f>IF(AND(SUM(VLOOKUP($A42,test!$A$3:$F$32,2,FALSE),VLOOKUP(K$1,test!$A$3:$F$32,2,FALSE))&lt;test!$K$16,$A42&lt;&gt;K$1,Recharged_Feasible_mat!L11=1),(VLOOKUP(K$1,test!$A$3:$I$32,8,FALSE))-(VLOOKUP($A42,test!$A$3:$I$32,9,FALSE))-test!$B$33,0)</f>
        <v>0</v>
      </c>
      <c r="L42">
        <f>IF(AND(SUM(VLOOKUP($A42,test!$A$3:$F$32,2,FALSE),VLOOKUP(L$1,test!$A$3:$F$32,2,FALSE))&lt;test!$K$16,$A42&lt;&gt;L$1,Recharged_Feasible_mat!M11=1),(VLOOKUP(L$1,test!$A$3:$I$32,8,FALSE))-(VLOOKUP($A42,test!$A$3:$I$32,9,FALSE))-test!$B$33,0)</f>
        <v>0</v>
      </c>
      <c r="M42">
        <f>IF(AND(SUM(VLOOKUP($A42,test!$A$3:$F$32,2,FALSE),VLOOKUP(M$1,test!$A$3:$F$32,2,FALSE))&lt;test!$K$16,$A42&lt;&gt;M$1,Recharged_Feasible_mat!N11=1),(VLOOKUP(M$1,test!$A$3:$I$32,8,FALSE))-(VLOOKUP($A42,test!$A$3:$I$32,9,FALSE))-test!$B$33,0)</f>
        <v>40</v>
      </c>
      <c r="N42">
        <f>IF(AND(SUM(VLOOKUP($A42,test!$A$3:$F$32,2,FALSE),VLOOKUP(N$1,test!$A$3:$F$32,2,FALSE))&lt;test!$K$16,$A42&lt;&gt;N$1,Recharged_Feasible_mat!O11=1),(VLOOKUP(N$1,test!$A$3:$I$32,8,FALSE))-(VLOOKUP($A42,test!$A$3:$I$32,9,FALSE))-test!$B$33,0)</f>
        <v>400</v>
      </c>
      <c r="O42">
        <f>IF(AND(SUM(VLOOKUP($A42,test!$A$3:$F$32,2,FALSE),VLOOKUP(O$1,test!$A$3:$F$32,2,FALSE))&lt;test!$K$16,$A42&lt;&gt;O$1,Recharged_Feasible_mat!P11=1),(VLOOKUP(O$1,test!$A$3:$I$32,8,FALSE))-(VLOOKUP($A42,test!$A$3:$I$32,9,FALSE))-test!$B$33,0)</f>
        <v>460</v>
      </c>
      <c r="P42">
        <f>IF(AND(SUM(VLOOKUP($A42,test!$A$3:$F$32,2,FALSE),VLOOKUP(P$1,test!$A$3:$F$32,2,FALSE))&lt;test!$K$16,$A42&lt;&gt;P$1,Recharged_Feasible_mat!Q11=1),(VLOOKUP(P$1,test!$A$3:$I$32,8,FALSE))-(VLOOKUP($A42,test!$A$3:$I$32,9,FALSE))-test!$B$33,0)</f>
        <v>0</v>
      </c>
      <c r="Q42">
        <f>IF(AND(SUM(VLOOKUP($A42,test!$A$3:$F$32,2,FALSE),VLOOKUP(Q$1,test!$A$3:$F$32,2,FALSE))&lt;test!$K$16,$A42&lt;&gt;Q$1,Recharged_Feasible_mat!R11=1),(VLOOKUP(Q$1,test!$A$3:$I$32,8,FALSE))-(VLOOKUP($A42,test!$A$3:$I$32,9,FALSE))-test!$B$33,0)</f>
        <v>0</v>
      </c>
      <c r="R42">
        <f>IF(AND(SUM(VLOOKUP($A42,test!$A$3:$F$32,2,FALSE),VLOOKUP(R$1,test!$A$3:$F$32,2,FALSE))&lt;test!$K$16,$A42&lt;&gt;R$1,Recharged_Feasible_mat!S11=1),(VLOOKUP(R$1,test!$A$3:$I$32,8,FALSE))-(VLOOKUP($A42,test!$A$3:$I$32,9,FALSE))-test!$B$33,0)</f>
        <v>0</v>
      </c>
      <c r="S42">
        <f>IF(AND(SUM(VLOOKUP($A42,test!$A$3:$F$32,2,FALSE),VLOOKUP(S$1,test!$A$3:$F$32,2,FALSE))&lt;test!$K$16,$A42&lt;&gt;S$1,Recharged_Feasible_mat!T11=1),(VLOOKUP(S$1,test!$A$3:$I$32,8,FALSE))-(VLOOKUP($A42,test!$A$3:$I$32,9,FALSE))-test!$B$33,0)</f>
        <v>0</v>
      </c>
      <c r="T42">
        <f>IF(AND(SUM(VLOOKUP($A42,test!$A$3:$F$32,2,FALSE),VLOOKUP(T$1,test!$A$3:$F$32,2,FALSE))&lt;test!$K$16,$A42&lt;&gt;T$1,Recharged_Feasible_mat!U11=1),(VLOOKUP(T$1,test!$A$3:$I$32,8,FALSE))-(VLOOKUP($A42,test!$A$3:$I$32,9,FALSE))-test!$B$33,0)</f>
        <v>55</v>
      </c>
      <c r="U42">
        <f>IF(AND(SUM(VLOOKUP($A42,test!$A$3:$F$32,2,FALSE),VLOOKUP(U$1,test!$A$3:$F$32,2,FALSE))&lt;test!$K$16,$A42&lt;&gt;U$1,Recharged_Feasible_mat!V11=1),(VLOOKUP(U$1,test!$A$3:$I$32,8,FALSE))-(VLOOKUP($A42,test!$A$3:$I$32,9,FALSE))-test!$B$33,0)</f>
        <v>145</v>
      </c>
      <c r="V42">
        <f>IF(AND(SUM(VLOOKUP($A42,test!$A$3:$F$32,2,FALSE),VLOOKUP(V$1,test!$A$3:$F$32,2,FALSE))&lt;test!$K$16,$A42&lt;&gt;V$1,Recharged_Feasible_mat!W11=1),(VLOOKUP(V$1,test!$A$3:$I$32,8,FALSE))-(VLOOKUP($A42,test!$A$3:$I$32,9,FALSE))-test!$B$33,0)</f>
        <v>235</v>
      </c>
      <c r="W42">
        <f>IF(AND(SUM(VLOOKUP($A42,test!$A$3:$F$32,2,FALSE),VLOOKUP(W$1,test!$A$3:$F$32,2,FALSE))&lt;test!$K$16,$A42&lt;&gt;W$1,Recharged_Feasible_mat!X11=1),(VLOOKUP(W$1,test!$A$3:$I$32,8,FALSE))-(VLOOKUP($A42,test!$A$3:$I$32,9,FALSE))-test!$B$33,0)</f>
        <v>325</v>
      </c>
      <c r="X42">
        <f>IF(AND(SUM(VLOOKUP($A42,test!$A$3:$F$32,2,FALSE),VLOOKUP(X$1,test!$A$3:$F$32,2,FALSE))&lt;test!$K$16,$A42&lt;&gt;X$1,Recharged_Feasible_mat!Y11=1),(VLOOKUP(X$1,test!$A$3:$I$32,8,FALSE))-(VLOOKUP($A42,test!$A$3:$I$32,9,FALSE))-test!$B$33,0)</f>
        <v>385</v>
      </c>
      <c r="Y42">
        <f>IF(AND(SUM(VLOOKUP($A42,test!$A$3:$F$32,2,FALSE),VLOOKUP(Y$1,test!$A$3:$F$32,2,FALSE))&lt;test!$K$16,$A42&lt;&gt;Y$1,Recharged_Feasible_mat!Z11=1),(VLOOKUP(Y$1,test!$A$3:$I$32,8,FALSE))-(VLOOKUP($A42,test!$A$3:$I$32,9,FALSE))-test!$B$33,0)</f>
        <v>0</v>
      </c>
      <c r="Z42">
        <f>IF(AND(SUM(VLOOKUP($A42,test!$A$3:$F$32,2,FALSE),VLOOKUP(Z$1,test!$A$3:$F$32,2,FALSE))&lt;test!$K$16,$A42&lt;&gt;Z$1,Recharged_Feasible_mat!AA11=1),(VLOOKUP(Z$1,test!$A$3:$I$32,8,FALSE))-(VLOOKUP($A42,test!$A$3:$I$32,9,FALSE))-test!$B$33,0)</f>
        <v>0</v>
      </c>
      <c r="AA42">
        <f>IF(AND(SUM(VLOOKUP($A42,test!$A$3:$F$32,2,FALSE),VLOOKUP(AA$1,test!$A$3:$F$32,2,FALSE))&lt;test!$K$16,$A42&lt;&gt;AA$1,Recharged_Feasible_mat!AB11=1),(VLOOKUP(AA$1,test!$A$3:$I$32,8,FALSE))-(VLOOKUP($A42,test!$A$3:$I$32,9,FALSE))-test!$B$33,0)</f>
        <v>105</v>
      </c>
      <c r="AB42">
        <f>IF(AND(SUM(VLOOKUP($A42,test!$A$3:$F$32,2,FALSE),VLOOKUP(AB$1,test!$A$3:$F$32,2,FALSE))&lt;test!$K$16,$A42&lt;&gt;AB$1,Recharged_Feasible_mat!AC11=1),(VLOOKUP(AB$1,test!$A$3:$I$32,8,FALSE))-(VLOOKUP($A42,test!$A$3:$I$32,9,FALSE))-test!$B$33,0)</f>
        <v>165</v>
      </c>
      <c r="AC42">
        <f>IF(AND(SUM(VLOOKUP($A42,test!$A$3:$F$32,2,FALSE),VLOOKUP(AC$1,test!$A$3:$F$32,2,FALSE))&lt;test!$K$16,$A42&lt;&gt;AC$1,Recharged_Feasible_mat!AD11=1),(VLOOKUP(AC$1,test!$A$3:$I$32,8,FALSE))-(VLOOKUP($A42,test!$A$3:$I$32,9,FALSE))-test!$B$33,0)</f>
        <v>285</v>
      </c>
      <c r="AD42">
        <f>IF(AND(SUM(VLOOKUP($A42,test!$A$3:$F$32,2,FALSE),VLOOKUP(AD$1,test!$A$3:$F$32,2,FALSE))&lt;test!$K$16,$A42&lt;&gt;AD$1,Recharged_Feasible_mat!AE11=1),(VLOOKUP(AD$1,test!$A$3:$I$32,8,FALSE))-(VLOOKUP($A42,test!$A$3:$I$32,9,FALSE))-test!$B$33,0)</f>
        <v>0</v>
      </c>
      <c r="AE42">
        <f>IF(AND(SUM(VLOOKUP($A42,test!$A$3:$F$32,2,FALSE),VLOOKUP(AE$1,test!$A$3:$F$32,2,FALSE))&lt;test!$K$16,$A42&lt;&gt;AE$1,Recharged_Feasible_mat!AF11=1),(VLOOKUP(AE$1,test!$A$3:$I$32,8,FALSE))-(VLOOKUP($A42,test!$A$3:$I$32,9,FALSE))-test!$B$33,0)</f>
        <v>0</v>
      </c>
      <c r="AF42">
        <f>IF(AND(SUM(VLOOKUP($A42,test!$A$3:$F$32,2,FALSE),VLOOKUP(AF$1,test!$A$3:$F$32,2,FALSE))&lt;test!$K$16,$A42&lt;&gt;AF$1,Recharged_Feasible_mat!AG11=1),(VLOOKUP(AF$1,test!$A$3:$I$32,8,FALSE))-(VLOOKUP($A42,test!$A$3:$I$32,9,FALSE))-test!$B$33,0)</f>
        <v>0</v>
      </c>
    </row>
    <row r="43" spans="1:32" x14ac:dyDescent="0.25">
      <c r="A43" t="s">
        <v>20</v>
      </c>
      <c r="B43">
        <v>0</v>
      </c>
      <c r="C43">
        <f>IF(AND(SUM(VLOOKUP($A43,test!$A$3:$F$32,2,FALSE),VLOOKUP(C$1,test!$A$3:$F$32,2,FALSE))&lt;test!$K$16,$A43&lt;&gt;C$1,Recharged_Feasible_mat!D12=1),(VLOOKUP(C$1,test!$A$3:$I$32,8,FALSE))-(VLOOKUP($A43,test!$A$3:$I$32,9,FALSE))-test!$B$33,0)</f>
        <v>0</v>
      </c>
      <c r="D43">
        <f>IF(AND(SUM(VLOOKUP($A43,test!$A$3:$F$32,2,FALSE),VLOOKUP(D$1,test!$A$3:$F$32,2,FALSE))&lt;test!$K$16,$A43&lt;&gt;D$1,Recharged_Feasible_mat!E12=1),(VLOOKUP(D$1,test!$A$3:$I$32,8,FALSE))-(VLOOKUP($A43,test!$A$3:$I$32,9,FALSE))-test!$B$33,0)</f>
        <v>0</v>
      </c>
      <c r="E43">
        <f>IF(AND(SUM(VLOOKUP($A43,test!$A$3:$F$32,2,FALSE),VLOOKUP(E$1,test!$A$3:$F$32,2,FALSE))&lt;test!$K$16,$A43&lt;&gt;E$1,Recharged_Feasible_mat!F12=1),(VLOOKUP(E$1,test!$A$3:$I$32,8,FALSE))-(VLOOKUP($A43,test!$A$3:$I$32,9,FALSE))-test!$B$33,0)</f>
        <v>0</v>
      </c>
      <c r="F43">
        <f>IF(AND(SUM(VLOOKUP($A43,test!$A$3:$F$32,2,FALSE),VLOOKUP(F$1,test!$A$3:$F$32,2,FALSE))&lt;test!$K$16,$A43&lt;&gt;F$1,Recharged_Feasible_mat!G12=1),(VLOOKUP(F$1,test!$A$3:$I$32,8,FALSE))-(VLOOKUP($A43,test!$A$3:$I$32,9,FALSE))-test!$B$33,0)</f>
        <v>45</v>
      </c>
      <c r="G43">
        <f>IF(AND(SUM(VLOOKUP($A43,test!$A$3:$F$32,2,FALSE),VLOOKUP(G$1,test!$A$3:$F$32,2,FALSE))&lt;test!$K$16,$A43&lt;&gt;G$1,Recharged_Feasible_mat!H12=1),(VLOOKUP(G$1,test!$A$3:$I$32,8,FALSE))-(VLOOKUP($A43,test!$A$3:$I$32,9,FALSE))-test!$B$33,0)</f>
        <v>105</v>
      </c>
      <c r="H43">
        <f>IF(AND(SUM(VLOOKUP($A43,test!$A$3:$F$32,2,FALSE),VLOOKUP(H$1,test!$A$3:$F$32,2,FALSE))&lt;test!$K$16,$A43&lt;&gt;H$1,Recharged_Feasible_mat!I12=1),(VLOOKUP(H$1,test!$A$3:$I$32,8,FALSE))-(VLOOKUP($A43,test!$A$3:$I$32,9,FALSE))-test!$B$33,0)</f>
        <v>165</v>
      </c>
      <c r="I43">
        <f>IF(AND(SUM(VLOOKUP($A43,test!$A$3:$F$32,2,FALSE),VLOOKUP(I$1,test!$A$3:$F$32,2,FALSE))&lt;test!$K$16,$A43&lt;&gt;I$1,Recharged_Feasible_mat!J12=1),(VLOOKUP(I$1,test!$A$3:$I$32,8,FALSE))-(VLOOKUP($A43,test!$A$3:$I$32,9,FALSE))-test!$B$33,0)</f>
        <v>225</v>
      </c>
      <c r="J43">
        <f>IF(AND(SUM(VLOOKUP($A43,test!$A$3:$F$32,2,FALSE),VLOOKUP(J$1,test!$A$3:$F$32,2,FALSE))&lt;test!$K$16,$A43&lt;&gt;J$1,Recharged_Feasible_mat!K12=1),(VLOOKUP(J$1,test!$A$3:$I$32,8,FALSE))-(VLOOKUP($A43,test!$A$3:$I$32,9,FALSE))-test!$B$33,0)</f>
        <v>315</v>
      </c>
      <c r="K43">
        <f>IF(AND(SUM(VLOOKUP($A43,test!$A$3:$F$32,2,FALSE),VLOOKUP(K$1,test!$A$3:$F$32,2,FALSE))&lt;test!$K$16,$A43&lt;&gt;K$1,Recharged_Feasible_mat!L12=1),(VLOOKUP(K$1,test!$A$3:$I$32,8,FALSE))-(VLOOKUP($A43,test!$A$3:$I$32,9,FALSE))-test!$B$33,0)</f>
        <v>0</v>
      </c>
      <c r="L43">
        <f>IF(AND(SUM(VLOOKUP($A43,test!$A$3:$F$32,2,FALSE),VLOOKUP(L$1,test!$A$3:$F$32,2,FALSE))&lt;test!$K$16,$A43&lt;&gt;L$1,Recharged_Feasible_mat!M12=1),(VLOOKUP(L$1,test!$A$3:$I$32,8,FALSE))-(VLOOKUP($A43,test!$A$3:$I$32,9,FALSE))-test!$B$33,0)</f>
        <v>0</v>
      </c>
      <c r="M43">
        <f>IF(AND(SUM(VLOOKUP($A43,test!$A$3:$F$32,2,FALSE),VLOOKUP(M$1,test!$A$3:$F$32,2,FALSE))&lt;test!$K$16,$A43&lt;&gt;M$1,Recharged_Feasible_mat!N12=1),(VLOOKUP(M$1,test!$A$3:$I$32,8,FALSE))-(VLOOKUP($A43,test!$A$3:$I$32,9,FALSE))-test!$B$33,0)</f>
        <v>0</v>
      </c>
      <c r="N43">
        <f>IF(AND(SUM(VLOOKUP($A43,test!$A$3:$F$32,2,FALSE),VLOOKUP(N$1,test!$A$3:$F$32,2,FALSE))&lt;test!$K$16,$A43&lt;&gt;N$1,Recharged_Feasible_mat!O12=1),(VLOOKUP(N$1,test!$A$3:$I$32,8,FALSE))-(VLOOKUP($A43,test!$A$3:$I$32,9,FALSE))-test!$B$33,0)</f>
        <v>280</v>
      </c>
      <c r="O43">
        <f>IF(AND(SUM(VLOOKUP($A43,test!$A$3:$F$32,2,FALSE),VLOOKUP(O$1,test!$A$3:$F$32,2,FALSE))&lt;test!$K$16,$A43&lt;&gt;O$1,Recharged_Feasible_mat!P12=1),(VLOOKUP(O$1,test!$A$3:$I$32,8,FALSE))-(VLOOKUP($A43,test!$A$3:$I$32,9,FALSE))-test!$B$33,0)</f>
        <v>340</v>
      </c>
      <c r="P43">
        <f>IF(AND(SUM(VLOOKUP($A43,test!$A$3:$F$32,2,FALSE),VLOOKUP(P$1,test!$A$3:$F$32,2,FALSE))&lt;test!$K$16,$A43&lt;&gt;P$1,Recharged_Feasible_mat!Q12=1),(VLOOKUP(P$1,test!$A$3:$I$32,8,FALSE))-(VLOOKUP($A43,test!$A$3:$I$32,9,FALSE))-test!$B$33,0)</f>
        <v>0</v>
      </c>
      <c r="Q43">
        <f>IF(AND(SUM(VLOOKUP($A43,test!$A$3:$F$32,2,FALSE),VLOOKUP(Q$1,test!$A$3:$F$32,2,FALSE))&lt;test!$K$16,$A43&lt;&gt;Q$1,Recharged_Feasible_mat!R12=1),(VLOOKUP(Q$1,test!$A$3:$I$32,8,FALSE))-(VLOOKUP($A43,test!$A$3:$I$32,9,FALSE))-test!$B$33,0)</f>
        <v>0</v>
      </c>
      <c r="R43">
        <f>IF(AND(SUM(VLOOKUP($A43,test!$A$3:$F$32,2,FALSE),VLOOKUP(R$1,test!$A$3:$F$32,2,FALSE))&lt;test!$K$16,$A43&lt;&gt;R$1,Recharged_Feasible_mat!S12=1),(VLOOKUP(R$1,test!$A$3:$I$32,8,FALSE))-(VLOOKUP($A43,test!$A$3:$I$32,9,FALSE))-test!$B$33,0)</f>
        <v>0</v>
      </c>
      <c r="S43">
        <f>IF(AND(SUM(VLOOKUP($A43,test!$A$3:$F$32,2,FALSE),VLOOKUP(S$1,test!$A$3:$F$32,2,FALSE))&lt;test!$K$16,$A43&lt;&gt;S$1,Recharged_Feasible_mat!T12=1),(VLOOKUP(S$1,test!$A$3:$I$32,8,FALSE))-(VLOOKUP($A43,test!$A$3:$I$32,9,FALSE))-test!$B$33,0)</f>
        <v>0</v>
      </c>
      <c r="T43">
        <f>IF(AND(SUM(VLOOKUP($A43,test!$A$3:$F$32,2,FALSE),VLOOKUP(T$1,test!$A$3:$F$32,2,FALSE))&lt;test!$K$16,$A43&lt;&gt;T$1,Recharged_Feasible_mat!U12=1),(VLOOKUP(T$1,test!$A$3:$I$32,8,FALSE))-(VLOOKUP($A43,test!$A$3:$I$32,9,FALSE))-test!$B$33,0)</f>
        <v>0</v>
      </c>
      <c r="U43">
        <f>IF(AND(SUM(VLOOKUP($A43,test!$A$3:$F$32,2,FALSE),VLOOKUP(U$1,test!$A$3:$F$32,2,FALSE))&lt;test!$K$16,$A43&lt;&gt;U$1,Recharged_Feasible_mat!V12=1),(VLOOKUP(U$1,test!$A$3:$I$32,8,FALSE))-(VLOOKUP($A43,test!$A$3:$I$32,9,FALSE))-test!$B$33,0)</f>
        <v>25</v>
      </c>
      <c r="V43">
        <f>IF(AND(SUM(VLOOKUP($A43,test!$A$3:$F$32,2,FALSE),VLOOKUP(V$1,test!$A$3:$F$32,2,FALSE))&lt;test!$K$16,$A43&lt;&gt;V$1,Recharged_Feasible_mat!W12=1),(VLOOKUP(V$1,test!$A$3:$I$32,8,FALSE))-(VLOOKUP($A43,test!$A$3:$I$32,9,FALSE))-test!$B$33,0)</f>
        <v>115</v>
      </c>
      <c r="W43">
        <f>IF(AND(SUM(VLOOKUP($A43,test!$A$3:$F$32,2,FALSE),VLOOKUP(W$1,test!$A$3:$F$32,2,FALSE))&lt;test!$K$16,$A43&lt;&gt;W$1,Recharged_Feasible_mat!X12=1),(VLOOKUP(W$1,test!$A$3:$I$32,8,FALSE))-(VLOOKUP($A43,test!$A$3:$I$32,9,FALSE))-test!$B$33,0)</f>
        <v>205</v>
      </c>
      <c r="X43">
        <f>IF(AND(SUM(VLOOKUP($A43,test!$A$3:$F$32,2,FALSE),VLOOKUP(X$1,test!$A$3:$F$32,2,FALSE))&lt;test!$K$16,$A43&lt;&gt;X$1,Recharged_Feasible_mat!Y12=1),(VLOOKUP(X$1,test!$A$3:$I$32,8,FALSE))-(VLOOKUP($A43,test!$A$3:$I$32,9,FALSE))-test!$B$33,0)</f>
        <v>265</v>
      </c>
      <c r="Y43">
        <f>IF(AND(SUM(VLOOKUP($A43,test!$A$3:$F$32,2,FALSE),VLOOKUP(Y$1,test!$A$3:$F$32,2,FALSE))&lt;test!$K$16,$A43&lt;&gt;Y$1,Recharged_Feasible_mat!Z12=1),(VLOOKUP(Y$1,test!$A$3:$I$32,8,FALSE))-(VLOOKUP($A43,test!$A$3:$I$32,9,FALSE))-test!$B$33,0)</f>
        <v>0</v>
      </c>
      <c r="Z43">
        <f>IF(AND(SUM(VLOOKUP($A43,test!$A$3:$F$32,2,FALSE),VLOOKUP(Z$1,test!$A$3:$F$32,2,FALSE))&lt;test!$K$16,$A43&lt;&gt;Z$1,Recharged_Feasible_mat!AA12=1),(VLOOKUP(Z$1,test!$A$3:$I$32,8,FALSE))-(VLOOKUP($A43,test!$A$3:$I$32,9,FALSE))-test!$B$33,0)</f>
        <v>0</v>
      </c>
      <c r="AA43">
        <f>IF(AND(SUM(VLOOKUP($A43,test!$A$3:$F$32,2,FALSE),VLOOKUP(AA$1,test!$A$3:$F$32,2,FALSE))&lt;test!$K$16,$A43&lt;&gt;AA$1,Recharged_Feasible_mat!AB12=1),(VLOOKUP(AA$1,test!$A$3:$I$32,8,FALSE))-(VLOOKUP($A43,test!$A$3:$I$32,9,FALSE))-test!$B$33,0)</f>
        <v>0</v>
      </c>
      <c r="AB43">
        <f>IF(AND(SUM(VLOOKUP($A43,test!$A$3:$F$32,2,FALSE),VLOOKUP(AB$1,test!$A$3:$F$32,2,FALSE))&lt;test!$K$16,$A43&lt;&gt;AB$1,Recharged_Feasible_mat!AC12=1),(VLOOKUP(AB$1,test!$A$3:$I$32,8,FALSE))-(VLOOKUP($A43,test!$A$3:$I$32,9,FALSE))-test!$B$33,0)</f>
        <v>45</v>
      </c>
      <c r="AC43">
        <f>IF(AND(SUM(VLOOKUP($A43,test!$A$3:$F$32,2,FALSE),VLOOKUP(AC$1,test!$A$3:$F$32,2,FALSE))&lt;test!$K$16,$A43&lt;&gt;AC$1,Recharged_Feasible_mat!AD12=1),(VLOOKUP(AC$1,test!$A$3:$I$32,8,FALSE))-(VLOOKUP($A43,test!$A$3:$I$32,9,FALSE))-test!$B$33,0)</f>
        <v>165</v>
      </c>
      <c r="AD43">
        <f>IF(AND(SUM(VLOOKUP($A43,test!$A$3:$F$32,2,FALSE),VLOOKUP(AD$1,test!$A$3:$F$32,2,FALSE))&lt;test!$K$16,$A43&lt;&gt;AD$1,Recharged_Feasible_mat!AE12=1),(VLOOKUP(AD$1,test!$A$3:$I$32,8,FALSE))-(VLOOKUP($A43,test!$A$3:$I$32,9,FALSE))-test!$B$33,0)</f>
        <v>0</v>
      </c>
      <c r="AE43">
        <f>IF(AND(SUM(VLOOKUP($A43,test!$A$3:$F$32,2,FALSE),VLOOKUP(AE$1,test!$A$3:$F$32,2,FALSE))&lt;test!$K$16,$A43&lt;&gt;AE$1,Recharged_Feasible_mat!AF12=1),(VLOOKUP(AE$1,test!$A$3:$I$32,8,FALSE))-(VLOOKUP($A43,test!$A$3:$I$32,9,FALSE))-test!$B$33,0)</f>
        <v>0</v>
      </c>
      <c r="AF43">
        <f>IF(AND(SUM(VLOOKUP($A43,test!$A$3:$F$32,2,FALSE),VLOOKUP(AF$1,test!$A$3:$F$32,2,FALSE))&lt;test!$K$16,$A43&lt;&gt;AF$1,Recharged_Feasible_mat!AG12=1),(VLOOKUP(AF$1,test!$A$3:$I$32,8,FALSE))-(VLOOKUP($A43,test!$A$3:$I$32,9,FALSE))-test!$B$33,0)</f>
        <v>0</v>
      </c>
    </row>
    <row r="44" spans="1:32" x14ac:dyDescent="0.25">
      <c r="A44" t="s">
        <v>21</v>
      </c>
      <c r="B44">
        <v>0</v>
      </c>
      <c r="C44">
        <f>IF(AND(SUM(VLOOKUP($A44,test!$A$3:$F$32,2,FALSE),VLOOKUP(C$1,test!$A$3:$F$32,2,FALSE))&lt;test!$K$16,$A44&lt;&gt;C$1,Recharged_Feasible_mat!D13=1),(VLOOKUP(C$1,test!$A$3:$I$32,8,FALSE))-(VLOOKUP($A44,test!$A$3:$I$32,9,FALSE))-test!$B$33,0)</f>
        <v>0</v>
      </c>
      <c r="D44">
        <f>IF(AND(SUM(VLOOKUP($A44,test!$A$3:$F$32,2,FALSE),VLOOKUP(D$1,test!$A$3:$F$32,2,FALSE))&lt;test!$K$16,$A44&lt;&gt;D$1,Recharged_Feasible_mat!E13=1),(VLOOKUP(D$1,test!$A$3:$I$32,8,FALSE))-(VLOOKUP($A44,test!$A$3:$I$32,9,FALSE))-test!$B$33,0)</f>
        <v>0</v>
      </c>
      <c r="E44">
        <f>IF(AND(SUM(VLOOKUP($A44,test!$A$3:$F$32,2,FALSE),VLOOKUP(E$1,test!$A$3:$F$32,2,FALSE))&lt;test!$K$16,$A44&lt;&gt;E$1,Recharged_Feasible_mat!F13=1),(VLOOKUP(E$1,test!$A$3:$I$32,8,FALSE))-(VLOOKUP($A44,test!$A$3:$I$32,9,FALSE))-test!$B$33,0)</f>
        <v>0</v>
      </c>
      <c r="F44">
        <f>IF(AND(SUM(VLOOKUP($A44,test!$A$3:$F$32,2,FALSE),VLOOKUP(F$1,test!$A$3:$F$32,2,FALSE))&lt;test!$K$16,$A44&lt;&gt;F$1,Recharged_Feasible_mat!G13=1),(VLOOKUP(F$1,test!$A$3:$I$32,8,FALSE))-(VLOOKUP($A44,test!$A$3:$I$32,9,FALSE))-test!$B$33,0)</f>
        <v>0</v>
      </c>
      <c r="G44">
        <f>IF(AND(SUM(VLOOKUP($A44,test!$A$3:$F$32,2,FALSE),VLOOKUP(G$1,test!$A$3:$F$32,2,FALSE))&lt;test!$K$16,$A44&lt;&gt;G$1,Recharged_Feasible_mat!H13=1),(VLOOKUP(G$1,test!$A$3:$I$32,8,FALSE))-(VLOOKUP($A44,test!$A$3:$I$32,9,FALSE))-test!$B$33,0)</f>
        <v>0</v>
      </c>
      <c r="H44">
        <f>IF(AND(SUM(VLOOKUP($A44,test!$A$3:$F$32,2,FALSE),VLOOKUP(H$1,test!$A$3:$F$32,2,FALSE))&lt;test!$K$16,$A44&lt;&gt;H$1,Recharged_Feasible_mat!I13=1),(VLOOKUP(H$1,test!$A$3:$I$32,8,FALSE))-(VLOOKUP($A44,test!$A$3:$I$32,9,FALSE))-test!$B$33,0)</f>
        <v>45</v>
      </c>
      <c r="I44">
        <f>IF(AND(SUM(VLOOKUP($A44,test!$A$3:$F$32,2,FALSE),VLOOKUP(I$1,test!$A$3:$F$32,2,FALSE))&lt;test!$K$16,$A44&lt;&gt;I$1,Recharged_Feasible_mat!J13=1),(VLOOKUP(I$1,test!$A$3:$I$32,8,FALSE))-(VLOOKUP($A44,test!$A$3:$I$32,9,FALSE))-test!$B$33,0)</f>
        <v>105</v>
      </c>
      <c r="J44">
        <f>IF(AND(SUM(VLOOKUP($A44,test!$A$3:$F$32,2,FALSE),VLOOKUP(J$1,test!$A$3:$F$32,2,FALSE))&lt;test!$K$16,$A44&lt;&gt;J$1,Recharged_Feasible_mat!K13=1),(VLOOKUP(J$1,test!$A$3:$I$32,8,FALSE))-(VLOOKUP($A44,test!$A$3:$I$32,9,FALSE))-test!$B$33,0)</f>
        <v>195</v>
      </c>
      <c r="K44">
        <f>IF(AND(SUM(VLOOKUP($A44,test!$A$3:$F$32,2,FALSE),VLOOKUP(K$1,test!$A$3:$F$32,2,FALSE))&lt;test!$K$16,$A44&lt;&gt;K$1,Recharged_Feasible_mat!L13=1),(VLOOKUP(K$1,test!$A$3:$I$32,8,FALSE))-(VLOOKUP($A44,test!$A$3:$I$32,9,FALSE))-test!$B$33,0)</f>
        <v>0</v>
      </c>
      <c r="L44">
        <f>IF(AND(SUM(VLOOKUP($A44,test!$A$3:$F$32,2,FALSE),VLOOKUP(L$1,test!$A$3:$F$32,2,FALSE))&lt;test!$K$16,$A44&lt;&gt;L$1,Recharged_Feasible_mat!M13=1),(VLOOKUP(L$1,test!$A$3:$I$32,8,FALSE))-(VLOOKUP($A44,test!$A$3:$I$32,9,FALSE))-test!$B$33,0)</f>
        <v>0</v>
      </c>
      <c r="M44">
        <f>IF(AND(SUM(VLOOKUP($A44,test!$A$3:$F$32,2,FALSE),VLOOKUP(M$1,test!$A$3:$F$32,2,FALSE))&lt;test!$K$16,$A44&lt;&gt;M$1,Recharged_Feasible_mat!N13=1),(VLOOKUP(M$1,test!$A$3:$I$32,8,FALSE))-(VLOOKUP($A44,test!$A$3:$I$32,9,FALSE))-test!$B$33,0)</f>
        <v>0</v>
      </c>
      <c r="N44">
        <f>IF(AND(SUM(VLOOKUP($A44,test!$A$3:$F$32,2,FALSE),VLOOKUP(N$1,test!$A$3:$F$32,2,FALSE))&lt;test!$K$16,$A44&lt;&gt;N$1,Recharged_Feasible_mat!O13=1),(VLOOKUP(N$1,test!$A$3:$I$32,8,FALSE))-(VLOOKUP($A44,test!$A$3:$I$32,9,FALSE))-test!$B$33,0)</f>
        <v>160</v>
      </c>
      <c r="O44">
        <f>IF(AND(SUM(VLOOKUP($A44,test!$A$3:$F$32,2,FALSE),VLOOKUP(O$1,test!$A$3:$F$32,2,FALSE))&lt;test!$K$16,$A44&lt;&gt;O$1,Recharged_Feasible_mat!P13=1),(VLOOKUP(O$1,test!$A$3:$I$32,8,FALSE))-(VLOOKUP($A44,test!$A$3:$I$32,9,FALSE))-test!$B$33,0)</f>
        <v>220</v>
      </c>
      <c r="P44">
        <f>IF(AND(SUM(VLOOKUP($A44,test!$A$3:$F$32,2,FALSE),VLOOKUP(P$1,test!$A$3:$F$32,2,FALSE))&lt;test!$K$16,$A44&lt;&gt;P$1,Recharged_Feasible_mat!Q13=1),(VLOOKUP(P$1,test!$A$3:$I$32,8,FALSE))-(VLOOKUP($A44,test!$A$3:$I$32,9,FALSE))-test!$B$33,0)</f>
        <v>0</v>
      </c>
      <c r="Q44">
        <f>IF(AND(SUM(VLOOKUP($A44,test!$A$3:$F$32,2,FALSE),VLOOKUP(Q$1,test!$A$3:$F$32,2,FALSE))&lt;test!$K$16,$A44&lt;&gt;Q$1,Recharged_Feasible_mat!R13=1),(VLOOKUP(Q$1,test!$A$3:$I$32,8,FALSE))-(VLOOKUP($A44,test!$A$3:$I$32,9,FALSE))-test!$B$33,0)</f>
        <v>0</v>
      </c>
      <c r="R44">
        <f>IF(AND(SUM(VLOOKUP($A44,test!$A$3:$F$32,2,FALSE),VLOOKUP(R$1,test!$A$3:$F$32,2,FALSE))&lt;test!$K$16,$A44&lt;&gt;R$1,Recharged_Feasible_mat!S13=1),(VLOOKUP(R$1,test!$A$3:$I$32,8,FALSE))-(VLOOKUP($A44,test!$A$3:$I$32,9,FALSE))-test!$B$33,0)</f>
        <v>0</v>
      </c>
      <c r="S44">
        <f>IF(AND(SUM(VLOOKUP($A44,test!$A$3:$F$32,2,FALSE),VLOOKUP(S$1,test!$A$3:$F$32,2,FALSE))&lt;test!$K$16,$A44&lt;&gt;S$1,Recharged_Feasible_mat!T13=1),(VLOOKUP(S$1,test!$A$3:$I$32,8,FALSE))-(VLOOKUP($A44,test!$A$3:$I$32,9,FALSE))-test!$B$33,0)</f>
        <v>0</v>
      </c>
      <c r="T44">
        <f>IF(AND(SUM(VLOOKUP($A44,test!$A$3:$F$32,2,FALSE),VLOOKUP(T$1,test!$A$3:$F$32,2,FALSE))&lt;test!$K$16,$A44&lt;&gt;T$1,Recharged_Feasible_mat!U13=1),(VLOOKUP(T$1,test!$A$3:$I$32,8,FALSE))-(VLOOKUP($A44,test!$A$3:$I$32,9,FALSE))-test!$B$33,0)</f>
        <v>0</v>
      </c>
      <c r="U44">
        <f>IF(AND(SUM(VLOOKUP($A44,test!$A$3:$F$32,2,FALSE),VLOOKUP(U$1,test!$A$3:$F$32,2,FALSE))&lt;test!$K$16,$A44&lt;&gt;U$1,Recharged_Feasible_mat!V13=1),(VLOOKUP(U$1,test!$A$3:$I$32,8,FALSE))-(VLOOKUP($A44,test!$A$3:$I$32,9,FALSE))-test!$B$33,0)</f>
        <v>0</v>
      </c>
      <c r="V44">
        <f>IF(AND(SUM(VLOOKUP($A44,test!$A$3:$F$32,2,FALSE),VLOOKUP(V$1,test!$A$3:$F$32,2,FALSE))&lt;test!$K$16,$A44&lt;&gt;V$1,Recharged_Feasible_mat!W13=1),(VLOOKUP(V$1,test!$A$3:$I$32,8,FALSE))-(VLOOKUP($A44,test!$A$3:$I$32,9,FALSE))-test!$B$33,0)</f>
        <v>0</v>
      </c>
      <c r="W44">
        <f>IF(AND(SUM(VLOOKUP($A44,test!$A$3:$F$32,2,FALSE),VLOOKUP(W$1,test!$A$3:$F$32,2,FALSE))&lt;test!$K$16,$A44&lt;&gt;W$1,Recharged_Feasible_mat!X13=1),(VLOOKUP(W$1,test!$A$3:$I$32,8,FALSE))-(VLOOKUP($A44,test!$A$3:$I$32,9,FALSE))-test!$B$33,0)</f>
        <v>85</v>
      </c>
      <c r="X44">
        <f>IF(AND(SUM(VLOOKUP($A44,test!$A$3:$F$32,2,FALSE),VLOOKUP(X$1,test!$A$3:$F$32,2,FALSE))&lt;test!$K$16,$A44&lt;&gt;X$1,Recharged_Feasible_mat!Y13=1),(VLOOKUP(X$1,test!$A$3:$I$32,8,FALSE))-(VLOOKUP($A44,test!$A$3:$I$32,9,FALSE))-test!$B$33,0)</f>
        <v>145</v>
      </c>
      <c r="Y44">
        <f>IF(AND(SUM(VLOOKUP($A44,test!$A$3:$F$32,2,FALSE),VLOOKUP(Y$1,test!$A$3:$F$32,2,FALSE))&lt;test!$K$16,$A44&lt;&gt;Y$1,Recharged_Feasible_mat!Z13=1),(VLOOKUP(Y$1,test!$A$3:$I$32,8,FALSE))-(VLOOKUP($A44,test!$A$3:$I$32,9,FALSE))-test!$B$33,0)</f>
        <v>0</v>
      </c>
      <c r="Z44">
        <f>IF(AND(SUM(VLOOKUP($A44,test!$A$3:$F$32,2,FALSE),VLOOKUP(Z$1,test!$A$3:$F$32,2,FALSE))&lt;test!$K$16,$A44&lt;&gt;Z$1,Recharged_Feasible_mat!AA13=1),(VLOOKUP(Z$1,test!$A$3:$I$32,8,FALSE))-(VLOOKUP($A44,test!$A$3:$I$32,9,FALSE))-test!$B$33,0)</f>
        <v>0</v>
      </c>
      <c r="AA44">
        <f>IF(AND(SUM(VLOOKUP($A44,test!$A$3:$F$32,2,FALSE),VLOOKUP(AA$1,test!$A$3:$F$32,2,FALSE))&lt;test!$K$16,$A44&lt;&gt;AA$1,Recharged_Feasible_mat!AB13=1),(VLOOKUP(AA$1,test!$A$3:$I$32,8,FALSE))-(VLOOKUP($A44,test!$A$3:$I$32,9,FALSE))-test!$B$33,0)</f>
        <v>0</v>
      </c>
      <c r="AB44">
        <f>IF(AND(SUM(VLOOKUP($A44,test!$A$3:$F$32,2,FALSE),VLOOKUP(AB$1,test!$A$3:$F$32,2,FALSE))&lt;test!$K$16,$A44&lt;&gt;AB$1,Recharged_Feasible_mat!AC13=1),(VLOOKUP(AB$1,test!$A$3:$I$32,8,FALSE))-(VLOOKUP($A44,test!$A$3:$I$32,9,FALSE))-test!$B$33,0)</f>
        <v>0</v>
      </c>
      <c r="AC44">
        <f>IF(AND(SUM(VLOOKUP($A44,test!$A$3:$F$32,2,FALSE),VLOOKUP(AC$1,test!$A$3:$F$32,2,FALSE))&lt;test!$K$16,$A44&lt;&gt;AC$1,Recharged_Feasible_mat!AD13=1),(VLOOKUP(AC$1,test!$A$3:$I$32,8,FALSE))-(VLOOKUP($A44,test!$A$3:$I$32,9,FALSE))-test!$B$33,0)</f>
        <v>45</v>
      </c>
      <c r="AD44">
        <f>IF(AND(SUM(VLOOKUP($A44,test!$A$3:$F$32,2,FALSE),VLOOKUP(AD$1,test!$A$3:$F$32,2,FALSE))&lt;test!$K$16,$A44&lt;&gt;AD$1,Recharged_Feasible_mat!AE13=1),(VLOOKUP(AD$1,test!$A$3:$I$32,8,FALSE))-(VLOOKUP($A44,test!$A$3:$I$32,9,FALSE))-test!$B$33,0)</f>
        <v>0</v>
      </c>
      <c r="AE44">
        <f>IF(AND(SUM(VLOOKUP($A44,test!$A$3:$F$32,2,FALSE),VLOOKUP(AE$1,test!$A$3:$F$32,2,FALSE))&lt;test!$K$16,$A44&lt;&gt;AE$1,Recharged_Feasible_mat!AF13=1),(VLOOKUP(AE$1,test!$A$3:$I$32,8,FALSE))-(VLOOKUP($A44,test!$A$3:$I$32,9,FALSE))-test!$B$33,0)</f>
        <v>0</v>
      </c>
      <c r="AF44">
        <f>IF(AND(SUM(VLOOKUP($A44,test!$A$3:$F$32,2,FALSE),VLOOKUP(AF$1,test!$A$3:$F$32,2,FALSE))&lt;test!$K$16,$A44&lt;&gt;AF$1,Recharged_Feasible_mat!AG13=1),(VLOOKUP(AF$1,test!$A$3:$I$32,8,FALSE))-(VLOOKUP($A44,test!$A$3:$I$32,9,FALSE))-test!$B$33,0)</f>
        <v>0</v>
      </c>
    </row>
    <row r="45" spans="1:32" x14ac:dyDescent="0.25">
      <c r="A45" t="s">
        <v>22</v>
      </c>
      <c r="B45">
        <v>0</v>
      </c>
      <c r="C45">
        <f>IF(AND(SUM(VLOOKUP($A45,test!$A$3:$F$32,2,FALSE),VLOOKUP(C$1,test!$A$3:$F$32,2,FALSE))&lt;test!$K$16,$A45&lt;&gt;C$1,Recharged_Feasible_mat!D14=1),(VLOOKUP(C$1,test!$A$3:$I$32,8,FALSE))-(VLOOKUP($A45,test!$A$3:$I$32,9,FALSE))-test!$B$33,0)</f>
        <v>0</v>
      </c>
      <c r="D45">
        <f>IF(AND(SUM(VLOOKUP($A45,test!$A$3:$F$32,2,FALSE),VLOOKUP(D$1,test!$A$3:$F$32,2,FALSE))&lt;test!$K$16,$A45&lt;&gt;D$1,Recharged_Feasible_mat!E14=1),(VLOOKUP(D$1,test!$A$3:$I$32,8,FALSE))-(VLOOKUP($A45,test!$A$3:$I$32,9,FALSE))-test!$B$33,0)</f>
        <v>0</v>
      </c>
      <c r="E45">
        <f>IF(AND(SUM(VLOOKUP($A45,test!$A$3:$F$32,2,FALSE),VLOOKUP(E$1,test!$A$3:$F$32,2,FALSE))&lt;test!$K$16,$A45&lt;&gt;E$1,Recharged_Feasible_mat!F14=1),(VLOOKUP(E$1,test!$A$3:$I$32,8,FALSE))-(VLOOKUP($A45,test!$A$3:$I$32,9,FALSE))-test!$B$33,0)</f>
        <v>0</v>
      </c>
      <c r="F45">
        <f>IF(AND(SUM(VLOOKUP($A45,test!$A$3:$F$32,2,FALSE),VLOOKUP(F$1,test!$A$3:$F$32,2,FALSE))&lt;test!$K$16,$A45&lt;&gt;F$1,Recharged_Feasible_mat!G14=1),(VLOOKUP(F$1,test!$A$3:$I$32,8,FALSE))-(VLOOKUP($A45,test!$A$3:$I$32,9,FALSE))-test!$B$33,0)</f>
        <v>0</v>
      </c>
      <c r="G45">
        <f>IF(AND(SUM(VLOOKUP($A45,test!$A$3:$F$32,2,FALSE),VLOOKUP(G$1,test!$A$3:$F$32,2,FALSE))&lt;test!$K$16,$A45&lt;&gt;G$1,Recharged_Feasible_mat!H14=1),(VLOOKUP(G$1,test!$A$3:$I$32,8,FALSE))-(VLOOKUP($A45,test!$A$3:$I$32,9,FALSE))-test!$B$33,0)</f>
        <v>0</v>
      </c>
      <c r="H45">
        <f>IF(AND(SUM(VLOOKUP($A45,test!$A$3:$F$32,2,FALSE),VLOOKUP(H$1,test!$A$3:$F$32,2,FALSE))&lt;test!$K$16,$A45&lt;&gt;H$1,Recharged_Feasible_mat!I14=1),(VLOOKUP(H$1,test!$A$3:$I$32,8,FALSE))-(VLOOKUP($A45,test!$A$3:$I$32,9,FALSE))-test!$B$33,0)</f>
        <v>0</v>
      </c>
      <c r="I45">
        <f>IF(AND(SUM(VLOOKUP($A45,test!$A$3:$F$32,2,FALSE),VLOOKUP(I$1,test!$A$3:$F$32,2,FALSE))&lt;test!$K$16,$A45&lt;&gt;I$1,Recharged_Feasible_mat!J14=1),(VLOOKUP(I$1,test!$A$3:$I$32,8,FALSE))-(VLOOKUP($A45,test!$A$3:$I$32,9,FALSE))-test!$B$33,0)</f>
        <v>0</v>
      </c>
      <c r="J45">
        <f>IF(AND(SUM(VLOOKUP($A45,test!$A$3:$F$32,2,FALSE),VLOOKUP(J$1,test!$A$3:$F$32,2,FALSE))&lt;test!$K$16,$A45&lt;&gt;J$1,Recharged_Feasible_mat!K14=1),(VLOOKUP(J$1,test!$A$3:$I$32,8,FALSE))-(VLOOKUP($A45,test!$A$3:$I$32,9,FALSE))-test!$B$33,0)</f>
        <v>0</v>
      </c>
      <c r="K45">
        <f>IF(AND(SUM(VLOOKUP($A45,test!$A$3:$F$32,2,FALSE),VLOOKUP(K$1,test!$A$3:$F$32,2,FALSE))&lt;test!$K$16,$A45&lt;&gt;K$1,Recharged_Feasible_mat!L14=1),(VLOOKUP(K$1,test!$A$3:$I$32,8,FALSE))-(VLOOKUP($A45,test!$A$3:$I$32,9,FALSE))-test!$B$33,0)</f>
        <v>0</v>
      </c>
      <c r="L45">
        <f>IF(AND(SUM(VLOOKUP($A45,test!$A$3:$F$32,2,FALSE),VLOOKUP(L$1,test!$A$3:$F$32,2,FALSE))&lt;test!$K$16,$A45&lt;&gt;L$1,Recharged_Feasible_mat!M14=1),(VLOOKUP(L$1,test!$A$3:$I$32,8,FALSE))-(VLOOKUP($A45,test!$A$3:$I$32,9,FALSE))-test!$B$33,0)</f>
        <v>0</v>
      </c>
      <c r="M45">
        <f>IF(AND(SUM(VLOOKUP($A45,test!$A$3:$F$32,2,FALSE),VLOOKUP(M$1,test!$A$3:$F$32,2,FALSE))&lt;test!$K$16,$A45&lt;&gt;M$1,Recharged_Feasible_mat!N14=1),(VLOOKUP(M$1,test!$A$3:$I$32,8,FALSE))-(VLOOKUP($A45,test!$A$3:$I$32,9,FALSE))-test!$B$33,0)</f>
        <v>0</v>
      </c>
      <c r="N45">
        <f>IF(AND(SUM(VLOOKUP($A45,test!$A$3:$F$32,2,FALSE),VLOOKUP(N$1,test!$A$3:$F$32,2,FALSE))&lt;test!$K$16,$A45&lt;&gt;N$1,Recharged_Feasible_mat!O14=1),(VLOOKUP(N$1,test!$A$3:$I$32,8,FALSE))-(VLOOKUP($A45,test!$A$3:$I$32,9,FALSE))-test!$B$33,0)</f>
        <v>0</v>
      </c>
      <c r="O45">
        <f>IF(AND(SUM(VLOOKUP($A45,test!$A$3:$F$32,2,FALSE),VLOOKUP(O$1,test!$A$3:$F$32,2,FALSE))&lt;test!$K$16,$A45&lt;&gt;O$1,Recharged_Feasible_mat!P14=1),(VLOOKUP(O$1,test!$A$3:$I$32,8,FALSE))-(VLOOKUP($A45,test!$A$3:$I$32,9,FALSE))-test!$B$33,0)</f>
        <v>0</v>
      </c>
      <c r="P45">
        <f>IF(AND(SUM(VLOOKUP($A45,test!$A$3:$F$32,2,FALSE),VLOOKUP(P$1,test!$A$3:$F$32,2,FALSE))&lt;test!$K$16,$A45&lt;&gt;P$1,Recharged_Feasible_mat!Q14=1),(VLOOKUP(P$1,test!$A$3:$I$32,8,FALSE))-(VLOOKUP($A45,test!$A$3:$I$32,9,FALSE))-test!$B$33,0)</f>
        <v>0</v>
      </c>
      <c r="Q45">
        <f>IF(AND(SUM(VLOOKUP($A45,test!$A$3:$F$32,2,FALSE),VLOOKUP(Q$1,test!$A$3:$F$32,2,FALSE))&lt;test!$K$16,$A45&lt;&gt;Q$1,Recharged_Feasible_mat!R14=1),(VLOOKUP(Q$1,test!$A$3:$I$32,8,FALSE))-(VLOOKUP($A45,test!$A$3:$I$32,9,FALSE))-test!$B$33,0)</f>
        <v>0</v>
      </c>
      <c r="R45">
        <f>IF(AND(SUM(VLOOKUP($A45,test!$A$3:$F$32,2,FALSE),VLOOKUP(R$1,test!$A$3:$F$32,2,FALSE))&lt;test!$K$16,$A45&lt;&gt;R$1,Recharged_Feasible_mat!S14=1),(VLOOKUP(R$1,test!$A$3:$I$32,8,FALSE))-(VLOOKUP($A45,test!$A$3:$I$32,9,FALSE))-test!$B$33,0)</f>
        <v>0</v>
      </c>
      <c r="S45">
        <f>IF(AND(SUM(VLOOKUP($A45,test!$A$3:$F$32,2,FALSE),VLOOKUP(S$1,test!$A$3:$F$32,2,FALSE))&lt;test!$K$16,$A45&lt;&gt;S$1,Recharged_Feasible_mat!T14=1),(VLOOKUP(S$1,test!$A$3:$I$32,8,FALSE))-(VLOOKUP($A45,test!$A$3:$I$32,9,FALSE))-test!$B$33,0)</f>
        <v>0</v>
      </c>
      <c r="T45">
        <f>IF(AND(SUM(VLOOKUP($A45,test!$A$3:$F$32,2,FALSE),VLOOKUP(T$1,test!$A$3:$F$32,2,FALSE))&lt;test!$K$16,$A45&lt;&gt;T$1,Recharged_Feasible_mat!U14=1),(VLOOKUP(T$1,test!$A$3:$I$32,8,FALSE))-(VLOOKUP($A45,test!$A$3:$I$32,9,FALSE))-test!$B$33,0)</f>
        <v>0</v>
      </c>
      <c r="U45">
        <f>IF(AND(SUM(VLOOKUP($A45,test!$A$3:$F$32,2,FALSE),VLOOKUP(U$1,test!$A$3:$F$32,2,FALSE))&lt;test!$K$16,$A45&lt;&gt;U$1,Recharged_Feasible_mat!V14=1),(VLOOKUP(U$1,test!$A$3:$I$32,8,FALSE))-(VLOOKUP($A45,test!$A$3:$I$32,9,FALSE))-test!$B$33,0)</f>
        <v>0</v>
      </c>
      <c r="V45">
        <f>IF(AND(SUM(VLOOKUP($A45,test!$A$3:$F$32,2,FALSE),VLOOKUP(V$1,test!$A$3:$F$32,2,FALSE))&lt;test!$K$16,$A45&lt;&gt;V$1,Recharged_Feasible_mat!W14=1),(VLOOKUP(V$1,test!$A$3:$I$32,8,FALSE))-(VLOOKUP($A45,test!$A$3:$I$32,9,FALSE))-test!$B$33,0)</f>
        <v>0</v>
      </c>
      <c r="W45">
        <f>IF(AND(SUM(VLOOKUP($A45,test!$A$3:$F$32,2,FALSE),VLOOKUP(W$1,test!$A$3:$F$32,2,FALSE))&lt;test!$K$16,$A45&lt;&gt;W$1,Recharged_Feasible_mat!X14=1),(VLOOKUP(W$1,test!$A$3:$I$32,8,FALSE))-(VLOOKUP($A45,test!$A$3:$I$32,9,FALSE))-test!$B$33,0)</f>
        <v>0</v>
      </c>
      <c r="X45">
        <f>IF(AND(SUM(VLOOKUP($A45,test!$A$3:$F$32,2,FALSE),VLOOKUP(X$1,test!$A$3:$F$32,2,FALSE))&lt;test!$K$16,$A45&lt;&gt;X$1,Recharged_Feasible_mat!Y14=1),(VLOOKUP(X$1,test!$A$3:$I$32,8,FALSE))-(VLOOKUP($A45,test!$A$3:$I$32,9,FALSE))-test!$B$33,0)</f>
        <v>0</v>
      </c>
      <c r="Y45">
        <f>IF(AND(SUM(VLOOKUP($A45,test!$A$3:$F$32,2,FALSE),VLOOKUP(Y$1,test!$A$3:$F$32,2,FALSE))&lt;test!$K$16,$A45&lt;&gt;Y$1,Recharged_Feasible_mat!Z14=1),(VLOOKUP(Y$1,test!$A$3:$I$32,8,FALSE))-(VLOOKUP($A45,test!$A$3:$I$32,9,FALSE))-test!$B$33,0)</f>
        <v>0</v>
      </c>
      <c r="Z45">
        <f>IF(AND(SUM(VLOOKUP($A45,test!$A$3:$F$32,2,FALSE),VLOOKUP(Z$1,test!$A$3:$F$32,2,FALSE))&lt;test!$K$16,$A45&lt;&gt;Z$1,Recharged_Feasible_mat!AA14=1),(VLOOKUP(Z$1,test!$A$3:$I$32,8,FALSE))-(VLOOKUP($A45,test!$A$3:$I$32,9,FALSE))-test!$B$33,0)</f>
        <v>0</v>
      </c>
      <c r="AA45">
        <f>IF(AND(SUM(VLOOKUP($A45,test!$A$3:$F$32,2,FALSE),VLOOKUP(AA$1,test!$A$3:$F$32,2,FALSE))&lt;test!$K$16,$A45&lt;&gt;AA$1,Recharged_Feasible_mat!AB14=1),(VLOOKUP(AA$1,test!$A$3:$I$32,8,FALSE))-(VLOOKUP($A45,test!$A$3:$I$32,9,FALSE))-test!$B$33,0)</f>
        <v>0</v>
      </c>
      <c r="AB45">
        <f>IF(AND(SUM(VLOOKUP($A45,test!$A$3:$F$32,2,FALSE),VLOOKUP(AB$1,test!$A$3:$F$32,2,FALSE))&lt;test!$K$16,$A45&lt;&gt;AB$1,Recharged_Feasible_mat!AC14=1),(VLOOKUP(AB$1,test!$A$3:$I$32,8,FALSE))-(VLOOKUP($A45,test!$A$3:$I$32,9,FALSE))-test!$B$33,0)</f>
        <v>0</v>
      </c>
      <c r="AC45">
        <f>IF(AND(SUM(VLOOKUP($A45,test!$A$3:$F$32,2,FALSE),VLOOKUP(AC$1,test!$A$3:$F$32,2,FALSE))&lt;test!$K$16,$A45&lt;&gt;AC$1,Recharged_Feasible_mat!AD14=1),(VLOOKUP(AC$1,test!$A$3:$I$32,8,FALSE))-(VLOOKUP($A45,test!$A$3:$I$32,9,FALSE))-test!$B$33,0)</f>
        <v>0</v>
      </c>
      <c r="AD45">
        <f>IF(AND(SUM(VLOOKUP($A45,test!$A$3:$F$32,2,FALSE),VLOOKUP(AD$1,test!$A$3:$F$32,2,FALSE))&lt;test!$K$16,$A45&lt;&gt;AD$1,Recharged_Feasible_mat!AE14=1),(VLOOKUP(AD$1,test!$A$3:$I$32,8,FALSE))-(VLOOKUP($A45,test!$A$3:$I$32,9,FALSE))-test!$B$33,0)</f>
        <v>0</v>
      </c>
      <c r="AE45">
        <f>IF(AND(SUM(VLOOKUP($A45,test!$A$3:$F$32,2,FALSE),VLOOKUP(AE$1,test!$A$3:$F$32,2,FALSE))&lt;test!$K$16,$A45&lt;&gt;AE$1,Recharged_Feasible_mat!AF14=1),(VLOOKUP(AE$1,test!$A$3:$I$32,8,FALSE))-(VLOOKUP($A45,test!$A$3:$I$32,9,FALSE))-test!$B$33,0)</f>
        <v>0</v>
      </c>
      <c r="AF45">
        <f>IF(AND(SUM(VLOOKUP($A45,test!$A$3:$F$32,2,FALSE),VLOOKUP(AF$1,test!$A$3:$F$32,2,FALSE))&lt;test!$K$16,$A45&lt;&gt;AF$1,Recharged_Feasible_mat!AG14=1),(VLOOKUP(AF$1,test!$A$3:$I$32,8,FALSE))-(VLOOKUP($A45,test!$A$3:$I$32,9,FALSE))-test!$B$33,0)</f>
        <v>0</v>
      </c>
    </row>
    <row r="46" spans="1:32" x14ac:dyDescent="0.25">
      <c r="A46" t="s">
        <v>23</v>
      </c>
      <c r="B46">
        <v>0</v>
      </c>
      <c r="C46">
        <f>IF(AND(SUM(VLOOKUP($A46,test!$A$3:$F$32,2,FALSE),VLOOKUP(C$1,test!$A$3:$F$32,2,FALSE))&lt;test!$K$16,$A46&lt;&gt;C$1,Recharged_Feasible_mat!D15=1),(VLOOKUP(C$1,test!$A$3:$I$32,8,FALSE))-(VLOOKUP($A46,test!$A$3:$I$32,9,FALSE))-test!$B$33,0)</f>
        <v>0</v>
      </c>
      <c r="D46">
        <f>IF(AND(SUM(VLOOKUP($A46,test!$A$3:$F$32,2,FALSE),VLOOKUP(D$1,test!$A$3:$F$32,2,FALSE))&lt;test!$K$16,$A46&lt;&gt;D$1,Recharged_Feasible_mat!E15=1),(VLOOKUP(D$1,test!$A$3:$I$32,8,FALSE))-(VLOOKUP($A46,test!$A$3:$I$32,9,FALSE))-test!$B$33,0)</f>
        <v>0</v>
      </c>
      <c r="E46">
        <f>IF(AND(SUM(VLOOKUP($A46,test!$A$3:$F$32,2,FALSE),VLOOKUP(E$1,test!$A$3:$F$32,2,FALSE))&lt;test!$K$16,$A46&lt;&gt;E$1,Recharged_Feasible_mat!F15=1),(VLOOKUP(E$1,test!$A$3:$I$32,8,FALSE))-(VLOOKUP($A46,test!$A$3:$I$32,9,FALSE))-test!$B$33,0)</f>
        <v>0</v>
      </c>
      <c r="F46">
        <f>IF(AND(SUM(VLOOKUP($A46,test!$A$3:$F$32,2,FALSE),VLOOKUP(F$1,test!$A$3:$F$32,2,FALSE))&lt;test!$K$16,$A46&lt;&gt;F$1,Recharged_Feasible_mat!G15=1),(VLOOKUP(F$1,test!$A$3:$I$32,8,FALSE))-(VLOOKUP($A46,test!$A$3:$I$32,9,FALSE))-test!$B$33,0)</f>
        <v>0</v>
      </c>
      <c r="G46">
        <f>IF(AND(SUM(VLOOKUP($A46,test!$A$3:$F$32,2,FALSE),VLOOKUP(G$1,test!$A$3:$F$32,2,FALSE))&lt;test!$K$16,$A46&lt;&gt;G$1,Recharged_Feasible_mat!H15=1),(VLOOKUP(G$1,test!$A$3:$I$32,8,FALSE))-(VLOOKUP($A46,test!$A$3:$I$32,9,FALSE))-test!$B$33,0)</f>
        <v>0</v>
      </c>
      <c r="H46">
        <f>IF(AND(SUM(VLOOKUP($A46,test!$A$3:$F$32,2,FALSE),VLOOKUP(H$1,test!$A$3:$F$32,2,FALSE))&lt;test!$K$16,$A46&lt;&gt;H$1,Recharged_Feasible_mat!I15=1),(VLOOKUP(H$1,test!$A$3:$I$32,8,FALSE))-(VLOOKUP($A46,test!$A$3:$I$32,9,FALSE))-test!$B$33,0)</f>
        <v>0</v>
      </c>
      <c r="I46">
        <f>IF(AND(SUM(VLOOKUP($A46,test!$A$3:$F$32,2,FALSE),VLOOKUP(I$1,test!$A$3:$F$32,2,FALSE))&lt;test!$K$16,$A46&lt;&gt;I$1,Recharged_Feasible_mat!J15=1),(VLOOKUP(I$1,test!$A$3:$I$32,8,FALSE))-(VLOOKUP($A46,test!$A$3:$I$32,9,FALSE))-test!$B$33,0)</f>
        <v>0</v>
      </c>
      <c r="J46">
        <f>IF(AND(SUM(VLOOKUP($A46,test!$A$3:$F$32,2,FALSE),VLOOKUP(J$1,test!$A$3:$F$32,2,FALSE))&lt;test!$K$16,$A46&lt;&gt;J$1,Recharged_Feasible_mat!K15=1),(VLOOKUP(J$1,test!$A$3:$I$32,8,FALSE))-(VLOOKUP($A46,test!$A$3:$I$32,9,FALSE))-test!$B$33,0)</f>
        <v>0</v>
      </c>
      <c r="K46">
        <f>IF(AND(SUM(VLOOKUP($A46,test!$A$3:$F$32,2,FALSE),VLOOKUP(K$1,test!$A$3:$F$32,2,FALSE))&lt;test!$K$16,$A46&lt;&gt;K$1,Recharged_Feasible_mat!L15=1),(VLOOKUP(K$1,test!$A$3:$I$32,8,FALSE))-(VLOOKUP($A46,test!$A$3:$I$32,9,FALSE))-test!$B$33,0)</f>
        <v>0</v>
      </c>
      <c r="L46">
        <f>IF(AND(SUM(VLOOKUP($A46,test!$A$3:$F$32,2,FALSE),VLOOKUP(L$1,test!$A$3:$F$32,2,FALSE))&lt;test!$K$16,$A46&lt;&gt;L$1,Recharged_Feasible_mat!M15=1),(VLOOKUP(L$1,test!$A$3:$I$32,8,FALSE))-(VLOOKUP($A46,test!$A$3:$I$32,9,FALSE))-test!$B$33,0)</f>
        <v>0</v>
      </c>
      <c r="M46">
        <f>IF(AND(SUM(VLOOKUP($A46,test!$A$3:$F$32,2,FALSE),VLOOKUP(M$1,test!$A$3:$F$32,2,FALSE))&lt;test!$K$16,$A46&lt;&gt;M$1,Recharged_Feasible_mat!N15=1),(VLOOKUP(M$1,test!$A$3:$I$32,8,FALSE))-(VLOOKUP($A46,test!$A$3:$I$32,9,FALSE))-test!$B$33,0)</f>
        <v>0</v>
      </c>
      <c r="N46">
        <f>IF(AND(SUM(VLOOKUP($A46,test!$A$3:$F$32,2,FALSE),VLOOKUP(N$1,test!$A$3:$F$32,2,FALSE))&lt;test!$K$16,$A46&lt;&gt;N$1,Recharged_Feasible_mat!O15=1),(VLOOKUP(N$1,test!$A$3:$I$32,8,FALSE))-(VLOOKUP($A46,test!$A$3:$I$32,9,FALSE))-test!$B$33,0)</f>
        <v>0</v>
      </c>
      <c r="O46">
        <f>IF(AND(SUM(VLOOKUP($A46,test!$A$3:$F$32,2,FALSE),VLOOKUP(O$1,test!$A$3:$F$32,2,FALSE))&lt;test!$K$16,$A46&lt;&gt;O$1,Recharged_Feasible_mat!P15=1),(VLOOKUP(O$1,test!$A$3:$I$32,8,FALSE))-(VLOOKUP($A46,test!$A$3:$I$32,9,FALSE))-test!$B$33,0)</f>
        <v>0</v>
      </c>
      <c r="P46">
        <f>IF(AND(SUM(VLOOKUP($A46,test!$A$3:$F$32,2,FALSE),VLOOKUP(P$1,test!$A$3:$F$32,2,FALSE))&lt;test!$K$16,$A46&lt;&gt;P$1,Recharged_Feasible_mat!Q15=1),(VLOOKUP(P$1,test!$A$3:$I$32,8,FALSE))-(VLOOKUP($A46,test!$A$3:$I$32,9,FALSE))-test!$B$33,0)</f>
        <v>0</v>
      </c>
      <c r="Q46">
        <f>IF(AND(SUM(VLOOKUP($A46,test!$A$3:$F$32,2,FALSE),VLOOKUP(Q$1,test!$A$3:$F$32,2,FALSE))&lt;test!$K$16,$A46&lt;&gt;Q$1,Recharged_Feasible_mat!R15=1),(VLOOKUP(Q$1,test!$A$3:$I$32,8,FALSE))-(VLOOKUP($A46,test!$A$3:$I$32,9,FALSE))-test!$B$33,0)</f>
        <v>0</v>
      </c>
      <c r="R46">
        <f>IF(AND(SUM(VLOOKUP($A46,test!$A$3:$F$32,2,FALSE),VLOOKUP(R$1,test!$A$3:$F$32,2,FALSE))&lt;test!$K$16,$A46&lt;&gt;R$1,Recharged_Feasible_mat!S15=1),(VLOOKUP(R$1,test!$A$3:$I$32,8,FALSE))-(VLOOKUP($A46,test!$A$3:$I$32,9,FALSE))-test!$B$33,0)</f>
        <v>0</v>
      </c>
      <c r="S46">
        <f>IF(AND(SUM(VLOOKUP($A46,test!$A$3:$F$32,2,FALSE),VLOOKUP(S$1,test!$A$3:$F$32,2,FALSE))&lt;test!$K$16,$A46&lt;&gt;S$1,Recharged_Feasible_mat!T15=1),(VLOOKUP(S$1,test!$A$3:$I$32,8,FALSE))-(VLOOKUP($A46,test!$A$3:$I$32,9,FALSE))-test!$B$33,0)</f>
        <v>0</v>
      </c>
      <c r="T46">
        <f>IF(AND(SUM(VLOOKUP($A46,test!$A$3:$F$32,2,FALSE),VLOOKUP(T$1,test!$A$3:$F$32,2,FALSE))&lt;test!$K$16,$A46&lt;&gt;T$1,Recharged_Feasible_mat!U15=1),(VLOOKUP(T$1,test!$A$3:$I$32,8,FALSE))-(VLOOKUP($A46,test!$A$3:$I$32,9,FALSE))-test!$B$33,0)</f>
        <v>0</v>
      </c>
      <c r="U46">
        <f>IF(AND(SUM(VLOOKUP($A46,test!$A$3:$F$32,2,FALSE),VLOOKUP(U$1,test!$A$3:$F$32,2,FALSE))&lt;test!$K$16,$A46&lt;&gt;U$1,Recharged_Feasible_mat!V15=1),(VLOOKUP(U$1,test!$A$3:$I$32,8,FALSE))-(VLOOKUP($A46,test!$A$3:$I$32,9,FALSE))-test!$B$33,0)</f>
        <v>0</v>
      </c>
      <c r="V46">
        <f>IF(AND(SUM(VLOOKUP($A46,test!$A$3:$F$32,2,FALSE),VLOOKUP(V$1,test!$A$3:$F$32,2,FALSE))&lt;test!$K$16,$A46&lt;&gt;V$1,Recharged_Feasible_mat!W15=1),(VLOOKUP(V$1,test!$A$3:$I$32,8,FALSE))-(VLOOKUP($A46,test!$A$3:$I$32,9,FALSE))-test!$B$33,0)</f>
        <v>0</v>
      </c>
      <c r="W46">
        <f>IF(AND(SUM(VLOOKUP($A46,test!$A$3:$F$32,2,FALSE),VLOOKUP(W$1,test!$A$3:$F$32,2,FALSE))&lt;test!$K$16,$A46&lt;&gt;W$1,Recharged_Feasible_mat!X15=1),(VLOOKUP(W$1,test!$A$3:$I$32,8,FALSE))-(VLOOKUP($A46,test!$A$3:$I$32,9,FALSE))-test!$B$33,0)</f>
        <v>0</v>
      </c>
      <c r="X46">
        <f>IF(AND(SUM(VLOOKUP($A46,test!$A$3:$F$32,2,FALSE),VLOOKUP(X$1,test!$A$3:$F$32,2,FALSE))&lt;test!$K$16,$A46&lt;&gt;X$1,Recharged_Feasible_mat!Y15=1),(VLOOKUP(X$1,test!$A$3:$I$32,8,FALSE))-(VLOOKUP($A46,test!$A$3:$I$32,9,FALSE))-test!$B$33,0)</f>
        <v>0</v>
      </c>
      <c r="Y46">
        <f>IF(AND(SUM(VLOOKUP($A46,test!$A$3:$F$32,2,FALSE),VLOOKUP(Y$1,test!$A$3:$F$32,2,FALSE))&lt;test!$K$16,$A46&lt;&gt;Y$1,Recharged_Feasible_mat!Z15=1),(VLOOKUP(Y$1,test!$A$3:$I$32,8,FALSE))-(VLOOKUP($A46,test!$A$3:$I$32,9,FALSE))-test!$B$33,0)</f>
        <v>0</v>
      </c>
      <c r="Z46">
        <f>IF(AND(SUM(VLOOKUP($A46,test!$A$3:$F$32,2,FALSE),VLOOKUP(Z$1,test!$A$3:$F$32,2,FALSE))&lt;test!$K$16,$A46&lt;&gt;Z$1,Recharged_Feasible_mat!AA15=1),(VLOOKUP(Z$1,test!$A$3:$I$32,8,FALSE))-(VLOOKUP($A46,test!$A$3:$I$32,9,FALSE))-test!$B$33,0)</f>
        <v>0</v>
      </c>
      <c r="AA46">
        <f>IF(AND(SUM(VLOOKUP($A46,test!$A$3:$F$32,2,FALSE),VLOOKUP(AA$1,test!$A$3:$F$32,2,FALSE))&lt;test!$K$16,$A46&lt;&gt;AA$1,Recharged_Feasible_mat!AB15=1),(VLOOKUP(AA$1,test!$A$3:$I$32,8,FALSE))-(VLOOKUP($A46,test!$A$3:$I$32,9,FALSE))-test!$B$33,0)</f>
        <v>0</v>
      </c>
      <c r="AB46">
        <f>IF(AND(SUM(VLOOKUP($A46,test!$A$3:$F$32,2,FALSE),VLOOKUP(AB$1,test!$A$3:$F$32,2,FALSE))&lt;test!$K$16,$A46&lt;&gt;AB$1,Recharged_Feasible_mat!AC15=1),(VLOOKUP(AB$1,test!$A$3:$I$32,8,FALSE))-(VLOOKUP($A46,test!$A$3:$I$32,9,FALSE))-test!$B$33,0)</f>
        <v>0</v>
      </c>
      <c r="AC46">
        <f>IF(AND(SUM(VLOOKUP($A46,test!$A$3:$F$32,2,FALSE),VLOOKUP(AC$1,test!$A$3:$F$32,2,FALSE))&lt;test!$K$16,$A46&lt;&gt;AC$1,Recharged_Feasible_mat!AD15=1),(VLOOKUP(AC$1,test!$A$3:$I$32,8,FALSE))-(VLOOKUP($A46,test!$A$3:$I$32,9,FALSE))-test!$B$33,0)</f>
        <v>0</v>
      </c>
      <c r="AD46">
        <f>IF(AND(SUM(VLOOKUP($A46,test!$A$3:$F$32,2,FALSE),VLOOKUP(AD$1,test!$A$3:$F$32,2,FALSE))&lt;test!$K$16,$A46&lt;&gt;AD$1,Recharged_Feasible_mat!AE15=1),(VLOOKUP(AD$1,test!$A$3:$I$32,8,FALSE))-(VLOOKUP($A46,test!$A$3:$I$32,9,FALSE))-test!$B$33,0)</f>
        <v>0</v>
      </c>
      <c r="AE46">
        <f>IF(AND(SUM(VLOOKUP($A46,test!$A$3:$F$32,2,FALSE),VLOOKUP(AE$1,test!$A$3:$F$32,2,FALSE))&lt;test!$K$16,$A46&lt;&gt;AE$1,Recharged_Feasible_mat!AF15=1),(VLOOKUP(AE$1,test!$A$3:$I$32,8,FALSE))-(VLOOKUP($A46,test!$A$3:$I$32,9,FALSE))-test!$B$33,0)</f>
        <v>0</v>
      </c>
      <c r="AF46">
        <f>IF(AND(SUM(VLOOKUP($A46,test!$A$3:$F$32,2,FALSE),VLOOKUP(AF$1,test!$A$3:$F$32,2,FALSE))&lt;test!$K$16,$A46&lt;&gt;AF$1,Recharged_Feasible_mat!AG15=1),(VLOOKUP(AF$1,test!$A$3:$I$32,8,FALSE))-(VLOOKUP($A46,test!$A$3:$I$32,9,FALSE))-test!$B$33,0)</f>
        <v>0</v>
      </c>
    </row>
    <row r="47" spans="1:32" x14ac:dyDescent="0.25">
      <c r="A47" t="s">
        <v>24</v>
      </c>
      <c r="B47">
        <v>0</v>
      </c>
      <c r="C47">
        <f>IF(AND(SUM(VLOOKUP($A47,test!$A$3:$F$32,2,FALSE),VLOOKUP(C$1,test!$A$3:$F$32,2,FALSE))&lt;test!$K$16,$A47&lt;&gt;C$1,Recharged_Feasible_mat!D16=1),(VLOOKUP(C$1,test!$A$3:$I$32,8,FALSE))-(VLOOKUP($A47,test!$A$3:$I$32,9,FALSE))-test!$B$33,0)</f>
        <v>0</v>
      </c>
      <c r="D47">
        <f>IF(AND(SUM(VLOOKUP($A47,test!$A$3:$F$32,2,FALSE),VLOOKUP(D$1,test!$A$3:$F$32,2,FALSE))&lt;test!$K$16,$A47&lt;&gt;D$1,Recharged_Feasible_mat!E16=1),(VLOOKUP(D$1,test!$A$3:$I$32,8,FALSE))-(VLOOKUP($A47,test!$A$3:$I$32,9,FALSE))-test!$B$33,0)</f>
        <v>0</v>
      </c>
      <c r="E47">
        <f>IF(AND(SUM(VLOOKUP($A47,test!$A$3:$F$32,2,FALSE),VLOOKUP(E$1,test!$A$3:$F$32,2,FALSE))&lt;test!$K$16,$A47&lt;&gt;E$1,Recharged_Feasible_mat!F16=1),(VLOOKUP(E$1,test!$A$3:$I$32,8,FALSE))-(VLOOKUP($A47,test!$A$3:$I$32,9,FALSE))-test!$B$33,0)</f>
        <v>0</v>
      </c>
      <c r="F47">
        <f>IF(AND(SUM(VLOOKUP($A47,test!$A$3:$F$32,2,FALSE),VLOOKUP(F$1,test!$A$3:$F$32,2,FALSE))&lt;test!$K$16,$A47&lt;&gt;F$1,Recharged_Feasible_mat!G16=1),(VLOOKUP(F$1,test!$A$3:$I$32,8,FALSE))-(VLOOKUP($A47,test!$A$3:$I$32,9,FALSE))-test!$B$33,0)</f>
        <v>90</v>
      </c>
      <c r="G47">
        <f>IF(AND(SUM(VLOOKUP($A47,test!$A$3:$F$32,2,FALSE),VLOOKUP(G$1,test!$A$3:$F$32,2,FALSE))&lt;test!$K$16,$A47&lt;&gt;G$1,Recharged_Feasible_mat!H16=1),(VLOOKUP(G$1,test!$A$3:$I$32,8,FALSE))-(VLOOKUP($A47,test!$A$3:$I$32,9,FALSE))-test!$B$33,0)</f>
        <v>150</v>
      </c>
      <c r="H47">
        <f>IF(AND(SUM(VLOOKUP($A47,test!$A$3:$F$32,2,FALSE),VLOOKUP(H$1,test!$A$3:$F$32,2,FALSE))&lt;test!$K$16,$A47&lt;&gt;H$1,Recharged_Feasible_mat!I16=1),(VLOOKUP(H$1,test!$A$3:$I$32,8,FALSE))-(VLOOKUP($A47,test!$A$3:$I$32,9,FALSE))-test!$B$33,0)</f>
        <v>210</v>
      </c>
      <c r="I47">
        <f>IF(AND(SUM(VLOOKUP($A47,test!$A$3:$F$32,2,FALSE),VLOOKUP(I$1,test!$A$3:$F$32,2,FALSE))&lt;test!$K$16,$A47&lt;&gt;I$1,Recharged_Feasible_mat!J16=1),(VLOOKUP(I$1,test!$A$3:$I$32,8,FALSE))-(VLOOKUP($A47,test!$A$3:$I$32,9,FALSE))-test!$B$33,0)</f>
        <v>270</v>
      </c>
      <c r="J47">
        <f>IF(AND(SUM(VLOOKUP($A47,test!$A$3:$F$32,2,FALSE),VLOOKUP(J$1,test!$A$3:$F$32,2,FALSE))&lt;test!$K$16,$A47&lt;&gt;J$1,Recharged_Feasible_mat!K16=1),(VLOOKUP(J$1,test!$A$3:$I$32,8,FALSE))-(VLOOKUP($A47,test!$A$3:$I$32,9,FALSE))-test!$B$33,0)</f>
        <v>360</v>
      </c>
      <c r="K47">
        <f>IF(AND(SUM(VLOOKUP($A47,test!$A$3:$F$32,2,FALSE),VLOOKUP(K$1,test!$A$3:$F$32,2,FALSE))&lt;test!$K$16,$A47&lt;&gt;K$1,Recharged_Feasible_mat!L16=1),(VLOOKUP(K$1,test!$A$3:$I$32,8,FALSE))-(VLOOKUP($A47,test!$A$3:$I$32,9,FALSE))-test!$B$33,0)</f>
        <v>0</v>
      </c>
      <c r="L47">
        <f>IF(AND(SUM(VLOOKUP($A47,test!$A$3:$F$32,2,FALSE),VLOOKUP(L$1,test!$A$3:$F$32,2,FALSE))&lt;test!$K$16,$A47&lt;&gt;L$1,Recharged_Feasible_mat!M16=1),(VLOOKUP(L$1,test!$A$3:$I$32,8,FALSE))-(VLOOKUP($A47,test!$A$3:$I$32,9,FALSE))-test!$B$33,0)</f>
        <v>0</v>
      </c>
      <c r="M47">
        <f>IF(AND(SUM(VLOOKUP($A47,test!$A$3:$F$32,2,FALSE),VLOOKUP(M$1,test!$A$3:$F$32,2,FALSE))&lt;test!$K$16,$A47&lt;&gt;M$1,Recharged_Feasible_mat!N16=1),(VLOOKUP(M$1,test!$A$3:$I$32,8,FALSE))-(VLOOKUP($A47,test!$A$3:$I$32,9,FALSE))-test!$B$33,0)</f>
        <v>0</v>
      </c>
      <c r="N47">
        <f>IF(AND(SUM(VLOOKUP($A47,test!$A$3:$F$32,2,FALSE),VLOOKUP(N$1,test!$A$3:$F$32,2,FALSE))&lt;test!$K$16,$A47&lt;&gt;N$1,Recharged_Feasible_mat!O16=1),(VLOOKUP(N$1,test!$A$3:$I$32,8,FALSE))-(VLOOKUP($A47,test!$A$3:$I$32,9,FALSE))-test!$B$33,0)</f>
        <v>0</v>
      </c>
      <c r="O47">
        <f>IF(AND(SUM(VLOOKUP($A47,test!$A$3:$F$32,2,FALSE),VLOOKUP(O$1,test!$A$3:$F$32,2,FALSE))&lt;test!$K$16,$A47&lt;&gt;O$1,Recharged_Feasible_mat!P16=1),(VLOOKUP(O$1,test!$A$3:$I$32,8,FALSE))-(VLOOKUP($A47,test!$A$3:$I$32,9,FALSE))-test!$B$33,0)</f>
        <v>0</v>
      </c>
      <c r="P47">
        <f>IF(AND(SUM(VLOOKUP($A47,test!$A$3:$F$32,2,FALSE),VLOOKUP(P$1,test!$A$3:$F$32,2,FALSE))&lt;test!$K$16,$A47&lt;&gt;P$1,Recharged_Feasible_mat!Q16=1),(VLOOKUP(P$1,test!$A$3:$I$32,8,FALSE))-(VLOOKUP($A47,test!$A$3:$I$32,9,FALSE))-test!$B$33,0)</f>
        <v>0</v>
      </c>
      <c r="Q47">
        <f>IF(AND(SUM(VLOOKUP($A47,test!$A$3:$F$32,2,FALSE),VLOOKUP(Q$1,test!$A$3:$F$32,2,FALSE))&lt;test!$K$16,$A47&lt;&gt;Q$1,Recharged_Feasible_mat!R16=1),(VLOOKUP(Q$1,test!$A$3:$I$32,8,FALSE))-(VLOOKUP($A47,test!$A$3:$I$32,9,FALSE))-test!$B$33,0)</f>
        <v>0</v>
      </c>
      <c r="R47">
        <f>IF(AND(SUM(VLOOKUP($A47,test!$A$3:$F$32,2,FALSE),VLOOKUP(R$1,test!$A$3:$F$32,2,FALSE))&lt;test!$K$16,$A47&lt;&gt;R$1,Recharged_Feasible_mat!S16=1),(VLOOKUP(R$1,test!$A$3:$I$32,8,FALSE))-(VLOOKUP($A47,test!$A$3:$I$32,9,FALSE))-test!$B$33,0)</f>
        <v>0</v>
      </c>
      <c r="S47">
        <f>IF(AND(SUM(VLOOKUP($A47,test!$A$3:$F$32,2,FALSE),VLOOKUP(S$1,test!$A$3:$F$32,2,FALSE))&lt;test!$K$16,$A47&lt;&gt;S$1,Recharged_Feasible_mat!T16=1),(VLOOKUP(S$1,test!$A$3:$I$32,8,FALSE))-(VLOOKUP($A47,test!$A$3:$I$32,9,FALSE))-test!$B$33,0)</f>
        <v>0</v>
      </c>
      <c r="T47">
        <f>IF(AND(SUM(VLOOKUP($A47,test!$A$3:$F$32,2,FALSE),VLOOKUP(T$1,test!$A$3:$F$32,2,FALSE))&lt;test!$K$16,$A47&lt;&gt;T$1,Recharged_Feasible_mat!U16=1),(VLOOKUP(T$1,test!$A$3:$I$32,8,FALSE))-(VLOOKUP($A47,test!$A$3:$I$32,9,FALSE))-test!$B$33,0)</f>
        <v>0</v>
      </c>
      <c r="U47">
        <f>IF(AND(SUM(VLOOKUP($A47,test!$A$3:$F$32,2,FALSE),VLOOKUP(U$1,test!$A$3:$F$32,2,FALSE))&lt;test!$K$16,$A47&lt;&gt;U$1,Recharged_Feasible_mat!V16=1),(VLOOKUP(U$1,test!$A$3:$I$32,8,FALSE))-(VLOOKUP($A47,test!$A$3:$I$32,9,FALSE))-test!$B$33,0)</f>
        <v>70</v>
      </c>
      <c r="V47">
        <f>IF(AND(SUM(VLOOKUP($A47,test!$A$3:$F$32,2,FALSE),VLOOKUP(V$1,test!$A$3:$F$32,2,FALSE))&lt;test!$K$16,$A47&lt;&gt;V$1,Recharged_Feasible_mat!W16=1),(VLOOKUP(V$1,test!$A$3:$I$32,8,FALSE))-(VLOOKUP($A47,test!$A$3:$I$32,9,FALSE))-test!$B$33,0)</f>
        <v>160</v>
      </c>
      <c r="W47">
        <f>IF(AND(SUM(VLOOKUP($A47,test!$A$3:$F$32,2,FALSE),VLOOKUP(W$1,test!$A$3:$F$32,2,FALSE))&lt;test!$K$16,$A47&lt;&gt;W$1,Recharged_Feasible_mat!X16=1),(VLOOKUP(W$1,test!$A$3:$I$32,8,FALSE))-(VLOOKUP($A47,test!$A$3:$I$32,9,FALSE))-test!$B$33,0)</f>
        <v>250</v>
      </c>
      <c r="X47">
        <f>IF(AND(SUM(VLOOKUP($A47,test!$A$3:$F$32,2,FALSE),VLOOKUP(X$1,test!$A$3:$F$32,2,FALSE))&lt;test!$K$16,$A47&lt;&gt;X$1,Recharged_Feasible_mat!Y16=1),(VLOOKUP(X$1,test!$A$3:$I$32,8,FALSE))-(VLOOKUP($A47,test!$A$3:$I$32,9,FALSE))-test!$B$33,0)</f>
        <v>310</v>
      </c>
      <c r="Y47">
        <f>IF(AND(SUM(VLOOKUP($A47,test!$A$3:$F$32,2,FALSE),VLOOKUP(Y$1,test!$A$3:$F$32,2,FALSE))&lt;test!$K$16,$A47&lt;&gt;Y$1,Recharged_Feasible_mat!Z16=1),(VLOOKUP(Y$1,test!$A$3:$I$32,8,FALSE))-(VLOOKUP($A47,test!$A$3:$I$32,9,FALSE))-test!$B$33,0)</f>
        <v>0</v>
      </c>
      <c r="Z47">
        <f>IF(AND(SUM(VLOOKUP($A47,test!$A$3:$F$32,2,FALSE),VLOOKUP(Z$1,test!$A$3:$F$32,2,FALSE))&lt;test!$K$16,$A47&lt;&gt;Z$1,Recharged_Feasible_mat!AA16=1),(VLOOKUP(Z$1,test!$A$3:$I$32,8,FALSE))-(VLOOKUP($A47,test!$A$3:$I$32,9,FALSE))-test!$B$33,0)</f>
        <v>0</v>
      </c>
      <c r="AA47">
        <f>IF(AND(SUM(VLOOKUP($A47,test!$A$3:$F$32,2,FALSE),VLOOKUP(AA$1,test!$A$3:$F$32,2,FALSE))&lt;test!$K$16,$A47&lt;&gt;AA$1,Recharged_Feasible_mat!AB16=1),(VLOOKUP(AA$1,test!$A$3:$I$32,8,FALSE))-(VLOOKUP($A47,test!$A$3:$I$32,9,FALSE))-test!$B$33,0)</f>
        <v>0</v>
      </c>
      <c r="AB47">
        <f>IF(AND(SUM(VLOOKUP($A47,test!$A$3:$F$32,2,FALSE),VLOOKUP(AB$1,test!$A$3:$F$32,2,FALSE))&lt;test!$K$16,$A47&lt;&gt;AB$1,Recharged_Feasible_mat!AC16=1),(VLOOKUP(AB$1,test!$A$3:$I$32,8,FALSE))-(VLOOKUP($A47,test!$A$3:$I$32,9,FALSE))-test!$B$33,0)</f>
        <v>0</v>
      </c>
      <c r="AC47">
        <f>IF(AND(SUM(VLOOKUP($A47,test!$A$3:$F$32,2,FALSE),VLOOKUP(AC$1,test!$A$3:$F$32,2,FALSE))&lt;test!$K$16,$A47&lt;&gt;AC$1,Recharged_Feasible_mat!AD16=1),(VLOOKUP(AC$1,test!$A$3:$I$32,8,FALSE))-(VLOOKUP($A47,test!$A$3:$I$32,9,FALSE))-test!$B$33,0)</f>
        <v>0</v>
      </c>
      <c r="AD47">
        <f>IF(AND(SUM(VLOOKUP($A47,test!$A$3:$F$32,2,FALSE),VLOOKUP(AD$1,test!$A$3:$F$32,2,FALSE))&lt;test!$K$16,$A47&lt;&gt;AD$1,Recharged_Feasible_mat!AE16=1),(VLOOKUP(AD$1,test!$A$3:$I$32,8,FALSE))-(VLOOKUP($A47,test!$A$3:$I$32,9,FALSE))-test!$B$33,0)</f>
        <v>0</v>
      </c>
      <c r="AE47">
        <f>IF(AND(SUM(VLOOKUP($A47,test!$A$3:$F$32,2,FALSE),VLOOKUP(AE$1,test!$A$3:$F$32,2,FALSE))&lt;test!$K$16,$A47&lt;&gt;AE$1,Recharged_Feasible_mat!AF16=1),(VLOOKUP(AE$1,test!$A$3:$I$32,8,FALSE))-(VLOOKUP($A47,test!$A$3:$I$32,9,FALSE))-test!$B$33,0)</f>
        <v>0</v>
      </c>
      <c r="AF47">
        <f>IF(AND(SUM(VLOOKUP($A47,test!$A$3:$F$32,2,FALSE),VLOOKUP(AF$1,test!$A$3:$F$32,2,FALSE))&lt;test!$K$16,$A47&lt;&gt;AF$1,Recharged_Feasible_mat!AG16=1),(VLOOKUP(AF$1,test!$A$3:$I$32,8,FALSE))-(VLOOKUP($A47,test!$A$3:$I$32,9,FALSE))-test!$B$33,0)</f>
        <v>0</v>
      </c>
    </row>
    <row r="48" spans="1:32" x14ac:dyDescent="0.25">
      <c r="A48" t="s">
        <v>26</v>
      </c>
      <c r="B48">
        <v>0</v>
      </c>
      <c r="C48">
        <f>IF(AND(SUM(VLOOKUP($A48,test!$A$3:$F$32,2,FALSE),VLOOKUP(C$1,test!$A$3:$F$32,2,FALSE))&lt;test!$K$16,$A48&lt;&gt;C$1,Recharged_Feasible_mat!D17=1),(VLOOKUP(C$1,test!$A$3:$I$32,8,FALSE))-(VLOOKUP($A48,test!$A$3:$I$32,9,FALSE))-test!$B$33,0)</f>
        <v>0</v>
      </c>
      <c r="D48">
        <f>IF(AND(SUM(VLOOKUP($A48,test!$A$3:$F$32,2,FALSE),VLOOKUP(D$1,test!$A$3:$F$32,2,FALSE))&lt;test!$K$16,$A48&lt;&gt;D$1,Recharged_Feasible_mat!E17=1),(VLOOKUP(D$1,test!$A$3:$I$32,8,FALSE))-(VLOOKUP($A48,test!$A$3:$I$32,9,FALSE))-test!$B$33,0)</f>
        <v>5</v>
      </c>
      <c r="E48">
        <f>IF(AND(SUM(VLOOKUP($A48,test!$A$3:$F$32,2,FALSE),VLOOKUP(E$1,test!$A$3:$F$32,2,FALSE))&lt;test!$K$16,$A48&lt;&gt;E$1,Recharged_Feasible_mat!F17=1),(VLOOKUP(E$1,test!$A$3:$I$32,8,FALSE))-(VLOOKUP($A48,test!$A$3:$I$32,9,FALSE))-test!$B$33,0)</f>
        <v>95</v>
      </c>
      <c r="F48">
        <f>IF(AND(SUM(VLOOKUP($A48,test!$A$3:$F$32,2,FALSE),VLOOKUP(F$1,test!$A$3:$F$32,2,FALSE))&lt;test!$K$16,$A48&lt;&gt;F$1,Recharged_Feasible_mat!G17=1),(VLOOKUP(F$1,test!$A$3:$I$32,8,FALSE))-(VLOOKUP($A48,test!$A$3:$I$32,9,FALSE))-test!$B$33,0)</f>
        <v>185</v>
      </c>
      <c r="G48">
        <f>IF(AND(SUM(VLOOKUP($A48,test!$A$3:$F$32,2,FALSE),VLOOKUP(G$1,test!$A$3:$F$32,2,FALSE))&lt;test!$K$16,$A48&lt;&gt;G$1,Recharged_Feasible_mat!H17=1),(VLOOKUP(G$1,test!$A$3:$I$32,8,FALSE))-(VLOOKUP($A48,test!$A$3:$I$32,9,FALSE))-test!$B$33,0)</f>
        <v>245</v>
      </c>
      <c r="H48">
        <f>IF(AND(SUM(VLOOKUP($A48,test!$A$3:$F$32,2,FALSE),VLOOKUP(H$1,test!$A$3:$F$32,2,FALSE))&lt;test!$K$16,$A48&lt;&gt;H$1,Recharged_Feasible_mat!I17=1),(VLOOKUP(H$1,test!$A$3:$I$32,8,FALSE))-(VLOOKUP($A48,test!$A$3:$I$32,9,FALSE))-test!$B$33,0)</f>
        <v>305</v>
      </c>
      <c r="I48">
        <f>IF(AND(SUM(VLOOKUP($A48,test!$A$3:$F$32,2,FALSE),VLOOKUP(I$1,test!$A$3:$F$32,2,FALSE))&lt;test!$K$16,$A48&lt;&gt;I$1,Recharged_Feasible_mat!J17=1),(VLOOKUP(I$1,test!$A$3:$I$32,8,FALSE))-(VLOOKUP($A48,test!$A$3:$I$32,9,FALSE))-test!$B$33,0)</f>
        <v>365</v>
      </c>
      <c r="J48">
        <f>IF(AND(SUM(VLOOKUP($A48,test!$A$3:$F$32,2,FALSE),VLOOKUP(J$1,test!$A$3:$F$32,2,FALSE))&lt;test!$K$16,$A48&lt;&gt;J$1,Recharged_Feasible_mat!K17=1),(VLOOKUP(J$1,test!$A$3:$I$32,8,FALSE))-(VLOOKUP($A48,test!$A$3:$I$32,9,FALSE))-test!$B$33,0)</f>
        <v>455</v>
      </c>
      <c r="K48">
        <f>IF(AND(SUM(VLOOKUP($A48,test!$A$3:$F$32,2,FALSE),VLOOKUP(K$1,test!$A$3:$F$32,2,FALSE))&lt;test!$K$16,$A48&lt;&gt;K$1,Recharged_Feasible_mat!L17=1),(VLOOKUP(K$1,test!$A$3:$I$32,8,FALSE))-(VLOOKUP($A48,test!$A$3:$I$32,9,FALSE))-test!$B$33,0)</f>
        <v>0</v>
      </c>
      <c r="L48">
        <f>IF(AND(SUM(VLOOKUP($A48,test!$A$3:$F$32,2,FALSE),VLOOKUP(L$1,test!$A$3:$F$32,2,FALSE))&lt;test!$K$16,$A48&lt;&gt;L$1,Recharged_Feasible_mat!M17=1),(VLOOKUP(L$1,test!$A$3:$I$32,8,FALSE))-(VLOOKUP($A48,test!$A$3:$I$32,9,FALSE))-test!$B$33,0)</f>
        <v>0</v>
      </c>
      <c r="M48">
        <f>IF(AND(SUM(VLOOKUP($A48,test!$A$3:$F$32,2,FALSE),VLOOKUP(M$1,test!$A$3:$F$32,2,FALSE))&lt;test!$K$16,$A48&lt;&gt;M$1,Recharged_Feasible_mat!N17=1),(VLOOKUP(M$1,test!$A$3:$I$32,8,FALSE))-(VLOOKUP($A48,test!$A$3:$I$32,9,FALSE))-test!$B$33,0)</f>
        <v>60</v>
      </c>
      <c r="N48">
        <f>IF(AND(SUM(VLOOKUP($A48,test!$A$3:$F$32,2,FALSE),VLOOKUP(N$1,test!$A$3:$F$32,2,FALSE))&lt;test!$K$16,$A48&lt;&gt;N$1,Recharged_Feasible_mat!O17=1),(VLOOKUP(N$1,test!$A$3:$I$32,8,FALSE))-(VLOOKUP($A48,test!$A$3:$I$32,9,FALSE))-test!$B$33,0)</f>
        <v>420</v>
      </c>
      <c r="O48">
        <f>IF(AND(SUM(VLOOKUP($A48,test!$A$3:$F$32,2,FALSE),VLOOKUP(O$1,test!$A$3:$F$32,2,FALSE))&lt;test!$K$16,$A48&lt;&gt;O$1,Recharged_Feasible_mat!P17=1),(VLOOKUP(O$1,test!$A$3:$I$32,8,FALSE))-(VLOOKUP($A48,test!$A$3:$I$32,9,FALSE))-test!$B$33,0)</f>
        <v>480</v>
      </c>
      <c r="P48">
        <f>IF(AND(SUM(VLOOKUP($A48,test!$A$3:$F$32,2,FALSE),VLOOKUP(P$1,test!$A$3:$F$32,2,FALSE))&lt;test!$K$16,$A48&lt;&gt;P$1,Recharged_Feasible_mat!Q17=1),(VLOOKUP(P$1,test!$A$3:$I$32,8,FALSE))-(VLOOKUP($A48,test!$A$3:$I$32,9,FALSE))-test!$B$33,0)</f>
        <v>0</v>
      </c>
      <c r="Q48">
        <f>IF(AND(SUM(VLOOKUP($A48,test!$A$3:$F$32,2,FALSE),VLOOKUP(Q$1,test!$A$3:$F$32,2,FALSE))&lt;test!$K$16,$A48&lt;&gt;Q$1,Recharged_Feasible_mat!R17=1),(VLOOKUP(Q$1,test!$A$3:$I$32,8,FALSE))-(VLOOKUP($A48,test!$A$3:$I$32,9,FALSE))-test!$B$33,0)</f>
        <v>0</v>
      </c>
      <c r="R48">
        <f>IF(AND(SUM(VLOOKUP($A48,test!$A$3:$F$32,2,FALSE),VLOOKUP(R$1,test!$A$3:$F$32,2,FALSE))&lt;test!$K$16,$A48&lt;&gt;R$1,Recharged_Feasible_mat!S17=1),(VLOOKUP(R$1,test!$A$3:$I$32,8,FALSE))-(VLOOKUP($A48,test!$A$3:$I$32,9,FALSE))-test!$B$33,0)</f>
        <v>0</v>
      </c>
      <c r="S48">
        <f>IF(AND(SUM(VLOOKUP($A48,test!$A$3:$F$32,2,FALSE),VLOOKUP(S$1,test!$A$3:$F$32,2,FALSE))&lt;test!$K$16,$A48&lt;&gt;S$1,Recharged_Feasible_mat!T17=1),(VLOOKUP(S$1,test!$A$3:$I$32,8,FALSE))-(VLOOKUP($A48,test!$A$3:$I$32,9,FALSE))-test!$B$33,0)</f>
        <v>0</v>
      </c>
      <c r="T48">
        <f>IF(AND(SUM(VLOOKUP($A48,test!$A$3:$F$32,2,FALSE),VLOOKUP(T$1,test!$A$3:$F$32,2,FALSE))&lt;test!$K$16,$A48&lt;&gt;T$1,Recharged_Feasible_mat!U17=1),(VLOOKUP(T$1,test!$A$3:$I$32,8,FALSE))-(VLOOKUP($A48,test!$A$3:$I$32,9,FALSE))-test!$B$33,0)</f>
        <v>75</v>
      </c>
      <c r="U48">
        <f>IF(AND(SUM(VLOOKUP($A48,test!$A$3:$F$32,2,FALSE),VLOOKUP(U$1,test!$A$3:$F$32,2,FALSE))&lt;test!$K$16,$A48&lt;&gt;U$1,Recharged_Feasible_mat!V17=1),(VLOOKUP(U$1,test!$A$3:$I$32,8,FALSE))-(VLOOKUP($A48,test!$A$3:$I$32,9,FALSE))-test!$B$33,0)</f>
        <v>165</v>
      </c>
      <c r="V48">
        <f>IF(AND(SUM(VLOOKUP($A48,test!$A$3:$F$32,2,FALSE),VLOOKUP(V$1,test!$A$3:$F$32,2,FALSE))&lt;test!$K$16,$A48&lt;&gt;V$1,Recharged_Feasible_mat!W17=1),(VLOOKUP(V$1,test!$A$3:$I$32,8,FALSE))-(VLOOKUP($A48,test!$A$3:$I$32,9,FALSE))-test!$B$33,0)</f>
        <v>255</v>
      </c>
      <c r="W48">
        <f>IF(AND(SUM(VLOOKUP($A48,test!$A$3:$F$32,2,FALSE),VLOOKUP(W$1,test!$A$3:$F$32,2,FALSE))&lt;test!$K$16,$A48&lt;&gt;W$1,Recharged_Feasible_mat!X17=1),(VLOOKUP(W$1,test!$A$3:$I$32,8,FALSE))-(VLOOKUP($A48,test!$A$3:$I$32,9,FALSE))-test!$B$33,0)</f>
        <v>345</v>
      </c>
      <c r="X48">
        <f>IF(AND(SUM(VLOOKUP($A48,test!$A$3:$F$32,2,FALSE),VLOOKUP(X$1,test!$A$3:$F$32,2,FALSE))&lt;test!$K$16,$A48&lt;&gt;X$1,Recharged_Feasible_mat!Y17=1),(VLOOKUP(X$1,test!$A$3:$I$32,8,FALSE))-(VLOOKUP($A48,test!$A$3:$I$32,9,FALSE))-test!$B$33,0)</f>
        <v>405</v>
      </c>
      <c r="Y48">
        <f>IF(AND(SUM(VLOOKUP($A48,test!$A$3:$F$32,2,FALSE),VLOOKUP(Y$1,test!$A$3:$F$32,2,FALSE))&lt;test!$K$16,$A48&lt;&gt;Y$1,Recharged_Feasible_mat!Z17=1),(VLOOKUP(Y$1,test!$A$3:$I$32,8,FALSE))-(VLOOKUP($A48,test!$A$3:$I$32,9,FALSE))-test!$B$33,0)</f>
        <v>0</v>
      </c>
      <c r="Z48">
        <f>IF(AND(SUM(VLOOKUP($A48,test!$A$3:$F$32,2,FALSE),VLOOKUP(Z$1,test!$A$3:$F$32,2,FALSE))&lt;test!$K$16,$A48&lt;&gt;Z$1,Recharged_Feasible_mat!AA17=1),(VLOOKUP(Z$1,test!$A$3:$I$32,8,FALSE))-(VLOOKUP($A48,test!$A$3:$I$32,9,FALSE))-test!$B$33,0)</f>
        <v>5</v>
      </c>
      <c r="AA48">
        <f>IF(AND(SUM(VLOOKUP($A48,test!$A$3:$F$32,2,FALSE),VLOOKUP(AA$1,test!$A$3:$F$32,2,FALSE))&lt;test!$K$16,$A48&lt;&gt;AA$1,Recharged_Feasible_mat!AB17=1),(VLOOKUP(AA$1,test!$A$3:$I$32,8,FALSE))-(VLOOKUP($A48,test!$A$3:$I$32,9,FALSE))-test!$B$33,0)</f>
        <v>125</v>
      </c>
      <c r="AB48">
        <f>IF(AND(SUM(VLOOKUP($A48,test!$A$3:$F$32,2,FALSE),VLOOKUP(AB$1,test!$A$3:$F$32,2,FALSE))&lt;test!$K$16,$A48&lt;&gt;AB$1,Recharged_Feasible_mat!AC17=1),(VLOOKUP(AB$1,test!$A$3:$I$32,8,FALSE))-(VLOOKUP($A48,test!$A$3:$I$32,9,FALSE))-test!$B$33,0)</f>
        <v>185</v>
      </c>
      <c r="AC48">
        <f>IF(AND(SUM(VLOOKUP($A48,test!$A$3:$F$32,2,FALSE),VLOOKUP(AC$1,test!$A$3:$F$32,2,FALSE))&lt;test!$K$16,$A48&lt;&gt;AC$1,Recharged_Feasible_mat!AD17=1),(VLOOKUP(AC$1,test!$A$3:$I$32,8,FALSE))-(VLOOKUP($A48,test!$A$3:$I$32,9,FALSE))-test!$B$33,0)</f>
        <v>305</v>
      </c>
      <c r="AD48">
        <f>IF(AND(SUM(VLOOKUP($A48,test!$A$3:$F$32,2,FALSE),VLOOKUP(AD$1,test!$A$3:$F$32,2,FALSE))&lt;test!$K$16,$A48&lt;&gt;AD$1,Recharged_Feasible_mat!AE17=1),(VLOOKUP(AD$1,test!$A$3:$I$32,8,FALSE))-(VLOOKUP($A48,test!$A$3:$I$32,9,FALSE))-test!$B$33,0)</f>
        <v>0</v>
      </c>
      <c r="AE48">
        <f>IF(AND(SUM(VLOOKUP($A48,test!$A$3:$F$32,2,FALSE),VLOOKUP(AE$1,test!$A$3:$F$32,2,FALSE))&lt;test!$K$16,$A48&lt;&gt;AE$1,Recharged_Feasible_mat!AF17=1),(VLOOKUP(AE$1,test!$A$3:$I$32,8,FALSE))-(VLOOKUP($A48,test!$A$3:$I$32,9,FALSE))-test!$B$33,0)</f>
        <v>125</v>
      </c>
      <c r="AF48">
        <f>IF(AND(SUM(VLOOKUP($A48,test!$A$3:$F$32,2,FALSE),VLOOKUP(AF$1,test!$A$3:$F$32,2,FALSE))&lt;test!$K$16,$A48&lt;&gt;AF$1,Recharged_Feasible_mat!AG17=1),(VLOOKUP(AF$1,test!$A$3:$I$32,8,FALSE))-(VLOOKUP($A48,test!$A$3:$I$32,9,FALSE))-test!$B$33,0)</f>
        <v>0</v>
      </c>
    </row>
    <row r="49" spans="1:32" x14ac:dyDescent="0.25">
      <c r="A49" t="s">
        <v>27</v>
      </c>
      <c r="B49">
        <v>0</v>
      </c>
      <c r="C49">
        <f>IF(AND(SUM(VLOOKUP($A49,test!$A$3:$F$32,2,FALSE),VLOOKUP(C$1,test!$A$3:$F$32,2,FALSE))&lt;test!$K$16,$A49&lt;&gt;C$1,Recharged_Feasible_mat!D18=1),(VLOOKUP(C$1,test!$A$3:$I$32,8,FALSE))-(VLOOKUP($A49,test!$A$3:$I$32,9,FALSE))-test!$B$33,0)</f>
        <v>0</v>
      </c>
      <c r="D49">
        <f>IF(AND(SUM(VLOOKUP($A49,test!$A$3:$F$32,2,FALSE),VLOOKUP(D$1,test!$A$3:$F$32,2,FALSE))&lt;test!$K$16,$A49&lt;&gt;D$1,Recharged_Feasible_mat!E18=1),(VLOOKUP(D$1,test!$A$3:$I$32,8,FALSE))-(VLOOKUP($A49,test!$A$3:$I$32,9,FALSE))-test!$B$33,0)</f>
        <v>0</v>
      </c>
      <c r="E49">
        <f>IF(AND(SUM(VLOOKUP($A49,test!$A$3:$F$32,2,FALSE),VLOOKUP(E$1,test!$A$3:$F$32,2,FALSE))&lt;test!$K$16,$A49&lt;&gt;E$1,Recharged_Feasible_mat!F18=1),(VLOOKUP(E$1,test!$A$3:$I$32,8,FALSE))-(VLOOKUP($A49,test!$A$3:$I$32,9,FALSE))-test!$B$33,0)</f>
        <v>5</v>
      </c>
      <c r="F49">
        <f>IF(AND(SUM(VLOOKUP($A49,test!$A$3:$F$32,2,FALSE),VLOOKUP(F$1,test!$A$3:$F$32,2,FALSE))&lt;test!$K$16,$A49&lt;&gt;F$1,Recharged_Feasible_mat!G18=1),(VLOOKUP(F$1,test!$A$3:$I$32,8,FALSE))-(VLOOKUP($A49,test!$A$3:$I$32,9,FALSE))-test!$B$33,0)</f>
        <v>95</v>
      </c>
      <c r="G49">
        <f>IF(AND(SUM(VLOOKUP($A49,test!$A$3:$F$32,2,FALSE),VLOOKUP(G$1,test!$A$3:$F$32,2,FALSE))&lt;test!$K$16,$A49&lt;&gt;G$1,Recharged_Feasible_mat!H18=1),(VLOOKUP(G$1,test!$A$3:$I$32,8,FALSE))-(VLOOKUP($A49,test!$A$3:$I$32,9,FALSE))-test!$B$33,0)</f>
        <v>155</v>
      </c>
      <c r="H49">
        <f>IF(AND(SUM(VLOOKUP($A49,test!$A$3:$F$32,2,FALSE),VLOOKUP(H$1,test!$A$3:$F$32,2,FALSE))&lt;test!$K$16,$A49&lt;&gt;H$1,Recharged_Feasible_mat!I18=1),(VLOOKUP(H$1,test!$A$3:$I$32,8,FALSE))-(VLOOKUP($A49,test!$A$3:$I$32,9,FALSE))-test!$B$33,0)</f>
        <v>215</v>
      </c>
      <c r="I49">
        <f>IF(AND(SUM(VLOOKUP($A49,test!$A$3:$F$32,2,FALSE),VLOOKUP(I$1,test!$A$3:$F$32,2,FALSE))&lt;test!$K$16,$A49&lt;&gt;I$1,Recharged_Feasible_mat!J18=1),(VLOOKUP(I$1,test!$A$3:$I$32,8,FALSE))-(VLOOKUP($A49,test!$A$3:$I$32,9,FALSE))-test!$B$33,0)</f>
        <v>275</v>
      </c>
      <c r="J49">
        <f>IF(AND(SUM(VLOOKUP($A49,test!$A$3:$F$32,2,FALSE),VLOOKUP(J$1,test!$A$3:$F$32,2,FALSE))&lt;test!$K$16,$A49&lt;&gt;J$1,Recharged_Feasible_mat!K18=1),(VLOOKUP(J$1,test!$A$3:$I$32,8,FALSE))-(VLOOKUP($A49,test!$A$3:$I$32,9,FALSE))-test!$B$33,0)</f>
        <v>365</v>
      </c>
      <c r="K49">
        <f>IF(AND(SUM(VLOOKUP($A49,test!$A$3:$F$32,2,FALSE),VLOOKUP(K$1,test!$A$3:$F$32,2,FALSE))&lt;test!$K$16,$A49&lt;&gt;K$1,Recharged_Feasible_mat!L18=1),(VLOOKUP(K$1,test!$A$3:$I$32,8,FALSE))-(VLOOKUP($A49,test!$A$3:$I$32,9,FALSE))-test!$B$33,0)</f>
        <v>0</v>
      </c>
      <c r="L49">
        <f>IF(AND(SUM(VLOOKUP($A49,test!$A$3:$F$32,2,FALSE),VLOOKUP(L$1,test!$A$3:$F$32,2,FALSE))&lt;test!$K$16,$A49&lt;&gt;L$1,Recharged_Feasible_mat!M18=1),(VLOOKUP(L$1,test!$A$3:$I$32,8,FALSE))-(VLOOKUP($A49,test!$A$3:$I$32,9,FALSE))-test!$B$33,0)</f>
        <v>0</v>
      </c>
      <c r="M49">
        <f>IF(AND(SUM(VLOOKUP($A49,test!$A$3:$F$32,2,FALSE),VLOOKUP(M$1,test!$A$3:$F$32,2,FALSE))&lt;test!$K$16,$A49&lt;&gt;M$1,Recharged_Feasible_mat!N18=1),(VLOOKUP(M$1,test!$A$3:$I$32,8,FALSE))-(VLOOKUP($A49,test!$A$3:$I$32,9,FALSE))-test!$B$33,0)</f>
        <v>0</v>
      </c>
      <c r="N49">
        <f>IF(AND(SUM(VLOOKUP($A49,test!$A$3:$F$32,2,FALSE),VLOOKUP(N$1,test!$A$3:$F$32,2,FALSE))&lt;test!$K$16,$A49&lt;&gt;N$1,Recharged_Feasible_mat!O18=1),(VLOOKUP(N$1,test!$A$3:$I$32,8,FALSE))-(VLOOKUP($A49,test!$A$3:$I$32,9,FALSE))-test!$B$33,0)</f>
        <v>330</v>
      </c>
      <c r="O49">
        <f>IF(AND(SUM(VLOOKUP($A49,test!$A$3:$F$32,2,FALSE),VLOOKUP(O$1,test!$A$3:$F$32,2,FALSE))&lt;test!$K$16,$A49&lt;&gt;O$1,Recharged_Feasible_mat!P18=1),(VLOOKUP(O$1,test!$A$3:$I$32,8,FALSE))-(VLOOKUP($A49,test!$A$3:$I$32,9,FALSE))-test!$B$33,0)</f>
        <v>390</v>
      </c>
      <c r="P49">
        <f>IF(AND(SUM(VLOOKUP($A49,test!$A$3:$F$32,2,FALSE),VLOOKUP(P$1,test!$A$3:$F$32,2,FALSE))&lt;test!$K$16,$A49&lt;&gt;P$1,Recharged_Feasible_mat!Q18=1),(VLOOKUP(P$1,test!$A$3:$I$32,8,FALSE))-(VLOOKUP($A49,test!$A$3:$I$32,9,FALSE))-test!$B$33,0)</f>
        <v>0</v>
      </c>
      <c r="Q49">
        <f>IF(AND(SUM(VLOOKUP($A49,test!$A$3:$F$32,2,FALSE),VLOOKUP(Q$1,test!$A$3:$F$32,2,FALSE))&lt;test!$K$16,$A49&lt;&gt;Q$1,Recharged_Feasible_mat!R18=1),(VLOOKUP(Q$1,test!$A$3:$I$32,8,FALSE))-(VLOOKUP($A49,test!$A$3:$I$32,9,FALSE))-test!$B$33,0)</f>
        <v>0</v>
      </c>
      <c r="R49">
        <f>IF(AND(SUM(VLOOKUP($A49,test!$A$3:$F$32,2,FALSE),VLOOKUP(R$1,test!$A$3:$F$32,2,FALSE))&lt;test!$K$16,$A49&lt;&gt;R$1,Recharged_Feasible_mat!S18=1),(VLOOKUP(R$1,test!$A$3:$I$32,8,FALSE))-(VLOOKUP($A49,test!$A$3:$I$32,9,FALSE))-test!$B$33,0)</f>
        <v>0</v>
      </c>
      <c r="S49">
        <f>IF(AND(SUM(VLOOKUP($A49,test!$A$3:$F$32,2,FALSE),VLOOKUP(S$1,test!$A$3:$F$32,2,FALSE))&lt;test!$K$16,$A49&lt;&gt;S$1,Recharged_Feasible_mat!T18=1),(VLOOKUP(S$1,test!$A$3:$I$32,8,FALSE))-(VLOOKUP($A49,test!$A$3:$I$32,9,FALSE))-test!$B$33,0)</f>
        <v>0</v>
      </c>
      <c r="T49">
        <f>IF(AND(SUM(VLOOKUP($A49,test!$A$3:$F$32,2,FALSE),VLOOKUP(T$1,test!$A$3:$F$32,2,FALSE))&lt;test!$K$16,$A49&lt;&gt;T$1,Recharged_Feasible_mat!U18=1),(VLOOKUP(T$1,test!$A$3:$I$32,8,FALSE))-(VLOOKUP($A49,test!$A$3:$I$32,9,FALSE))-test!$B$33,0)</f>
        <v>0</v>
      </c>
      <c r="U49">
        <f>IF(AND(SUM(VLOOKUP($A49,test!$A$3:$F$32,2,FALSE),VLOOKUP(U$1,test!$A$3:$F$32,2,FALSE))&lt;test!$K$16,$A49&lt;&gt;U$1,Recharged_Feasible_mat!V18=1),(VLOOKUP(U$1,test!$A$3:$I$32,8,FALSE))-(VLOOKUP($A49,test!$A$3:$I$32,9,FALSE))-test!$B$33,0)</f>
        <v>75</v>
      </c>
      <c r="V49">
        <f>IF(AND(SUM(VLOOKUP($A49,test!$A$3:$F$32,2,FALSE),VLOOKUP(V$1,test!$A$3:$F$32,2,FALSE))&lt;test!$K$16,$A49&lt;&gt;V$1,Recharged_Feasible_mat!W18=1),(VLOOKUP(V$1,test!$A$3:$I$32,8,FALSE))-(VLOOKUP($A49,test!$A$3:$I$32,9,FALSE))-test!$B$33,0)</f>
        <v>165</v>
      </c>
      <c r="W49">
        <f>IF(AND(SUM(VLOOKUP($A49,test!$A$3:$F$32,2,FALSE),VLOOKUP(W$1,test!$A$3:$F$32,2,FALSE))&lt;test!$K$16,$A49&lt;&gt;W$1,Recharged_Feasible_mat!X18=1),(VLOOKUP(W$1,test!$A$3:$I$32,8,FALSE))-(VLOOKUP($A49,test!$A$3:$I$32,9,FALSE))-test!$B$33,0)</f>
        <v>255</v>
      </c>
      <c r="X49">
        <f>IF(AND(SUM(VLOOKUP($A49,test!$A$3:$F$32,2,FALSE),VLOOKUP(X$1,test!$A$3:$F$32,2,FALSE))&lt;test!$K$16,$A49&lt;&gt;X$1,Recharged_Feasible_mat!Y18=1),(VLOOKUP(X$1,test!$A$3:$I$32,8,FALSE))-(VLOOKUP($A49,test!$A$3:$I$32,9,FALSE))-test!$B$33,0)</f>
        <v>315</v>
      </c>
      <c r="Y49">
        <f>IF(AND(SUM(VLOOKUP($A49,test!$A$3:$F$32,2,FALSE),VLOOKUP(Y$1,test!$A$3:$F$32,2,FALSE))&lt;test!$K$16,$A49&lt;&gt;Y$1,Recharged_Feasible_mat!Z18=1),(VLOOKUP(Y$1,test!$A$3:$I$32,8,FALSE))-(VLOOKUP($A49,test!$A$3:$I$32,9,FALSE))-test!$B$33,0)</f>
        <v>0</v>
      </c>
      <c r="Z49">
        <f>IF(AND(SUM(VLOOKUP($A49,test!$A$3:$F$32,2,FALSE),VLOOKUP(Z$1,test!$A$3:$F$32,2,FALSE))&lt;test!$K$16,$A49&lt;&gt;Z$1,Recharged_Feasible_mat!AA18=1),(VLOOKUP(Z$1,test!$A$3:$I$32,8,FALSE))-(VLOOKUP($A49,test!$A$3:$I$32,9,FALSE))-test!$B$33,0)</f>
        <v>0</v>
      </c>
      <c r="AA49">
        <f>IF(AND(SUM(VLOOKUP($A49,test!$A$3:$F$32,2,FALSE),VLOOKUP(AA$1,test!$A$3:$F$32,2,FALSE))&lt;test!$K$16,$A49&lt;&gt;AA$1,Recharged_Feasible_mat!AB18=1),(VLOOKUP(AA$1,test!$A$3:$I$32,8,FALSE))-(VLOOKUP($A49,test!$A$3:$I$32,9,FALSE))-test!$B$33,0)</f>
        <v>35</v>
      </c>
      <c r="AB49">
        <f>IF(AND(SUM(VLOOKUP($A49,test!$A$3:$F$32,2,FALSE),VLOOKUP(AB$1,test!$A$3:$F$32,2,FALSE))&lt;test!$K$16,$A49&lt;&gt;AB$1,Recharged_Feasible_mat!AC18=1),(VLOOKUP(AB$1,test!$A$3:$I$32,8,FALSE))-(VLOOKUP($A49,test!$A$3:$I$32,9,FALSE))-test!$B$33,0)</f>
        <v>95</v>
      </c>
      <c r="AC49">
        <f>IF(AND(SUM(VLOOKUP($A49,test!$A$3:$F$32,2,FALSE),VLOOKUP(AC$1,test!$A$3:$F$32,2,FALSE))&lt;test!$K$16,$A49&lt;&gt;AC$1,Recharged_Feasible_mat!AD18=1),(VLOOKUP(AC$1,test!$A$3:$I$32,8,FALSE))-(VLOOKUP($A49,test!$A$3:$I$32,9,FALSE))-test!$B$33,0)</f>
        <v>215</v>
      </c>
      <c r="AD49">
        <f>IF(AND(SUM(VLOOKUP($A49,test!$A$3:$F$32,2,FALSE),VLOOKUP(AD$1,test!$A$3:$F$32,2,FALSE))&lt;test!$K$16,$A49&lt;&gt;AD$1,Recharged_Feasible_mat!AE18=1),(VLOOKUP(AD$1,test!$A$3:$I$32,8,FALSE))-(VLOOKUP($A49,test!$A$3:$I$32,9,FALSE))-test!$B$33,0)</f>
        <v>0</v>
      </c>
      <c r="AE49">
        <f>IF(AND(SUM(VLOOKUP($A49,test!$A$3:$F$32,2,FALSE),VLOOKUP(AE$1,test!$A$3:$F$32,2,FALSE))&lt;test!$K$16,$A49&lt;&gt;AE$1,Recharged_Feasible_mat!AF18=1),(VLOOKUP(AE$1,test!$A$3:$I$32,8,FALSE))-(VLOOKUP($A49,test!$A$3:$I$32,9,FALSE))-test!$B$33,0)</f>
        <v>35</v>
      </c>
      <c r="AF49">
        <f>IF(AND(SUM(VLOOKUP($A49,test!$A$3:$F$32,2,FALSE),VLOOKUP(AF$1,test!$A$3:$F$32,2,FALSE))&lt;test!$K$16,$A49&lt;&gt;AF$1,Recharged_Feasible_mat!AG18=1),(VLOOKUP(AF$1,test!$A$3:$I$32,8,FALSE))-(VLOOKUP($A49,test!$A$3:$I$32,9,FALSE))-test!$B$33,0)</f>
        <v>0</v>
      </c>
    </row>
    <row r="50" spans="1:32" x14ac:dyDescent="0.25">
      <c r="A50" t="s">
        <v>28</v>
      </c>
      <c r="B50">
        <v>0</v>
      </c>
      <c r="C50">
        <f>IF(AND(SUM(VLOOKUP($A50,test!$A$3:$F$32,2,FALSE),VLOOKUP(C$1,test!$A$3:$F$32,2,FALSE))&lt;test!$K$16,$A50&lt;&gt;C$1,Recharged_Feasible_mat!D19=1),(VLOOKUP(C$1,test!$A$3:$I$32,8,FALSE))-(VLOOKUP($A50,test!$A$3:$I$32,9,FALSE))-test!$B$33,0)</f>
        <v>0</v>
      </c>
      <c r="D50">
        <f>IF(AND(SUM(VLOOKUP($A50,test!$A$3:$F$32,2,FALSE),VLOOKUP(D$1,test!$A$3:$F$32,2,FALSE))&lt;test!$K$16,$A50&lt;&gt;D$1,Recharged_Feasible_mat!E19=1),(VLOOKUP(D$1,test!$A$3:$I$32,8,FALSE))-(VLOOKUP($A50,test!$A$3:$I$32,9,FALSE))-test!$B$33,0)</f>
        <v>0</v>
      </c>
      <c r="E50">
        <f>IF(AND(SUM(VLOOKUP($A50,test!$A$3:$F$32,2,FALSE),VLOOKUP(E$1,test!$A$3:$F$32,2,FALSE))&lt;test!$K$16,$A50&lt;&gt;E$1,Recharged_Feasible_mat!F19=1),(VLOOKUP(E$1,test!$A$3:$I$32,8,FALSE))-(VLOOKUP($A50,test!$A$3:$I$32,9,FALSE))-test!$B$33,0)</f>
        <v>0</v>
      </c>
      <c r="F50">
        <f>IF(AND(SUM(VLOOKUP($A50,test!$A$3:$F$32,2,FALSE),VLOOKUP(F$1,test!$A$3:$F$32,2,FALSE))&lt;test!$K$16,$A50&lt;&gt;F$1,Recharged_Feasible_mat!G19=1),(VLOOKUP(F$1,test!$A$3:$I$32,8,FALSE))-(VLOOKUP($A50,test!$A$3:$I$32,9,FALSE))-test!$B$33,0)</f>
        <v>5</v>
      </c>
      <c r="G50">
        <f>IF(AND(SUM(VLOOKUP($A50,test!$A$3:$F$32,2,FALSE),VLOOKUP(G$1,test!$A$3:$F$32,2,FALSE))&lt;test!$K$16,$A50&lt;&gt;G$1,Recharged_Feasible_mat!H19=1),(VLOOKUP(G$1,test!$A$3:$I$32,8,FALSE))-(VLOOKUP($A50,test!$A$3:$I$32,9,FALSE))-test!$B$33,0)</f>
        <v>65</v>
      </c>
      <c r="H50">
        <f>IF(AND(SUM(VLOOKUP($A50,test!$A$3:$F$32,2,FALSE),VLOOKUP(H$1,test!$A$3:$F$32,2,FALSE))&lt;test!$K$16,$A50&lt;&gt;H$1,Recharged_Feasible_mat!I19=1),(VLOOKUP(H$1,test!$A$3:$I$32,8,FALSE))-(VLOOKUP($A50,test!$A$3:$I$32,9,FALSE))-test!$B$33,0)</f>
        <v>125</v>
      </c>
      <c r="I50">
        <f>IF(AND(SUM(VLOOKUP($A50,test!$A$3:$F$32,2,FALSE),VLOOKUP(I$1,test!$A$3:$F$32,2,FALSE))&lt;test!$K$16,$A50&lt;&gt;I$1,Recharged_Feasible_mat!J19=1),(VLOOKUP(I$1,test!$A$3:$I$32,8,FALSE))-(VLOOKUP($A50,test!$A$3:$I$32,9,FALSE))-test!$B$33,0)</f>
        <v>185</v>
      </c>
      <c r="J50">
        <f>IF(AND(SUM(VLOOKUP($A50,test!$A$3:$F$32,2,FALSE),VLOOKUP(J$1,test!$A$3:$F$32,2,FALSE))&lt;test!$K$16,$A50&lt;&gt;J$1,Recharged_Feasible_mat!K19=1),(VLOOKUP(J$1,test!$A$3:$I$32,8,FALSE))-(VLOOKUP($A50,test!$A$3:$I$32,9,FALSE))-test!$B$33,0)</f>
        <v>275</v>
      </c>
      <c r="K50">
        <f>IF(AND(SUM(VLOOKUP($A50,test!$A$3:$F$32,2,FALSE),VLOOKUP(K$1,test!$A$3:$F$32,2,FALSE))&lt;test!$K$16,$A50&lt;&gt;K$1,Recharged_Feasible_mat!L19=1),(VLOOKUP(K$1,test!$A$3:$I$32,8,FALSE))-(VLOOKUP($A50,test!$A$3:$I$32,9,FALSE))-test!$B$33,0)</f>
        <v>0</v>
      </c>
      <c r="L50">
        <f>IF(AND(SUM(VLOOKUP($A50,test!$A$3:$F$32,2,FALSE),VLOOKUP(L$1,test!$A$3:$F$32,2,FALSE))&lt;test!$K$16,$A50&lt;&gt;L$1,Recharged_Feasible_mat!M19=1),(VLOOKUP(L$1,test!$A$3:$I$32,8,FALSE))-(VLOOKUP($A50,test!$A$3:$I$32,9,FALSE))-test!$B$33,0)</f>
        <v>0</v>
      </c>
      <c r="M50">
        <f>IF(AND(SUM(VLOOKUP($A50,test!$A$3:$F$32,2,FALSE),VLOOKUP(M$1,test!$A$3:$F$32,2,FALSE))&lt;test!$K$16,$A50&lt;&gt;M$1,Recharged_Feasible_mat!N19=1),(VLOOKUP(M$1,test!$A$3:$I$32,8,FALSE))-(VLOOKUP($A50,test!$A$3:$I$32,9,FALSE))-test!$B$33,0)</f>
        <v>0</v>
      </c>
      <c r="N50">
        <f>IF(AND(SUM(VLOOKUP($A50,test!$A$3:$F$32,2,FALSE),VLOOKUP(N$1,test!$A$3:$F$32,2,FALSE))&lt;test!$K$16,$A50&lt;&gt;N$1,Recharged_Feasible_mat!O19=1),(VLOOKUP(N$1,test!$A$3:$I$32,8,FALSE))-(VLOOKUP($A50,test!$A$3:$I$32,9,FALSE))-test!$B$33,0)</f>
        <v>240</v>
      </c>
      <c r="O50">
        <f>IF(AND(SUM(VLOOKUP($A50,test!$A$3:$F$32,2,FALSE),VLOOKUP(O$1,test!$A$3:$F$32,2,FALSE))&lt;test!$K$16,$A50&lt;&gt;O$1,Recharged_Feasible_mat!P19=1),(VLOOKUP(O$1,test!$A$3:$I$32,8,FALSE))-(VLOOKUP($A50,test!$A$3:$I$32,9,FALSE))-test!$B$33,0)</f>
        <v>300</v>
      </c>
      <c r="P50">
        <f>IF(AND(SUM(VLOOKUP($A50,test!$A$3:$F$32,2,FALSE),VLOOKUP(P$1,test!$A$3:$F$32,2,FALSE))&lt;test!$K$16,$A50&lt;&gt;P$1,Recharged_Feasible_mat!Q19=1),(VLOOKUP(P$1,test!$A$3:$I$32,8,FALSE))-(VLOOKUP($A50,test!$A$3:$I$32,9,FALSE))-test!$B$33,0)</f>
        <v>0</v>
      </c>
      <c r="Q50">
        <f>IF(AND(SUM(VLOOKUP($A50,test!$A$3:$F$32,2,FALSE),VLOOKUP(Q$1,test!$A$3:$F$32,2,FALSE))&lt;test!$K$16,$A50&lt;&gt;Q$1,Recharged_Feasible_mat!R19=1),(VLOOKUP(Q$1,test!$A$3:$I$32,8,FALSE))-(VLOOKUP($A50,test!$A$3:$I$32,9,FALSE))-test!$B$33,0)</f>
        <v>0</v>
      </c>
      <c r="R50">
        <f>IF(AND(SUM(VLOOKUP($A50,test!$A$3:$F$32,2,FALSE),VLOOKUP(R$1,test!$A$3:$F$32,2,FALSE))&lt;test!$K$16,$A50&lt;&gt;R$1,Recharged_Feasible_mat!S19=1),(VLOOKUP(R$1,test!$A$3:$I$32,8,FALSE))-(VLOOKUP($A50,test!$A$3:$I$32,9,FALSE))-test!$B$33,0)</f>
        <v>0</v>
      </c>
      <c r="S50">
        <f>IF(AND(SUM(VLOOKUP($A50,test!$A$3:$F$32,2,FALSE),VLOOKUP(S$1,test!$A$3:$F$32,2,FALSE))&lt;test!$K$16,$A50&lt;&gt;S$1,Recharged_Feasible_mat!T19=1),(VLOOKUP(S$1,test!$A$3:$I$32,8,FALSE))-(VLOOKUP($A50,test!$A$3:$I$32,9,FALSE))-test!$B$33,0)</f>
        <v>0</v>
      </c>
      <c r="T50">
        <f>IF(AND(SUM(VLOOKUP($A50,test!$A$3:$F$32,2,FALSE),VLOOKUP(T$1,test!$A$3:$F$32,2,FALSE))&lt;test!$K$16,$A50&lt;&gt;T$1,Recharged_Feasible_mat!U19=1),(VLOOKUP(T$1,test!$A$3:$I$32,8,FALSE))-(VLOOKUP($A50,test!$A$3:$I$32,9,FALSE))-test!$B$33,0)</f>
        <v>0</v>
      </c>
      <c r="U50">
        <f>IF(AND(SUM(VLOOKUP($A50,test!$A$3:$F$32,2,FALSE),VLOOKUP(U$1,test!$A$3:$F$32,2,FALSE))&lt;test!$K$16,$A50&lt;&gt;U$1,Recharged_Feasible_mat!V19=1),(VLOOKUP(U$1,test!$A$3:$I$32,8,FALSE))-(VLOOKUP($A50,test!$A$3:$I$32,9,FALSE))-test!$B$33,0)</f>
        <v>0</v>
      </c>
      <c r="V50">
        <f>IF(AND(SUM(VLOOKUP($A50,test!$A$3:$F$32,2,FALSE),VLOOKUP(V$1,test!$A$3:$F$32,2,FALSE))&lt;test!$K$16,$A50&lt;&gt;V$1,Recharged_Feasible_mat!W19=1),(VLOOKUP(V$1,test!$A$3:$I$32,8,FALSE))-(VLOOKUP($A50,test!$A$3:$I$32,9,FALSE))-test!$B$33,0)</f>
        <v>75</v>
      </c>
      <c r="W50">
        <f>IF(AND(SUM(VLOOKUP($A50,test!$A$3:$F$32,2,FALSE),VLOOKUP(W$1,test!$A$3:$F$32,2,FALSE))&lt;test!$K$16,$A50&lt;&gt;W$1,Recharged_Feasible_mat!X19=1),(VLOOKUP(W$1,test!$A$3:$I$32,8,FALSE))-(VLOOKUP($A50,test!$A$3:$I$32,9,FALSE))-test!$B$33,0)</f>
        <v>165</v>
      </c>
      <c r="X50">
        <f>IF(AND(SUM(VLOOKUP($A50,test!$A$3:$F$32,2,FALSE),VLOOKUP(X$1,test!$A$3:$F$32,2,FALSE))&lt;test!$K$16,$A50&lt;&gt;X$1,Recharged_Feasible_mat!Y19=1),(VLOOKUP(X$1,test!$A$3:$I$32,8,FALSE))-(VLOOKUP($A50,test!$A$3:$I$32,9,FALSE))-test!$B$33,0)</f>
        <v>225</v>
      </c>
      <c r="Y50">
        <f>IF(AND(SUM(VLOOKUP($A50,test!$A$3:$F$32,2,FALSE),VLOOKUP(Y$1,test!$A$3:$F$32,2,FALSE))&lt;test!$K$16,$A50&lt;&gt;Y$1,Recharged_Feasible_mat!Z19=1),(VLOOKUP(Y$1,test!$A$3:$I$32,8,FALSE))-(VLOOKUP($A50,test!$A$3:$I$32,9,FALSE))-test!$B$33,0)</f>
        <v>0</v>
      </c>
      <c r="Z50">
        <f>IF(AND(SUM(VLOOKUP($A50,test!$A$3:$F$32,2,FALSE),VLOOKUP(Z$1,test!$A$3:$F$32,2,FALSE))&lt;test!$K$16,$A50&lt;&gt;Z$1,Recharged_Feasible_mat!AA19=1),(VLOOKUP(Z$1,test!$A$3:$I$32,8,FALSE))-(VLOOKUP($A50,test!$A$3:$I$32,9,FALSE))-test!$B$33,0)</f>
        <v>0</v>
      </c>
      <c r="AA50">
        <f>IF(AND(SUM(VLOOKUP($A50,test!$A$3:$F$32,2,FALSE),VLOOKUP(AA$1,test!$A$3:$F$32,2,FALSE))&lt;test!$K$16,$A50&lt;&gt;AA$1,Recharged_Feasible_mat!AB19=1),(VLOOKUP(AA$1,test!$A$3:$I$32,8,FALSE))-(VLOOKUP($A50,test!$A$3:$I$32,9,FALSE))-test!$B$33,0)</f>
        <v>0</v>
      </c>
      <c r="AB50">
        <f>IF(AND(SUM(VLOOKUP($A50,test!$A$3:$F$32,2,FALSE),VLOOKUP(AB$1,test!$A$3:$F$32,2,FALSE))&lt;test!$K$16,$A50&lt;&gt;AB$1,Recharged_Feasible_mat!AC19=1),(VLOOKUP(AB$1,test!$A$3:$I$32,8,FALSE))-(VLOOKUP($A50,test!$A$3:$I$32,9,FALSE))-test!$B$33,0)</f>
        <v>5</v>
      </c>
      <c r="AC50">
        <f>IF(AND(SUM(VLOOKUP($A50,test!$A$3:$F$32,2,FALSE),VLOOKUP(AC$1,test!$A$3:$F$32,2,FALSE))&lt;test!$K$16,$A50&lt;&gt;AC$1,Recharged_Feasible_mat!AD19=1),(VLOOKUP(AC$1,test!$A$3:$I$32,8,FALSE))-(VLOOKUP($A50,test!$A$3:$I$32,9,FALSE))-test!$B$33,0)</f>
        <v>125</v>
      </c>
      <c r="AD50">
        <f>IF(AND(SUM(VLOOKUP($A50,test!$A$3:$F$32,2,FALSE),VLOOKUP(AD$1,test!$A$3:$F$32,2,FALSE))&lt;test!$K$16,$A50&lt;&gt;AD$1,Recharged_Feasible_mat!AE19=1),(VLOOKUP(AD$1,test!$A$3:$I$32,8,FALSE))-(VLOOKUP($A50,test!$A$3:$I$32,9,FALSE))-test!$B$33,0)</f>
        <v>0</v>
      </c>
      <c r="AE50">
        <f>IF(AND(SUM(VLOOKUP($A50,test!$A$3:$F$32,2,FALSE),VLOOKUP(AE$1,test!$A$3:$F$32,2,FALSE))&lt;test!$K$16,$A50&lt;&gt;AE$1,Recharged_Feasible_mat!AF19=1),(VLOOKUP(AE$1,test!$A$3:$I$32,8,FALSE))-(VLOOKUP($A50,test!$A$3:$I$32,9,FALSE))-test!$B$33,0)</f>
        <v>0</v>
      </c>
      <c r="AF50">
        <f>IF(AND(SUM(VLOOKUP($A50,test!$A$3:$F$32,2,FALSE),VLOOKUP(AF$1,test!$A$3:$F$32,2,FALSE))&lt;test!$K$16,$A50&lt;&gt;AF$1,Recharged_Feasible_mat!AG19=1),(VLOOKUP(AF$1,test!$A$3:$I$32,8,FALSE))-(VLOOKUP($A50,test!$A$3:$I$32,9,FALSE))-test!$B$33,0)</f>
        <v>0</v>
      </c>
    </row>
    <row r="51" spans="1:32" x14ac:dyDescent="0.25">
      <c r="A51" t="s">
        <v>29</v>
      </c>
      <c r="B51">
        <v>0</v>
      </c>
      <c r="C51">
        <f>IF(AND(SUM(VLOOKUP($A51,test!$A$3:$F$32,2,FALSE),VLOOKUP(C$1,test!$A$3:$F$32,2,FALSE))&lt;test!$K$16,$A51&lt;&gt;C$1,Recharged_Feasible_mat!D20=1),(VLOOKUP(C$1,test!$A$3:$I$32,8,FALSE))-(VLOOKUP($A51,test!$A$3:$I$32,9,FALSE))-test!$B$33,0)</f>
        <v>0</v>
      </c>
      <c r="D51">
        <f>IF(AND(SUM(VLOOKUP($A51,test!$A$3:$F$32,2,FALSE),VLOOKUP(D$1,test!$A$3:$F$32,2,FALSE))&lt;test!$K$16,$A51&lt;&gt;D$1,Recharged_Feasible_mat!E20=1),(VLOOKUP(D$1,test!$A$3:$I$32,8,FALSE))-(VLOOKUP($A51,test!$A$3:$I$32,9,FALSE))-test!$B$33,0)</f>
        <v>0</v>
      </c>
      <c r="E51">
        <f>IF(AND(SUM(VLOOKUP($A51,test!$A$3:$F$32,2,FALSE),VLOOKUP(E$1,test!$A$3:$F$32,2,FALSE))&lt;test!$K$16,$A51&lt;&gt;E$1,Recharged_Feasible_mat!F20=1),(VLOOKUP(E$1,test!$A$3:$I$32,8,FALSE))-(VLOOKUP($A51,test!$A$3:$I$32,9,FALSE))-test!$B$33,0)</f>
        <v>0</v>
      </c>
      <c r="F51">
        <f>IF(AND(SUM(VLOOKUP($A51,test!$A$3:$F$32,2,FALSE),VLOOKUP(F$1,test!$A$3:$F$32,2,FALSE))&lt;test!$K$16,$A51&lt;&gt;F$1,Recharged_Feasible_mat!G20=1),(VLOOKUP(F$1,test!$A$3:$I$32,8,FALSE))-(VLOOKUP($A51,test!$A$3:$I$32,9,FALSE))-test!$B$33,0)</f>
        <v>0</v>
      </c>
      <c r="G51">
        <f>IF(AND(SUM(VLOOKUP($A51,test!$A$3:$F$32,2,FALSE),VLOOKUP(G$1,test!$A$3:$F$32,2,FALSE))&lt;test!$K$16,$A51&lt;&gt;G$1,Recharged_Feasible_mat!H20=1),(VLOOKUP(G$1,test!$A$3:$I$32,8,FALSE))-(VLOOKUP($A51,test!$A$3:$I$32,9,FALSE))-test!$B$33,0)</f>
        <v>0</v>
      </c>
      <c r="H51">
        <f>IF(AND(SUM(VLOOKUP($A51,test!$A$3:$F$32,2,FALSE),VLOOKUP(H$1,test!$A$3:$F$32,2,FALSE))&lt;test!$K$16,$A51&lt;&gt;H$1,Recharged_Feasible_mat!I20=1),(VLOOKUP(H$1,test!$A$3:$I$32,8,FALSE))-(VLOOKUP($A51,test!$A$3:$I$32,9,FALSE))-test!$B$33,0)</f>
        <v>35</v>
      </c>
      <c r="I51">
        <f>IF(AND(SUM(VLOOKUP($A51,test!$A$3:$F$32,2,FALSE),VLOOKUP(I$1,test!$A$3:$F$32,2,FALSE))&lt;test!$K$16,$A51&lt;&gt;I$1,Recharged_Feasible_mat!J20=1),(VLOOKUP(I$1,test!$A$3:$I$32,8,FALSE))-(VLOOKUP($A51,test!$A$3:$I$32,9,FALSE))-test!$B$33,0)</f>
        <v>95</v>
      </c>
      <c r="J51">
        <f>IF(AND(SUM(VLOOKUP($A51,test!$A$3:$F$32,2,FALSE),VLOOKUP(J$1,test!$A$3:$F$32,2,FALSE))&lt;test!$K$16,$A51&lt;&gt;J$1,Recharged_Feasible_mat!K20=1),(VLOOKUP(J$1,test!$A$3:$I$32,8,FALSE))-(VLOOKUP($A51,test!$A$3:$I$32,9,FALSE))-test!$B$33,0)</f>
        <v>185</v>
      </c>
      <c r="K51">
        <f>IF(AND(SUM(VLOOKUP($A51,test!$A$3:$F$32,2,FALSE),VLOOKUP(K$1,test!$A$3:$F$32,2,FALSE))&lt;test!$K$16,$A51&lt;&gt;K$1,Recharged_Feasible_mat!L20=1),(VLOOKUP(K$1,test!$A$3:$I$32,8,FALSE))-(VLOOKUP($A51,test!$A$3:$I$32,9,FALSE))-test!$B$33,0)</f>
        <v>0</v>
      </c>
      <c r="L51">
        <f>IF(AND(SUM(VLOOKUP($A51,test!$A$3:$F$32,2,FALSE),VLOOKUP(L$1,test!$A$3:$F$32,2,FALSE))&lt;test!$K$16,$A51&lt;&gt;L$1,Recharged_Feasible_mat!M20=1),(VLOOKUP(L$1,test!$A$3:$I$32,8,FALSE))-(VLOOKUP($A51,test!$A$3:$I$32,9,FALSE))-test!$B$33,0)</f>
        <v>0</v>
      </c>
      <c r="M51">
        <f>IF(AND(SUM(VLOOKUP($A51,test!$A$3:$F$32,2,FALSE),VLOOKUP(M$1,test!$A$3:$F$32,2,FALSE))&lt;test!$K$16,$A51&lt;&gt;M$1,Recharged_Feasible_mat!N20=1),(VLOOKUP(M$1,test!$A$3:$I$32,8,FALSE))-(VLOOKUP($A51,test!$A$3:$I$32,9,FALSE))-test!$B$33,0)</f>
        <v>0</v>
      </c>
      <c r="N51">
        <f>IF(AND(SUM(VLOOKUP($A51,test!$A$3:$F$32,2,FALSE),VLOOKUP(N$1,test!$A$3:$F$32,2,FALSE))&lt;test!$K$16,$A51&lt;&gt;N$1,Recharged_Feasible_mat!O20=1),(VLOOKUP(N$1,test!$A$3:$I$32,8,FALSE))-(VLOOKUP($A51,test!$A$3:$I$32,9,FALSE))-test!$B$33,0)</f>
        <v>150</v>
      </c>
      <c r="O51">
        <f>IF(AND(SUM(VLOOKUP($A51,test!$A$3:$F$32,2,FALSE),VLOOKUP(O$1,test!$A$3:$F$32,2,FALSE))&lt;test!$K$16,$A51&lt;&gt;O$1,Recharged_Feasible_mat!P20=1),(VLOOKUP(O$1,test!$A$3:$I$32,8,FALSE))-(VLOOKUP($A51,test!$A$3:$I$32,9,FALSE))-test!$B$33,0)</f>
        <v>210</v>
      </c>
      <c r="P51">
        <f>IF(AND(SUM(VLOOKUP($A51,test!$A$3:$F$32,2,FALSE),VLOOKUP(P$1,test!$A$3:$F$32,2,FALSE))&lt;test!$K$16,$A51&lt;&gt;P$1,Recharged_Feasible_mat!Q20=1),(VLOOKUP(P$1,test!$A$3:$I$32,8,FALSE))-(VLOOKUP($A51,test!$A$3:$I$32,9,FALSE))-test!$B$33,0)</f>
        <v>0</v>
      </c>
      <c r="Q51">
        <f>IF(AND(SUM(VLOOKUP($A51,test!$A$3:$F$32,2,FALSE),VLOOKUP(Q$1,test!$A$3:$F$32,2,FALSE))&lt;test!$K$16,$A51&lt;&gt;Q$1,Recharged_Feasible_mat!R20=1),(VLOOKUP(Q$1,test!$A$3:$I$32,8,FALSE))-(VLOOKUP($A51,test!$A$3:$I$32,9,FALSE))-test!$B$33,0)</f>
        <v>0</v>
      </c>
      <c r="R51">
        <f>IF(AND(SUM(VLOOKUP($A51,test!$A$3:$F$32,2,FALSE),VLOOKUP(R$1,test!$A$3:$F$32,2,FALSE))&lt;test!$K$16,$A51&lt;&gt;R$1,Recharged_Feasible_mat!S20=1),(VLOOKUP(R$1,test!$A$3:$I$32,8,FALSE))-(VLOOKUP($A51,test!$A$3:$I$32,9,FALSE))-test!$B$33,0)</f>
        <v>0</v>
      </c>
      <c r="S51">
        <f>IF(AND(SUM(VLOOKUP($A51,test!$A$3:$F$32,2,FALSE),VLOOKUP(S$1,test!$A$3:$F$32,2,FALSE))&lt;test!$K$16,$A51&lt;&gt;S$1,Recharged_Feasible_mat!T20=1),(VLOOKUP(S$1,test!$A$3:$I$32,8,FALSE))-(VLOOKUP($A51,test!$A$3:$I$32,9,FALSE))-test!$B$33,0)</f>
        <v>0</v>
      </c>
      <c r="T51">
        <f>IF(AND(SUM(VLOOKUP($A51,test!$A$3:$F$32,2,FALSE),VLOOKUP(T$1,test!$A$3:$F$32,2,FALSE))&lt;test!$K$16,$A51&lt;&gt;T$1,Recharged_Feasible_mat!U20=1),(VLOOKUP(T$1,test!$A$3:$I$32,8,FALSE))-(VLOOKUP($A51,test!$A$3:$I$32,9,FALSE))-test!$B$33,0)</f>
        <v>0</v>
      </c>
      <c r="U51">
        <f>IF(AND(SUM(VLOOKUP($A51,test!$A$3:$F$32,2,FALSE),VLOOKUP(U$1,test!$A$3:$F$32,2,FALSE))&lt;test!$K$16,$A51&lt;&gt;U$1,Recharged_Feasible_mat!V20=1),(VLOOKUP(U$1,test!$A$3:$I$32,8,FALSE))-(VLOOKUP($A51,test!$A$3:$I$32,9,FALSE))-test!$B$33,0)</f>
        <v>0</v>
      </c>
      <c r="V51">
        <f>IF(AND(SUM(VLOOKUP($A51,test!$A$3:$F$32,2,FALSE),VLOOKUP(V$1,test!$A$3:$F$32,2,FALSE))&lt;test!$K$16,$A51&lt;&gt;V$1,Recharged_Feasible_mat!W20=1),(VLOOKUP(V$1,test!$A$3:$I$32,8,FALSE))-(VLOOKUP($A51,test!$A$3:$I$32,9,FALSE))-test!$B$33,0)</f>
        <v>0</v>
      </c>
      <c r="W51">
        <f>IF(AND(SUM(VLOOKUP($A51,test!$A$3:$F$32,2,FALSE),VLOOKUP(W$1,test!$A$3:$F$32,2,FALSE))&lt;test!$K$16,$A51&lt;&gt;W$1,Recharged_Feasible_mat!X20=1),(VLOOKUP(W$1,test!$A$3:$I$32,8,FALSE))-(VLOOKUP($A51,test!$A$3:$I$32,9,FALSE))-test!$B$33,0)</f>
        <v>75</v>
      </c>
      <c r="X51">
        <f>IF(AND(SUM(VLOOKUP($A51,test!$A$3:$F$32,2,FALSE),VLOOKUP(X$1,test!$A$3:$F$32,2,FALSE))&lt;test!$K$16,$A51&lt;&gt;X$1,Recharged_Feasible_mat!Y20=1),(VLOOKUP(X$1,test!$A$3:$I$32,8,FALSE))-(VLOOKUP($A51,test!$A$3:$I$32,9,FALSE))-test!$B$33,0)</f>
        <v>135</v>
      </c>
      <c r="Y51">
        <f>IF(AND(SUM(VLOOKUP($A51,test!$A$3:$F$32,2,FALSE),VLOOKUP(Y$1,test!$A$3:$F$32,2,FALSE))&lt;test!$K$16,$A51&lt;&gt;Y$1,Recharged_Feasible_mat!Z20=1),(VLOOKUP(Y$1,test!$A$3:$I$32,8,FALSE))-(VLOOKUP($A51,test!$A$3:$I$32,9,FALSE))-test!$B$33,0)</f>
        <v>0</v>
      </c>
      <c r="Z51">
        <f>IF(AND(SUM(VLOOKUP($A51,test!$A$3:$F$32,2,FALSE),VLOOKUP(Z$1,test!$A$3:$F$32,2,FALSE))&lt;test!$K$16,$A51&lt;&gt;Z$1,Recharged_Feasible_mat!AA20=1),(VLOOKUP(Z$1,test!$A$3:$I$32,8,FALSE))-(VLOOKUP($A51,test!$A$3:$I$32,9,FALSE))-test!$B$33,0)</f>
        <v>0</v>
      </c>
      <c r="AA51">
        <f>IF(AND(SUM(VLOOKUP($A51,test!$A$3:$F$32,2,FALSE),VLOOKUP(AA$1,test!$A$3:$F$32,2,FALSE))&lt;test!$K$16,$A51&lt;&gt;AA$1,Recharged_Feasible_mat!AB20=1),(VLOOKUP(AA$1,test!$A$3:$I$32,8,FALSE))-(VLOOKUP($A51,test!$A$3:$I$32,9,FALSE))-test!$B$33,0)</f>
        <v>0</v>
      </c>
      <c r="AB51">
        <f>IF(AND(SUM(VLOOKUP($A51,test!$A$3:$F$32,2,FALSE),VLOOKUP(AB$1,test!$A$3:$F$32,2,FALSE))&lt;test!$K$16,$A51&lt;&gt;AB$1,Recharged_Feasible_mat!AC20=1),(VLOOKUP(AB$1,test!$A$3:$I$32,8,FALSE))-(VLOOKUP($A51,test!$A$3:$I$32,9,FALSE))-test!$B$33,0)</f>
        <v>0</v>
      </c>
      <c r="AC51">
        <f>IF(AND(SUM(VLOOKUP($A51,test!$A$3:$F$32,2,FALSE),VLOOKUP(AC$1,test!$A$3:$F$32,2,FALSE))&lt;test!$K$16,$A51&lt;&gt;AC$1,Recharged_Feasible_mat!AD20=1),(VLOOKUP(AC$1,test!$A$3:$I$32,8,FALSE))-(VLOOKUP($A51,test!$A$3:$I$32,9,FALSE))-test!$B$33,0)</f>
        <v>35</v>
      </c>
      <c r="AD51">
        <f>IF(AND(SUM(VLOOKUP($A51,test!$A$3:$F$32,2,FALSE),VLOOKUP(AD$1,test!$A$3:$F$32,2,FALSE))&lt;test!$K$16,$A51&lt;&gt;AD$1,Recharged_Feasible_mat!AE20=1),(VLOOKUP(AD$1,test!$A$3:$I$32,8,FALSE))-(VLOOKUP($A51,test!$A$3:$I$32,9,FALSE))-test!$B$33,0)</f>
        <v>0</v>
      </c>
      <c r="AE51">
        <f>IF(AND(SUM(VLOOKUP($A51,test!$A$3:$F$32,2,FALSE),VLOOKUP(AE$1,test!$A$3:$F$32,2,FALSE))&lt;test!$K$16,$A51&lt;&gt;AE$1,Recharged_Feasible_mat!AF20=1),(VLOOKUP(AE$1,test!$A$3:$I$32,8,FALSE))-(VLOOKUP($A51,test!$A$3:$I$32,9,FALSE))-test!$B$33,0)</f>
        <v>0</v>
      </c>
      <c r="AF51">
        <f>IF(AND(SUM(VLOOKUP($A51,test!$A$3:$F$32,2,FALSE),VLOOKUP(AF$1,test!$A$3:$F$32,2,FALSE))&lt;test!$K$16,$A51&lt;&gt;AF$1,Recharged_Feasible_mat!AG20=1),(VLOOKUP(AF$1,test!$A$3:$I$32,8,FALSE))-(VLOOKUP($A51,test!$A$3:$I$32,9,FALSE))-test!$B$33,0)</f>
        <v>0</v>
      </c>
    </row>
    <row r="52" spans="1:32" x14ac:dyDescent="0.25">
      <c r="A52" t="s">
        <v>30</v>
      </c>
      <c r="B52">
        <v>0</v>
      </c>
      <c r="C52">
        <f>IF(AND(SUM(VLOOKUP($A52,test!$A$3:$F$32,2,FALSE),VLOOKUP(C$1,test!$A$3:$F$32,2,FALSE))&lt;test!$K$16,$A52&lt;&gt;C$1,Recharged_Feasible_mat!D21=1),(VLOOKUP(C$1,test!$A$3:$I$32,8,FALSE))-(VLOOKUP($A52,test!$A$3:$I$32,9,FALSE))-test!$B$33,0)</f>
        <v>0</v>
      </c>
      <c r="D52">
        <f>IF(AND(SUM(VLOOKUP($A52,test!$A$3:$F$32,2,FALSE),VLOOKUP(D$1,test!$A$3:$F$32,2,FALSE))&lt;test!$K$16,$A52&lt;&gt;D$1,Recharged_Feasible_mat!E21=1),(VLOOKUP(D$1,test!$A$3:$I$32,8,FALSE))-(VLOOKUP($A52,test!$A$3:$I$32,9,FALSE))-test!$B$33,0)</f>
        <v>0</v>
      </c>
      <c r="E52">
        <f>IF(AND(SUM(VLOOKUP($A52,test!$A$3:$F$32,2,FALSE),VLOOKUP(E$1,test!$A$3:$F$32,2,FALSE))&lt;test!$K$16,$A52&lt;&gt;E$1,Recharged_Feasible_mat!F21=1),(VLOOKUP(E$1,test!$A$3:$I$32,8,FALSE))-(VLOOKUP($A52,test!$A$3:$I$32,9,FALSE))-test!$B$33,0)</f>
        <v>0</v>
      </c>
      <c r="F52">
        <f>IF(AND(SUM(VLOOKUP($A52,test!$A$3:$F$32,2,FALSE),VLOOKUP(F$1,test!$A$3:$F$32,2,FALSE))&lt;test!$K$16,$A52&lt;&gt;F$1,Recharged_Feasible_mat!G21=1),(VLOOKUP(F$1,test!$A$3:$I$32,8,FALSE))-(VLOOKUP($A52,test!$A$3:$I$32,9,FALSE))-test!$B$33,0)</f>
        <v>0</v>
      </c>
      <c r="G52">
        <f>IF(AND(SUM(VLOOKUP($A52,test!$A$3:$F$32,2,FALSE),VLOOKUP(G$1,test!$A$3:$F$32,2,FALSE))&lt;test!$K$16,$A52&lt;&gt;G$1,Recharged_Feasible_mat!H21=1),(VLOOKUP(G$1,test!$A$3:$I$32,8,FALSE))-(VLOOKUP($A52,test!$A$3:$I$32,9,FALSE))-test!$B$33,0)</f>
        <v>0</v>
      </c>
      <c r="H52">
        <f>IF(AND(SUM(VLOOKUP($A52,test!$A$3:$F$32,2,FALSE),VLOOKUP(H$1,test!$A$3:$F$32,2,FALSE))&lt;test!$K$16,$A52&lt;&gt;H$1,Recharged_Feasible_mat!I21=1),(VLOOKUP(H$1,test!$A$3:$I$32,8,FALSE))-(VLOOKUP($A52,test!$A$3:$I$32,9,FALSE))-test!$B$33,0)</f>
        <v>0</v>
      </c>
      <c r="I52">
        <f>IF(AND(SUM(VLOOKUP($A52,test!$A$3:$F$32,2,FALSE),VLOOKUP(I$1,test!$A$3:$F$32,2,FALSE))&lt;test!$K$16,$A52&lt;&gt;I$1,Recharged_Feasible_mat!J21=1),(VLOOKUP(I$1,test!$A$3:$I$32,8,FALSE))-(VLOOKUP($A52,test!$A$3:$I$32,9,FALSE))-test!$B$33,0)</f>
        <v>5</v>
      </c>
      <c r="J52">
        <f>IF(AND(SUM(VLOOKUP($A52,test!$A$3:$F$32,2,FALSE),VLOOKUP(J$1,test!$A$3:$F$32,2,FALSE))&lt;test!$K$16,$A52&lt;&gt;J$1,Recharged_Feasible_mat!K21=1),(VLOOKUP(J$1,test!$A$3:$I$32,8,FALSE))-(VLOOKUP($A52,test!$A$3:$I$32,9,FALSE))-test!$B$33,0)</f>
        <v>95</v>
      </c>
      <c r="K52">
        <f>IF(AND(SUM(VLOOKUP($A52,test!$A$3:$F$32,2,FALSE),VLOOKUP(K$1,test!$A$3:$F$32,2,FALSE))&lt;test!$K$16,$A52&lt;&gt;K$1,Recharged_Feasible_mat!L21=1),(VLOOKUP(K$1,test!$A$3:$I$32,8,FALSE))-(VLOOKUP($A52,test!$A$3:$I$32,9,FALSE))-test!$B$33,0)</f>
        <v>0</v>
      </c>
      <c r="L52">
        <f>IF(AND(SUM(VLOOKUP($A52,test!$A$3:$F$32,2,FALSE),VLOOKUP(L$1,test!$A$3:$F$32,2,FALSE))&lt;test!$K$16,$A52&lt;&gt;L$1,Recharged_Feasible_mat!M21=1),(VLOOKUP(L$1,test!$A$3:$I$32,8,FALSE))-(VLOOKUP($A52,test!$A$3:$I$32,9,FALSE))-test!$B$33,0)</f>
        <v>0</v>
      </c>
      <c r="M52">
        <f>IF(AND(SUM(VLOOKUP($A52,test!$A$3:$F$32,2,FALSE),VLOOKUP(M$1,test!$A$3:$F$32,2,FALSE))&lt;test!$K$16,$A52&lt;&gt;M$1,Recharged_Feasible_mat!N21=1),(VLOOKUP(M$1,test!$A$3:$I$32,8,FALSE))-(VLOOKUP($A52,test!$A$3:$I$32,9,FALSE))-test!$B$33,0)</f>
        <v>0</v>
      </c>
      <c r="N52">
        <f>IF(AND(SUM(VLOOKUP($A52,test!$A$3:$F$32,2,FALSE),VLOOKUP(N$1,test!$A$3:$F$32,2,FALSE))&lt;test!$K$16,$A52&lt;&gt;N$1,Recharged_Feasible_mat!O21=1),(VLOOKUP(N$1,test!$A$3:$I$32,8,FALSE))-(VLOOKUP($A52,test!$A$3:$I$32,9,FALSE))-test!$B$33,0)</f>
        <v>60</v>
      </c>
      <c r="O52">
        <f>IF(AND(SUM(VLOOKUP($A52,test!$A$3:$F$32,2,FALSE),VLOOKUP(O$1,test!$A$3:$F$32,2,FALSE))&lt;test!$K$16,$A52&lt;&gt;O$1,Recharged_Feasible_mat!P21=1),(VLOOKUP(O$1,test!$A$3:$I$32,8,FALSE))-(VLOOKUP($A52,test!$A$3:$I$32,9,FALSE))-test!$B$33,0)</f>
        <v>120</v>
      </c>
      <c r="P52">
        <f>IF(AND(SUM(VLOOKUP($A52,test!$A$3:$F$32,2,FALSE),VLOOKUP(P$1,test!$A$3:$F$32,2,FALSE))&lt;test!$K$16,$A52&lt;&gt;P$1,Recharged_Feasible_mat!Q21=1),(VLOOKUP(P$1,test!$A$3:$I$32,8,FALSE))-(VLOOKUP($A52,test!$A$3:$I$32,9,FALSE))-test!$B$33,0)</f>
        <v>0</v>
      </c>
      <c r="Q52">
        <f>IF(AND(SUM(VLOOKUP($A52,test!$A$3:$F$32,2,FALSE),VLOOKUP(Q$1,test!$A$3:$F$32,2,FALSE))&lt;test!$K$16,$A52&lt;&gt;Q$1,Recharged_Feasible_mat!R21=1),(VLOOKUP(Q$1,test!$A$3:$I$32,8,FALSE))-(VLOOKUP($A52,test!$A$3:$I$32,9,FALSE))-test!$B$33,0)</f>
        <v>0</v>
      </c>
      <c r="R52">
        <f>IF(AND(SUM(VLOOKUP($A52,test!$A$3:$F$32,2,FALSE),VLOOKUP(R$1,test!$A$3:$F$32,2,FALSE))&lt;test!$K$16,$A52&lt;&gt;R$1,Recharged_Feasible_mat!S21=1),(VLOOKUP(R$1,test!$A$3:$I$32,8,FALSE))-(VLOOKUP($A52,test!$A$3:$I$32,9,FALSE))-test!$B$33,0)</f>
        <v>0</v>
      </c>
      <c r="S52">
        <f>IF(AND(SUM(VLOOKUP($A52,test!$A$3:$F$32,2,FALSE),VLOOKUP(S$1,test!$A$3:$F$32,2,FALSE))&lt;test!$K$16,$A52&lt;&gt;S$1,Recharged_Feasible_mat!T21=1),(VLOOKUP(S$1,test!$A$3:$I$32,8,FALSE))-(VLOOKUP($A52,test!$A$3:$I$32,9,FALSE))-test!$B$33,0)</f>
        <v>0</v>
      </c>
      <c r="T52">
        <f>IF(AND(SUM(VLOOKUP($A52,test!$A$3:$F$32,2,FALSE),VLOOKUP(T$1,test!$A$3:$F$32,2,FALSE))&lt;test!$K$16,$A52&lt;&gt;T$1,Recharged_Feasible_mat!U21=1),(VLOOKUP(T$1,test!$A$3:$I$32,8,FALSE))-(VLOOKUP($A52,test!$A$3:$I$32,9,FALSE))-test!$B$33,0)</f>
        <v>0</v>
      </c>
      <c r="U52">
        <f>IF(AND(SUM(VLOOKUP($A52,test!$A$3:$F$32,2,FALSE),VLOOKUP(U$1,test!$A$3:$F$32,2,FALSE))&lt;test!$K$16,$A52&lt;&gt;U$1,Recharged_Feasible_mat!V21=1),(VLOOKUP(U$1,test!$A$3:$I$32,8,FALSE))-(VLOOKUP($A52,test!$A$3:$I$32,9,FALSE))-test!$B$33,0)</f>
        <v>0</v>
      </c>
      <c r="V52">
        <f>IF(AND(SUM(VLOOKUP($A52,test!$A$3:$F$32,2,FALSE),VLOOKUP(V$1,test!$A$3:$F$32,2,FALSE))&lt;test!$K$16,$A52&lt;&gt;V$1,Recharged_Feasible_mat!W21=1),(VLOOKUP(V$1,test!$A$3:$I$32,8,FALSE))-(VLOOKUP($A52,test!$A$3:$I$32,9,FALSE))-test!$B$33,0)</f>
        <v>0</v>
      </c>
      <c r="W52">
        <f>IF(AND(SUM(VLOOKUP($A52,test!$A$3:$F$32,2,FALSE),VLOOKUP(W$1,test!$A$3:$F$32,2,FALSE))&lt;test!$K$16,$A52&lt;&gt;W$1,Recharged_Feasible_mat!X21=1),(VLOOKUP(W$1,test!$A$3:$I$32,8,FALSE))-(VLOOKUP($A52,test!$A$3:$I$32,9,FALSE))-test!$B$33,0)</f>
        <v>0</v>
      </c>
      <c r="X52">
        <f>IF(AND(SUM(VLOOKUP($A52,test!$A$3:$F$32,2,FALSE),VLOOKUP(X$1,test!$A$3:$F$32,2,FALSE))&lt;test!$K$16,$A52&lt;&gt;X$1,Recharged_Feasible_mat!Y21=1),(VLOOKUP(X$1,test!$A$3:$I$32,8,FALSE))-(VLOOKUP($A52,test!$A$3:$I$32,9,FALSE))-test!$B$33,0)</f>
        <v>45</v>
      </c>
      <c r="Y52">
        <f>IF(AND(SUM(VLOOKUP($A52,test!$A$3:$F$32,2,FALSE),VLOOKUP(Y$1,test!$A$3:$F$32,2,FALSE))&lt;test!$K$16,$A52&lt;&gt;Y$1,Recharged_Feasible_mat!Z21=1),(VLOOKUP(Y$1,test!$A$3:$I$32,8,FALSE))-(VLOOKUP($A52,test!$A$3:$I$32,9,FALSE))-test!$B$33,0)</f>
        <v>0</v>
      </c>
      <c r="Z52">
        <f>IF(AND(SUM(VLOOKUP($A52,test!$A$3:$F$32,2,FALSE),VLOOKUP(Z$1,test!$A$3:$F$32,2,FALSE))&lt;test!$K$16,$A52&lt;&gt;Z$1,Recharged_Feasible_mat!AA21=1),(VLOOKUP(Z$1,test!$A$3:$I$32,8,FALSE))-(VLOOKUP($A52,test!$A$3:$I$32,9,FALSE))-test!$B$33,0)</f>
        <v>0</v>
      </c>
      <c r="AA52">
        <f>IF(AND(SUM(VLOOKUP($A52,test!$A$3:$F$32,2,FALSE),VLOOKUP(AA$1,test!$A$3:$F$32,2,FALSE))&lt;test!$K$16,$A52&lt;&gt;AA$1,Recharged_Feasible_mat!AB21=1),(VLOOKUP(AA$1,test!$A$3:$I$32,8,FALSE))-(VLOOKUP($A52,test!$A$3:$I$32,9,FALSE))-test!$B$33,0)</f>
        <v>0</v>
      </c>
      <c r="AB52">
        <f>IF(AND(SUM(VLOOKUP($A52,test!$A$3:$F$32,2,FALSE),VLOOKUP(AB$1,test!$A$3:$F$32,2,FALSE))&lt;test!$K$16,$A52&lt;&gt;AB$1,Recharged_Feasible_mat!AC21=1),(VLOOKUP(AB$1,test!$A$3:$I$32,8,FALSE))-(VLOOKUP($A52,test!$A$3:$I$32,9,FALSE))-test!$B$33,0)</f>
        <v>0</v>
      </c>
      <c r="AC52">
        <f>IF(AND(SUM(VLOOKUP($A52,test!$A$3:$F$32,2,FALSE),VLOOKUP(AC$1,test!$A$3:$F$32,2,FALSE))&lt;test!$K$16,$A52&lt;&gt;AC$1,Recharged_Feasible_mat!AD21=1),(VLOOKUP(AC$1,test!$A$3:$I$32,8,FALSE))-(VLOOKUP($A52,test!$A$3:$I$32,9,FALSE))-test!$B$33,0)</f>
        <v>0</v>
      </c>
      <c r="AD52">
        <f>IF(AND(SUM(VLOOKUP($A52,test!$A$3:$F$32,2,FALSE),VLOOKUP(AD$1,test!$A$3:$F$32,2,FALSE))&lt;test!$K$16,$A52&lt;&gt;AD$1,Recharged_Feasible_mat!AE21=1),(VLOOKUP(AD$1,test!$A$3:$I$32,8,FALSE))-(VLOOKUP($A52,test!$A$3:$I$32,9,FALSE))-test!$B$33,0)</f>
        <v>0</v>
      </c>
      <c r="AE52">
        <f>IF(AND(SUM(VLOOKUP($A52,test!$A$3:$F$32,2,FALSE),VLOOKUP(AE$1,test!$A$3:$F$32,2,FALSE))&lt;test!$K$16,$A52&lt;&gt;AE$1,Recharged_Feasible_mat!AF21=1),(VLOOKUP(AE$1,test!$A$3:$I$32,8,FALSE))-(VLOOKUP($A52,test!$A$3:$I$32,9,FALSE))-test!$B$33,0)</f>
        <v>0</v>
      </c>
      <c r="AF52">
        <f>IF(AND(SUM(VLOOKUP($A52,test!$A$3:$F$32,2,FALSE),VLOOKUP(AF$1,test!$A$3:$F$32,2,FALSE))&lt;test!$K$16,$A52&lt;&gt;AF$1,Recharged_Feasible_mat!AG21=1),(VLOOKUP(AF$1,test!$A$3:$I$32,8,FALSE))-(VLOOKUP($A52,test!$A$3:$I$32,9,FALSE))-test!$B$33,0)</f>
        <v>0</v>
      </c>
    </row>
    <row r="53" spans="1:32" x14ac:dyDescent="0.25">
      <c r="A53" t="s">
        <v>31</v>
      </c>
      <c r="B53">
        <v>0</v>
      </c>
      <c r="C53">
        <f>IF(AND(SUM(VLOOKUP($A53,test!$A$3:$F$32,2,FALSE),VLOOKUP(C$1,test!$A$3:$F$32,2,FALSE))&lt;test!$K$16,$A53&lt;&gt;C$1,Recharged_Feasible_mat!D22=1),(VLOOKUP(C$1,test!$A$3:$I$32,8,FALSE))-(VLOOKUP($A53,test!$A$3:$I$32,9,FALSE))-test!$B$33,0)</f>
        <v>0</v>
      </c>
      <c r="D53">
        <f>IF(AND(SUM(VLOOKUP($A53,test!$A$3:$F$32,2,FALSE),VLOOKUP(D$1,test!$A$3:$F$32,2,FALSE))&lt;test!$K$16,$A53&lt;&gt;D$1,Recharged_Feasible_mat!E22=1),(VLOOKUP(D$1,test!$A$3:$I$32,8,FALSE))-(VLOOKUP($A53,test!$A$3:$I$32,9,FALSE))-test!$B$33,0)</f>
        <v>0</v>
      </c>
      <c r="E53">
        <f>IF(AND(SUM(VLOOKUP($A53,test!$A$3:$F$32,2,FALSE),VLOOKUP(E$1,test!$A$3:$F$32,2,FALSE))&lt;test!$K$16,$A53&lt;&gt;E$1,Recharged_Feasible_mat!F22=1),(VLOOKUP(E$1,test!$A$3:$I$32,8,FALSE))-(VLOOKUP($A53,test!$A$3:$I$32,9,FALSE))-test!$B$33,0)</f>
        <v>0</v>
      </c>
      <c r="F53">
        <f>IF(AND(SUM(VLOOKUP($A53,test!$A$3:$F$32,2,FALSE),VLOOKUP(F$1,test!$A$3:$F$32,2,FALSE))&lt;test!$K$16,$A53&lt;&gt;F$1,Recharged_Feasible_mat!G22=1),(VLOOKUP(F$1,test!$A$3:$I$32,8,FALSE))-(VLOOKUP($A53,test!$A$3:$I$32,9,FALSE))-test!$B$33,0)</f>
        <v>0</v>
      </c>
      <c r="G53">
        <f>IF(AND(SUM(VLOOKUP($A53,test!$A$3:$F$32,2,FALSE),VLOOKUP(G$1,test!$A$3:$F$32,2,FALSE))&lt;test!$K$16,$A53&lt;&gt;G$1,Recharged_Feasible_mat!H22=1),(VLOOKUP(G$1,test!$A$3:$I$32,8,FALSE))-(VLOOKUP($A53,test!$A$3:$I$32,9,FALSE))-test!$B$33,0)</f>
        <v>0</v>
      </c>
      <c r="H53">
        <f>IF(AND(SUM(VLOOKUP($A53,test!$A$3:$F$32,2,FALSE),VLOOKUP(H$1,test!$A$3:$F$32,2,FALSE))&lt;test!$K$16,$A53&lt;&gt;H$1,Recharged_Feasible_mat!I22=1),(VLOOKUP(H$1,test!$A$3:$I$32,8,FALSE))-(VLOOKUP($A53,test!$A$3:$I$32,9,FALSE))-test!$B$33,0)</f>
        <v>0</v>
      </c>
      <c r="I53">
        <f>IF(AND(SUM(VLOOKUP($A53,test!$A$3:$F$32,2,FALSE),VLOOKUP(I$1,test!$A$3:$F$32,2,FALSE))&lt;test!$K$16,$A53&lt;&gt;I$1,Recharged_Feasible_mat!J22=1),(VLOOKUP(I$1,test!$A$3:$I$32,8,FALSE))-(VLOOKUP($A53,test!$A$3:$I$32,9,FALSE))-test!$B$33,0)</f>
        <v>0</v>
      </c>
      <c r="J53">
        <f>IF(AND(SUM(VLOOKUP($A53,test!$A$3:$F$32,2,FALSE),VLOOKUP(J$1,test!$A$3:$F$32,2,FALSE))&lt;test!$K$16,$A53&lt;&gt;J$1,Recharged_Feasible_mat!K22=1),(VLOOKUP(J$1,test!$A$3:$I$32,8,FALSE))-(VLOOKUP($A53,test!$A$3:$I$32,9,FALSE))-test!$B$33,0)</f>
        <v>5</v>
      </c>
      <c r="K53">
        <f>IF(AND(SUM(VLOOKUP($A53,test!$A$3:$F$32,2,FALSE),VLOOKUP(K$1,test!$A$3:$F$32,2,FALSE))&lt;test!$K$16,$A53&lt;&gt;K$1,Recharged_Feasible_mat!L22=1),(VLOOKUP(K$1,test!$A$3:$I$32,8,FALSE))-(VLOOKUP($A53,test!$A$3:$I$32,9,FALSE))-test!$B$33,0)</f>
        <v>0</v>
      </c>
      <c r="L53">
        <f>IF(AND(SUM(VLOOKUP($A53,test!$A$3:$F$32,2,FALSE),VLOOKUP(L$1,test!$A$3:$F$32,2,FALSE))&lt;test!$K$16,$A53&lt;&gt;L$1,Recharged_Feasible_mat!M22=1),(VLOOKUP(L$1,test!$A$3:$I$32,8,FALSE))-(VLOOKUP($A53,test!$A$3:$I$32,9,FALSE))-test!$B$33,0)</f>
        <v>0</v>
      </c>
      <c r="M53">
        <f>IF(AND(SUM(VLOOKUP($A53,test!$A$3:$F$32,2,FALSE),VLOOKUP(M$1,test!$A$3:$F$32,2,FALSE))&lt;test!$K$16,$A53&lt;&gt;M$1,Recharged_Feasible_mat!N22=1),(VLOOKUP(M$1,test!$A$3:$I$32,8,FALSE))-(VLOOKUP($A53,test!$A$3:$I$32,9,FALSE))-test!$B$33,0)</f>
        <v>0</v>
      </c>
      <c r="N53">
        <f>IF(AND(SUM(VLOOKUP($A53,test!$A$3:$F$32,2,FALSE),VLOOKUP(N$1,test!$A$3:$F$32,2,FALSE))&lt;test!$K$16,$A53&lt;&gt;N$1,Recharged_Feasible_mat!O22=1),(VLOOKUP(N$1,test!$A$3:$I$32,8,FALSE))-(VLOOKUP($A53,test!$A$3:$I$32,9,FALSE))-test!$B$33,0)</f>
        <v>0</v>
      </c>
      <c r="O53">
        <f>IF(AND(SUM(VLOOKUP($A53,test!$A$3:$F$32,2,FALSE),VLOOKUP(O$1,test!$A$3:$F$32,2,FALSE))&lt;test!$K$16,$A53&lt;&gt;O$1,Recharged_Feasible_mat!P22=1),(VLOOKUP(O$1,test!$A$3:$I$32,8,FALSE))-(VLOOKUP($A53,test!$A$3:$I$32,9,FALSE))-test!$B$33,0)</f>
        <v>30</v>
      </c>
      <c r="P53">
        <f>IF(AND(SUM(VLOOKUP($A53,test!$A$3:$F$32,2,FALSE),VLOOKUP(P$1,test!$A$3:$F$32,2,FALSE))&lt;test!$K$16,$A53&lt;&gt;P$1,Recharged_Feasible_mat!Q22=1),(VLOOKUP(P$1,test!$A$3:$I$32,8,FALSE))-(VLOOKUP($A53,test!$A$3:$I$32,9,FALSE))-test!$B$33,0)</f>
        <v>0</v>
      </c>
      <c r="Q53">
        <f>IF(AND(SUM(VLOOKUP($A53,test!$A$3:$F$32,2,FALSE),VLOOKUP(Q$1,test!$A$3:$F$32,2,FALSE))&lt;test!$K$16,$A53&lt;&gt;Q$1,Recharged_Feasible_mat!R22=1),(VLOOKUP(Q$1,test!$A$3:$I$32,8,FALSE))-(VLOOKUP($A53,test!$A$3:$I$32,9,FALSE))-test!$B$33,0)</f>
        <v>0</v>
      </c>
      <c r="R53">
        <f>IF(AND(SUM(VLOOKUP($A53,test!$A$3:$F$32,2,FALSE),VLOOKUP(R$1,test!$A$3:$F$32,2,FALSE))&lt;test!$K$16,$A53&lt;&gt;R$1,Recharged_Feasible_mat!S22=1),(VLOOKUP(R$1,test!$A$3:$I$32,8,FALSE))-(VLOOKUP($A53,test!$A$3:$I$32,9,FALSE))-test!$B$33,0)</f>
        <v>0</v>
      </c>
      <c r="S53">
        <f>IF(AND(SUM(VLOOKUP($A53,test!$A$3:$F$32,2,FALSE),VLOOKUP(S$1,test!$A$3:$F$32,2,FALSE))&lt;test!$K$16,$A53&lt;&gt;S$1,Recharged_Feasible_mat!T22=1),(VLOOKUP(S$1,test!$A$3:$I$32,8,FALSE))-(VLOOKUP($A53,test!$A$3:$I$32,9,FALSE))-test!$B$33,0)</f>
        <v>0</v>
      </c>
      <c r="T53">
        <f>IF(AND(SUM(VLOOKUP($A53,test!$A$3:$F$32,2,FALSE),VLOOKUP(T$1,test!$A$3:$F$32,2,FALSE))&lt;test!$K$16,$A53&lt;&gt;T$1,Recharged_Feasible_mat!U22=1),(VLOOKUP(T$1,test!$A$3:$I$32,8,FALSE))-(VLOOKUP($A53,test!$A$3:$I$32,9,FALSE))-test!$B$33,0)</f>
        <v>0</v>
      </c>
      <c r="U53">
        <f>IF(AND(SUM(VLOOKUP($A53,test!$A$3:$F$32,2,FALSE),VLOOKUP(U$1,test!$A$3:$F$32,2,FALSE))&lt;test!$K$16,$A53&lt;&gt;U$1,Recharged_Feasible_mat!V22=1),(VLOOKUP(U$1,test!$A$3:$I$32,8,FALSE))-(VLOOKUP($A53,test!$A$3:$I$32,9,FALSE))-test!$B$33,0)</f>
        <v>0</v>
      </c>
      <c r="V53">
        <f>IF(AND(SUM(VLOOKUP($A53,test!$A$3:$F$32,2,FALSE),VLOOKUP(V$1,test!$A$3:$F$32,2,FALSE))&lt;test!$K$16,$A53&lt;&gt;V$1,Recharged_Feasible_mat!W22=1),(VLOOKUP(V$1,test!$A$3:$I$32,8,FALSE))-(VLOOKUP($A53,test!$A$3:$I$32,9,FALSE))-test!$B$33,0)</f>
        <v>0</v>
      </c>
      <c r="W53">
        <f>IF(AND(SUM(VLOOKUP($A53,test!$A$3:$F$32,2,FALSE),VLOOKUP(W$1,test!$A$3:$F$32,2,FALSE))&lt;test!$K$16,$A53&lt;&gt;W$1,Recharged_Feasible_mat!X22=1),(VLOOKUP(W$1,test!$A$3:$I$32,8,FALSE))-(VLOOKUP($A53,test!$A$3:$I$32,9,FALSE))-test!$B$33,0)</f>
        <v>0</v>
      </c>
      <c r="X53">
        <f>IF(AND(SUM(VLOOKUP($A53,test!$A$3:$F$32,2,FALSE),VLOOKUP(X$1,test!$A$3:$F$32,2,FALSE))&lt;test!$K$16,$A53&lt;&gt;X$1,Recharged_Feasible_mat!Y22=1),(VLOOKUP(X$1,test!$A$3:$I$32,8,FALSE))-(VLOOKUP($A53,test!$A$3:$I$32,9,FALSE))-test!$B$33,0)</f>
        <v>0</v>
      </c>
      <c r="Y53">
        <f>IF(AND(SUM(VLOOKUP($A53,test!$A$3:$F$32,2,FALSE),VLOOKUP(Y$1,test!$A$3:$F$32,2,FALSE))&lt;test!$K$16,$A53&lt;&gt;Y$1,Recharged_Feasible_mat!Z22=1),(VLOOKUP(Y$1,test!$A$3:$I$32,8,FALSE))-(VLOOKUP($A53,test!$A$3:$I$32,9,FALSE))-test!$B$33,0)</f>
        <v>0</v>
      </c>
      <c r="Z53">
        <f>IF(AND(SUM(VLOOKUP($A53,test!$A$3:$F$32,2,FALSE),VLOOKUP(Z$1,test!$A$3:$F$32,2,FALSE))&lt;test!$K$16,$A53&lt;&gt;Z$1,Recharged_Feasible_mat!AA22=1),(VLOOKUP(Z$1,test!$A$3:$I$32,8,FALSE))-(VLOOKUP($A53,test!$A$3:$I$32,9,FALSE))-test!$B$33,0)</f>
        <v>0</v>
      </c>
      <c r="AA53">
        <f>IF(AND(SUM(VLOOKUP($A53,test!$A$3:$F$32,2,FALSE),VLOOKUP(AA$1,test!$A$3:$F$32,2,FALSE))&lt;test!$K$16,$A53&lt;&gt;AA$1,Recharged_Feasible_mat!AB22=1),(VLOOKUP(AA$1,test!$A$3:$I$32,8,FALSE))-(VLOOKUP($A53,test!$A$3:$I$32,9,FALSE))-test!$B$33,0)</f>
        <v>0</v>
      </c>
      <c r="AB53">
        <f>IF(AND(SUM(VLOOKUP($A53,test!$A$3:$F$32,2,FALSE),VLOOKUP(AB$1,test!$A$3:$F$32,2,FALSE))&lt;test!$K$16,$A53&lt;&gt;AB$1,Recharged_Feasible_mat!AC22=1),(VLOOKUP(AB$1,test!$A$3:$I$32,8,FALSE))-(VLOOKUP($A53,test!$A$3:$I$32,9,FALSE))-test!$B$33,0)</f>
        <v>0</v>
      </c>
      <c r="AC53">
        <f>IF(AND(SUM(VLOOKUP($A53,test!$A$3:$F$32,2,FALSE),VLOOKUP(AC$1,test!$A$3:$F$32,2,FALSE))&lt;test!$K$16,$A53&lt;&gt;AC$1,Recharged_Feasible_mat!AD22=1),(VLOOKUP(AC$1,test!$A$3:$I$32,8,FALSE))-(VLOOKUP($A53,test!$A$3:$I$32,9,FALSE))-test!$B$33,0)</f>
        <v>0</v>
      </c>
      <c r="AD53">
        <f>IF(AND(SUM(VLOOKUP($A53,test!$A$3:$F$32,2,FALSE),VLOOKUP(AD$1,test!$A$3:$F$32,2,FALSE))&lt;test!$K$16,$A53&lt;&gt;AD$1,Recharged_Feasible_mat!AE22=1),(VLOOKUP(AD$1,test!$A$3:$I$32,8,FALSE))-(VLOOKUP($A53,test!$A$3:$I$32,9,FALSE))-test!$B$33,0)</f>
        <v>0</v>
      </c>
      <c r="AE53">
        <f>IF(AND(SUM(VLOOKUP($A53,test!$A$3:$F$32,2,FALSE),VLOOKUP(AE$1,test!$A$3:$F$32,2,FALSE))&lt;test!$K$16,$A53&lt;&gt;AE$1,Recharged_Feasible_mat!AF22=1),(VLOOKUP(AE$1,test!$A$3:$I$32,8,FALSE))-(VLOOKUP($A53,test!$A$3:$I$32,9,FALSE))-test!$B$33,0)</f>
        <v>0</v>
      </c>
      <c r="AF53">
        <f>IF(AND(SUM(VLOOKUP($A53,test!$A$3:$F$32,2,FALSE),VLOOKUP(AF$1,test!$A$3:$F$32,2,FALSE))&lt;test!$K$16,$A53&lt;&gt;AF$1,Recharged_Feasible_mat!AG22=1),(VLOOKUP(AF$1,test!$A$3:$I$32,8,FALSE))-(VLOOKUP($A53,test!$A$3:$I$32,9,FALSE))-test!$B$33,0)</f>
        <v>0</v>
      </c>
    </row>
    <row r="54" spans="1:32" x14ac:dyDescent="0.25">
      <c r="A54" t="s">
        <v>32</v>
      </c>
      <c r="B54">
        <v>0</v>
      </c>
      <c r="C54">
        <f>IF(AND(SUM(VLOOKUP($A54,test!$A$3:$F$32,2,FALSE),VLOOKUP(C$1,test!$A$3:$F$32,2,FALSE))&lt;test!$K$16,$A54&lt;&gt;C$1,Recharged_Feasible_mat!D23=1),(VLOOKUP(C$1,test!$A$3:$I$32,8,FALSE))-(VLOOKUP($A54,test!$A$3:$I$32,9,FALSE))-test!$B$33,0)</f>
        <v>0</v>
      </c>
      <c r="D54">
        <f>IF(AND(SUM(VLOOKUP($A54,test!$A$3:$F$32,2,FALSE),VLOOKUP(D$1,test!$A$3:$F$32,2,FALSE))&lt;test!$K$16,$A54&lt;&gt;D$1,Recharged_Feasible_mat!E23=1),(VLOOKUP(D$1,test!$A$3:$I$32,8,FALSE))-(VLOOKUP($A54,test!$A$3:$I$32,9,FALSE))-test!$B$33,0)</f>
        <v>0</v>
      </c>
      <c r="E54">
        <f>IF(AND(SUM(VLOOKUP($A54,test!$A$3:$F$32,2,FALSE),VLOOKUP(E$1,test!$A$3:$F$32,2,FALSE))&lt;test!$K$16,$A54&lt;&gt;E$1,Recharged_Feasible_mat!F23=1),(VLOOKUP(E$1,test!$A$3:$I$32,8,FALSE))-(VLOOKUP($A54,test!$A$3:$I$32,9,FALSE))-test!$B$33,0)</f>
        <v>0</v>
      </c>
      <c r="F54">
        <f>IF(AND(SUM(VLOOKUP($A54,test!$A$3:$F$32,2,FALSE),VLOOKUP(F$1,test!$A$3:$F$32,2,FALSE))&lt;test!$K$16,$A54&lt;&gt;F$1,Recharged_Feasible_mat!G23=1),(VLOOKUP(F$1,test!$A$3:$I$32,8,FALSE))-(VLOOKUP($A54,test!$A$3:$I$32,9,FALSE))-test!$B$33,0)</f>
        <v>0</v>
      </c>
      <c r="G54">
        <f>IF(AND(SUM(VLOOKUP($A54,test!$A$3:$F$32,2,FALSE),VLOOKUP(G$1,test!$A$3:$F$32,2,FALSE))&lt;test!$K$16,$A54&lt;&gt;G$1,Recharged_Feasible_mat!H23=1),(VLOOKUP(G$1,test!$A$3:$I$32,8,FALSE))-(VLOOKUP($A54,test!$A$3:$I$32,9,FALSE))-test!$B$33,0)</f>
        <v>0</v>
      </c>
      <c r="H54">
        <f>IF(AND(SUM(VLOOKUP($A54,test!$A$3:$F$32,2,FALSE),VLOOKUP(H$1,test!$A$3:$F$32,2,FALSE))&lt;test!$K$16,$A54&lt;&gt;H$1,Recharged_Feasible_mat!I23=1),(VLOOKUP(H$1,test!$A$3:$I$32,8,FALSE))-(VLOOKUP($A54,test!$A$3:$I$32,9,FALSE))-test!$B$33,0)</f>
        <v>0</v>
      </c>
      <c r="I54">
        <f>IF(AND(SUM(VLOOKUP($A54,test!$A$3:$F$32,2,FALSE),VLOOKUP(I$1,test!$A$3:$F$32,2,FALSE))&lt;test!$K$16,$A54&lt;&gt;I$1,Recharged_Feasible_mat!J23=1),(VLOOKUP(I$1,test!$A$3:$I$32,8,FALSE))-(VLOOKUP($A54,test!$A$3:$I$32,9,FALSE))-test!$B$33,0)</f>
        <v>0</v>
      </c>
      <c r="J54">
        <f>IF(AND(SUM(VLOOKUP($A54,test!$A$3:$F$32,2,FALSE),VLOOKUP(J$1,test!$A$3:$F$32,2,FALSE))&lt;test!$K$16,$A54&lt;&gt;J$1,Recharged_Feasible_mat!K23=1),(VLOOKUP(J$1,test!$A$3:$I$32,8,FALSE))-(VLOOKUP($A54,test!$A$3:$I$32,9,FALSE))-test!$B$33,0)</f>
        <v>0</v>
      </c>
      <c r="K54">
        <f>IF(AND(SUM(VLOOKUP($A54,test!$A$3:$F$32,2,FALSE),VLOOKUP(K$1,test!$A$3:$F$32,2,FALSE))&lt;test!$K$16,$A54&lt;&gt;K$1,Recharged_Feasible_mat!L23=1),(VLOOKUP(K$1,test!$A$3:$I$32,8,FALSE))-(VLOOKUP($A54,test!$A$3:$I$32,9,FALSE))-test!$B$33,0)</f>
        <v>0</v>
      </c>
      <c r="L54">
        <f>IF(AND(SUM(VLOOKUP($A54,test!$A$3:$F$32,2,FALSE),VLOOKUP(L$1,test!$A$3:$F$32,2,FALSE))&lt;test!$K$16,$A54&lt;&gt;L$1,Recharged_Feasible_mat!M23=1),(VLOOKUP(L$1,test!$A$3:$I$32,8,FALSE))-(VLOOKUP($A54,test!$A$3:$I$32,9,FALSE))-test!$B$33,0)</f>
        <v>0</v>
      </c>
      <c r="M54">
        <f>IF(AND(SUM(VLOOKUP($A54,test!$A$3:$F$32,2,FALSE),VLOOKUP(M$1,test!$A$3:$F$32,2,FALSE))&lt;test!$K$16,$A54&lt;&gt;M$1,Recharged_Feasible_mat!N23=1),(VLOOKUP(M$1,test!$A$3:$I$32,8,FALSE))-(VLOOKUP($A54,test!$A$3:$I$32,9,FALSE))-test!$B$33,0)</f>
        <v>0</v>
      </c>
      <c r="N54">
        <f>IF(AND(SUM(VLOOKUP($A54,test!$A$3:$F$32,2,FALSE),VLOOKUP(N$1,test!$A$3:$F$32,2,FALSE))&lt;test!$K$16,$A54&lt;&gt;N$1,Recharged_Feasible_mat!O23=1),(VLOOKUP(N$1,test!$A$3:$I$32,8,FALSE))-(VLOOKUP($A54,test!$A$3:$I$32,9,FALSE))-test!$B$33,0)</f>
        <v>0</v>
      </c>
      <c r="O54">
        <f>IF(AND(SUM(VLOOKUP($A54,test!$A$3:$F$32,2,FALSE),VLOOKUP(O$1,test!$A$3:$F$32,2,FALSE))&lt;test!$K$16,$A54&lt;&gt;O$1,Recharged_Feasible_mat!P23=1),(VLOOKUP(O$1,test!$A$3:$I$32,8,FALSE))-(VLOOKUP($A54,test!$A$3:$I$32,9,FALSE))-test!$B$33,0)</f>
        <v>0</v>
      </c>
      <c r="P54">
        <f>IF(AND(SUM(VLOOKUP($A54,test!$A$3:$F$32,2,FALSE),VLOOKUP(P$1,test!$A$3:$F$32,2,FALSE))&lt;test!$K$16,$A54&lt;&gt;P$1,Recharged_Feasible_mat!Q23=1),(VLOOKUP(P$1,test!$A$3:$I$32,8,FALSE))-(VLOOKUP($A54,test!$A$3:$I$32,9,FALSE))-test!$B$33,0)</f>
        <v>0</v>
      </c>
      <c r="Q54">
        <f>IF(AND(SUM(VLOOKUP($A54,test!$A$3:$F$32,2,FALSE),VLOOKUP(Q$1,test!$A$3:$F$32,2,FALSE))&lt;test!$K$16,$A54&lt;&gt;Q$1,Recharged_Feasible_mat!R23=1),(VLOOKUP(Q$1,test!$A$3:$I$32,8,FALSE))-(VLOOKUP($A54,test!$A$3:$I$32,9,FALSE))-test!$B$33,0)</f>
        <v>0</v>
      </c>
      <c r="R54">
        <f>IF(AND(SUM(VLOOKUP($A54,test!$A$3:$F$32,2,FALSE),VLOOKUP(R$1,test!$A$3:$F$32,2,FALSE))&lt;test!$K$16,$A54&lt;&gt;R$1,Recharged_Feasible_mat!S23=1),(VLOOKUP(R$1,test!$A$3:$I$32,8,FALSE))-(VLOOKUP($A54,test!$A$3:$I$32,9,FALSE))-test!$B$33,0)</f>
        <v>0</v>
      </c>
      <c r="S54">
        <f>IF(AND(SUM(VLOOKUP($A54,test!$A$3:$F$32,2,FALSE),VLOOKUP(S$1,test!$A$3:$F$32,2,FALSE))&lt;test!$K$16,$A54&lt;&gt;S$1,Recharged_Feasible_mat!T23=1),(VLOOKUP(S$1,test!$A$3:$I$32,8,FALSE))-(VLOOKUP($A54,test!$A$3:$I$32,9,FALSE))-test!$B$33,0)</f>
        <v>0</v>
      </c>
      <c r="T54">
        <f>IF(AND(SUM(VLOOKUP($A54,test!$A$3:$F$32,2,FALSE),VLOOKUP(T$1,test!$A$3:$F$32,2,FALSE))&lt;test!$K$16,$A54&lt;&gt;T$1,Recharged_Feasible_mat!U23=1),(VLOOKUP(T$1,test!$A$3:$I$32,8,FALSE))-(VLOOKUP($A54,test!$A$3:$I$32,9,FALSE))-test!$B$33,0)</f>
        <v>0</v>
      </c>
      <c r="U54">
        <f>IF(AND(SUM(VLOOKUP($A54,test!$A$3:$F$32,2,FALSE),VLOOKUP(U$1,test!$A$3:$F$32,2,FALSE))&lt;test!$K$16,$A54&lt;&gt;U$1,Recharged_Feasible_mat!V23=1),(VLOOKUP(U$1,test!$A$3:$I$32,8,FALSE))-(VLOOKUP($A54,test!$A$3:$I$32,9,FALSE))-test!$B$33,0)</f>
        <v>0</v>
      </c>
      <c r="V54">
        <f>IF(AND(SUM(VLOOKUP($A54,test!$A$3:$F$32,2,FALSE),VLOOKUP(V$1,test!$A$3:$F$32,2,FALSE))&lt;test!$K$16,$A54&lt;&gt;V$1,Recharged_Feasible_mat!W23=1),(VLOOKUP(V$1,test!$A$3:$I$32,8,FALSE))-(VLOOKUP($A54,test!$A$3:$I$32,9,FALSE))-test!$B$33,0)</f>
        <v>0</v>
      </c>
      <c r="W54">
        <f>IF(AND(SUM(VLOOKUP($A54,test!$A$3:$F$32,2,FALSE),VLOOKUP(W$1,test!$A$3:$F$32,2,FALSE))&lt;test!$K$16,$A54&lt;&gt;W$1,Recharged_Feasible_mat!X23=1),(VLOOKUP(W$1,test!$A$3:$I$32,8,FALSE))-(VLOOKUP($A54,test!$A$3:$I$32,9,FALSE))-test!$B$33,0)</f>
        <v>0</v>
      </c>
      <c r="X54">
        <f>IF(AND(SUM(VLOOKUP($A54,test!$A$3:$F$32,2,FALSE),VLOOKUP(X$1,test!$A$3:$F$32,2,FALSE))&lt;test!$K$16,$A54&lt;&gt;X$1,Recharged_Feasible_mat!Y23=1),(VLOOKUP(X$1,test!$A$3:$I$32,8,FALSE))-(VLOOKUP($A54,test!$A$3:$I$32,9,FALSE))-test!$B$33,0)</f>
        <v>0</v>
      </c>
      <c r="Y54">
        <f>IF(AND(SUM(VLOOKUP($A54,test!$A$3:$F$32,2,FALSE),VLOOKUP(Y$1,test!$A$3:$F$32,2,FALSE))&lt;test!$K$16,$A54&lt;&gt;Y$1,Recharged_Feasible_mat!Z23=1),(VLOOKUP(Y$1,test!$A$3:$I$32,8,FALSE))-(VLOOKUP($A54,test!$A$3:$I$32,9,FALSE))-test!$B$33,0)</f>
        <v>0</v>
      </c>
      <c r="Z54">
        <f>IF(AND(SUM(VLOOKUP($A54,test!$A$3:$F$32,2,FALSE),VLOOKUP(Z$1,test!$A$3:$F$32,2,FALSE))&lt;test!$K$16,$A54&lt;&gt;Z$1,Recharged_Feasible_mat!AA23=1),(VLOOKUP(Z$1,test!$A$3:$I$32,8,FALSE))-(VLOOKUP($A54,test!$A$3:$I$32,9,FALSE))-test!$B$33,0)</f>
        <v>0</v>
      </c>
      <c r="AA54">
        <f>IF(AND(SUM(VLOOKUP($A54,test!$A$3:$F$32,2,FALSE),VLOOKUP(AA$1,test!$A$3:$F$32,2,FALSE))&lt;test!$K$16,$A54&lt;&gt;AA$1,Recharged_Feasible_mat!AB23=1),(VLOOKUP(AA$1,test!$A$3:$I$32,8,FALSE))-(VLOOKUP($A54,test!$A$3:$I$32,9,FALSE))-test!$B$33,0)</f>
        <v>0</v>
      </c>
      <c r="AB54">
        <f>IF(AND(SUM(VLOOKUP($A54,test!$A$3:$F$32,2,FALSE),VLOOKUP(AB$1,test!$A$3:$F$32,2,FALSE))&lt;test!$K$16,$A54&lt;&gt;AB$1,Recharged_Feasible_mat!AC23=1),(VLOOKUP(AB$1,test!$A$3:$I$32,8,FALSE))-(VLOOKUP($A54,test!$A$3:$I$32,9,FALSE))-test!$B$33,0)</f>
        <v>0</v>
      </c>
      <c r="AC54">
        <f>IF(AND(SUM(VLOOKUP($A54,test!$A$3:$F$32,2,FALSE),VLOOKUP(AC$1,test!$A$3:$F$32,2,FALSE))&lt;test!$K$16,$A54&lt;&gt;AC$1,Recharged_Feasible_mat!AD23=1),(VLOOKUP(AC$1,test!$A$3:$I$32,8,FALSE))-(VLOOKUP($A54,test!$A$3:$I$32,9,FALSE))-test!$B$33,0)</f>
        <v>0</v>
      </c>
      <c r="AD54">
        <f>IF(AND(SUM(VLOOKUP($A54,test!$A$3:$F$32,2,FALSE),VLOOKUP(AD$1,test!$A$3:$F$32,2,FALSE))&lt;test!$K$16,$A54&lt;&gt;AD$1,Recharged_Feasible_mat!AE23=1),(VLOOKUP(AD$1,test!$A$3:$I$32,8,FALSE))-(VLOOKUP($A54,test!$A$3:$I$32,9,FALSE))-test!$B$33,0)</f>
        <v>0</v>
      </c>
      <c r="AE54">
        <f>IF(AND(SUM(VLOOKUP($A54,test!$A$3:$F$32,2,FALSE),VLOOKUP(AE$1,test!$A$3:$F$32,2,FALSE))&lt;test!$K$16,$A54&lt;&gt;AE$1,Recharged_Feasible_mat!AF23=1),(VLOOKUP(AE$1,test!$A$3:$I$32,8,FALSE))-(VLOOKUP($A54,test!$A$3:$I$32,9,FALSE))-test!$B$33,0)</f>
        <v>0</v>
      </c>
      <c r="AF54">
        <f>IF(AND(SUM(VLOOKUP($A54,test!$A$3:$F$32,2,FALSE),VLOOKUP(AF$1,test!$A$3:$F$32,2,FALSE))&lt;test!$K$16,$A54&lt;&gt;AF$1,Recharged_Feasible_mat!AG23=1),(VLOOKUP(AF$1,test!$A$3:$I$32,8,FALSE))-(VLOOKUP($A54,test!$A$3:$I$32,9,FALSE))-test!$B$33,0)</f>
        <v>0</v>
      </c>
    </row>
    <row r="55" spans="1:32" x14ac:dyDescent="0.25">
      <c r="A55" t="s">
        <v>33</v>
      </c>
      <c r="B55">
        <v>0</v>
      </c>
      <c r="C55">
        <f>IF(AND(SUM(VLOOKUP($A55,test!$A$3:$F$32,2,FALSE),VLOOKUP(C$1,test!$A$3:$F$32,2,FALSE))&lt;test!$K$16,$A55&lt;&gt;C$1,Recharged_Feasible_mat!D24=1),(VLOOKUP(C$1,test!$A$3:$I$32,8,FALSE))-(VLOOKUP($A55,test!$A$3:$I$32,9,FALSE))-test!$B$33,0)</f>
        <v>0</v>
      </c>
      <c r="D55">
        <f>IF(AND(SUM(VLOOKUP($A55,test!$A$3:$F$32,2,FALSE),VLOOKUP(D$1,test!$A$3:$F$32,2,FALSE))&lt;test!$K$16,$A55&lt;&gt;D$1,Recharged_Feasible_mat!E24=1),(VLOOKUP(D$1,test!$A$3:$I$32,8,FALSE))-(VLOOKUP($A55,test!$A$3:$I$32,9,FALSE))-test!$B$33,0)</f>
        <v>0</v>
      </c>
      <c r="E55">
        <f>IF(AND(SUM(VLOOKUP($A55,test!$A$3:$F$32,2,FALSE),VLOOKUP(E$1,test!$A$3:$F$32,2,FALSE))&lt;test!$K$16,$A55&lt;&gt;E$1,Recharged_Feasible_mat!F24=1),(VLOOKUP(E$1,test!$A$3:$I$32,8,FALSE))-(VLOOKUP($A55,test!$A$3:$I$32,9,FALSE))-test!$B$33,0)</f>
        <v>0</v>
      </c>
      <c r="F55">
        <f>IF(AND(SUM(VLOOKUP($A55,test!$A$3:$F$32,2,FALSE),VLOOKUP(F$1,test!$A$3:$F$32,2,FALSE))&lt;test!$K$16,$A55&lt;&gt;F$1,Recharged_Feasible_mat!G24=1),(VLOOKUP(F$1,test!$A$3:$I$32,8,FALSE))-(VLOOKUP($A55,test!$A$3:$I$32,9,FALSE))-test!$B$33,0)</f>
        <v>0</v>
      </c>
      <c r="G55">
        <f>IF(AND(SUM(VLOOKUP($A55,test!$A$3:$F$32,2,FALSE),VLOOKUP(G$1,test!$A$3:$F$32,2,FALSE))&lt;test!$K$16,$A55&lt;&gt;G$1,Recharged_Feasible_mat!H24=1),(VLOOKUP(G$1,test!$A$3:$I$32,8,FALSE))-(VLOOKUP($A55,test!$A$3:$I$32,9,FALSE))-test!$B$33,0)</f>
        <v>0</v>
      </c>
      <c r="H55">
        <f>IF(AND(SUM(VLOOKUP($A55,test!$A$3:$F$32,2,FALSE),VLOOKUP(H$1,test!$A$3:$F$32,2,FALSE))&lt;test!$K$16,$A55&lt;&gt;H$1,Recharged_Feasible_mat!I24=1),(VLOOKUP(H$1,test!$A$3:$I$32,8,FALSE))-(VLOOKUP($A55,test!$A$3:$I$32,9,FALSE))-test!$B$33,0)</f>
        <v>0</v>
      </c>
      <c r="I55">
        <f>IF(AND(SUM(VLOOKUP($A55,test!$A$3:$F$32,2,FALSE),VLOOKUP(I$1,test!$A$3:$F$32,2,FALSE))&lt;test!$K$16,$A55&lt;&gt;I$1,Recharged_Feasible_mat!J24=1),(VLOOKUP(I$1,test!$A$3:$I$32,8,FALSE))-(VLOOKUP($A55,test!$A$3:$I$32,9,FALSE))-test!$B$33,0)</f>
        <v>0</v>
      </c>
      <c r="J55">
        <f>IF(AND(SUM(VLOOKUP($A55,test!$A$3:$F$32,2,FALSE),VLOOKUP(J$1,test!$A$3:$F$32,2,FALSE))&lt;test!$K$16,$A55&lt;&gt;J$1,Recharged_Feasible_mat!K24=1),(VLOOKUP(J$1,test!$A$3:$I$32,8,FALSE))-(VLOOKUP($A55,test!$A$3:$I$32,9,FALSE))-test!$B$33,0)</f>
        <v>0</v>
      </c>
      <c r="K55">
        <f>IF(AND(SUM(VLOOKUP($A55,test!$A$3:$F$32,2,FALSE),VLOOKUP(K$1,test!$A$3:$F$32,2,FALSE))&lt;test!$K$16,$A55&lt;&gt;K$1,Recharged_Feasible_mat!L24=1),(VLOOKUP(K$1,test!$A$3:$I$32,8,FALSE))-(VLOOKUP($A55,test!$A$3:$I$32,9,FALSE))-test!$B$33,0)</f>
        <v>0</v>
      </c>
      <c r="L55">
        <f>IF(AND(SUM(VLOOKUP($A55,test!$A$3:$F$32,2,FALSE),VLOOKUP(L$1,test!$A$3:$F$32,2,FALSE))&lt;test!$K$16,$A55&lt;&gt;L$1,Recharged_Feasible_mat!M24=1),(VLOOKUP(L$1,test!$A$3:$I$32,8,FALSE))-(VLOOKUP($A55,test!$A$3:$I$32,9,FALSE))-test!$B$33,0)</f>
        <v>0</v>
      </c>
      <c r="M55">
        <f>IF(AND(SUM(VLOOKUP($A55,test!$A$3:$F$32,2,FALSE),VLOOKUP(M$1,test!$A$3:$F$32,2,FALSE))&lt;test!$K$16,$A55&lt;&gt;M$1,Recharged_Feasible_mat!N24=1),(VLOOKUP(M$1,test!$A$3:$I$32,8,FALSE))-(VLOOKUP($A55,test!$A$3:$I$32,9,FALSE))-test!$B$33,0)</f>
        <v>0</v>
      </c>
      <c r="N55">
        <f>IF(AND(SUM(VLOOKUP($A55,test!$A$3:$F$32,2,FALSE),VLOOKUP(N$1,test!$A$3:$F$32,2,FALSE))&lt;test!$K$16,$A55&lt;&gt;N$1,Recharged_Feasible_mat!O24=1),(VLOOKUP(N$1,test!$A$3:$I$32,8,FALSE))-(VLOOKUP($A55,test!$A$3:$I$32,9,FALSE))-test!$B$33,0)</f>
        <v>0</v>
      </c>
      <c r="O55">
        <f>IF(AND(SUM(VLOOKUP($A55,test!$A$3:$F$32,2,FALSE),VLOOKUP(O$1,test!$A$3:$F$32,2,FALSE))&lt;test!$K$16,$A55&lt;&gt;O$1,Recharged_Feasible_mat!P24=1),(VLOOKUP(O$1,test!$A$3:$I$32,8,FALSE))-(VLOOKUP($A55,test!$A$3:$I$32,9,FALSE))-test!$B$33,0)</f>
        <v>0</v>
      </c>
      <c r="P55">
        <f>IF(AND(SUM(VLOOKUP($A55,test!$A$3:$F$32,2,FALSE),VLOOKUP(P$1,test!$A$3:$F$32,2,FALSE))&lt;test!$K$16,$A55&lt;&gt;P$1,Recharged_Feasible_mat!Q24=1),(VLOOKUP(P$1,test!$A$3:$I$32,8,FALSE))-(VLOOKUP($A55,test!$A$3:$I$32,9,FALSE))-test!$B$33,0)</f>
        <v>0</v>
      </c>
      <c r="Q55">
        <f>IF(AND(SUM(VLOOKUP($A55,test!$A$3:$F$32,2,FALSE),VLOOKUP(Q$1,test!$A$3:$F$32,2,FALSE))&lt;test!$K$16,$A55&lt;&gt;Q$1,Recharged_Feasible_mat!R24=1),(VLOOKUP(Q$1,test!$A$3:$I$32,8,FALSE))-(VLOOKUP($A55,test!$A$3:$I$32,9,FALSE))-test!$B$33,0)</f>
        <v>0</v>
      </c>
      <c r="R55">
        <f>IF(AND(SUM(VLOOKUP($A55,test!$A$3:$F$32,2,FALSE),VLOOKUP(R$1,test!$A$3:$F$32,2,FALSE))&lt;test!$K$16,$A55&lt;&gt;R$1,Recharged_Feasible_mat!S24=1),(VLOOKUP(R$1,test!$A$3:$I$32,8,FALSE))-(VLOOKUP($A55,test!$A$3:$I$32,9,FALSE))-test!$B$33,0)</f>
        <v>0</v>
      </c>
      <c r="S55">
        <f>IF(AND(SUM(VLOOKUP($A55,test!$A$3:$F$32,2,FALSE),VLOOKUP(S$1,test!$A$3:$F$32,2,FALSE))&lt;test!$K$16,$A55&lt;&gt;S$1,Recharged_Feasible_mat!T24=1),(VLOOKUP(S$1,test!$A$3:$I$32,8,FALSE))-(VLOOKUP($A55,test!$A$3:$I$32,9,FALSE))-test!$B$33,0)</f>
        <v>0</v>
      </c>
      <c r="T55">
        <f>IF(AND(SUM(VLOOKUP($A55,test!$A$3:$F$32,2,FALSE),VLOOKUP(T$1,test!$A$3:$F$32,2,FALSE))&lt;test!$K$16,$A55&lt;&gt;T$1,Recharged_Feasible_mat!U24=1),(VLOOKUP(T$1,test!$A$3:$I$32,8,FALSE))-(VLOOKUP($A55,test!$A$3:$I$32,9,FALSE))-test!$B$33,0)</f>
        <v>0</v>
      </c>
      <c r="U55">
        <f>IF(AND(SUM(VLOOKUP($A55,test!$A$3:$F$32,2,FALSE),VLOOKUP(U$1,test!$A$3:$F$32,2,FALSE))&lt;test!$K$16,$A55&lt;&gt;U$1,Recharged_Feasible_mat!V24=1),(VLOOKUP(U$1,test!$A$3:$I$32,8,FALSE))-(VLOOKUP($A55,test!$A$3:$I$32,9,FALSE))-test!$B$33,0)</f>
        <v>0</v>
      </c>
      <c r="V55">
        <f>IF(AND(SUM(VLOOKUP($A55,test!$A$3:$F$32,2,FALSE),VLOOKUP(V$1,test!$A$3:$F$32,2,FALSE))&lt;test!$K$16,$A55&lt;&gt;V$1,Recharged_Feasible_mat!W24=1),(VLOOKUP(V$1,test!$A$3:$I$32,8,FALSE))-(VLOOKUP($A55,test!$A$3:$I$32,9,FALSE))-test!$B$33,0)</f>
        <v>0</v>
      </c>
      <c r="W55">
        <f>IF(AND(SUM(VLOOKUP($A55,test!$A$3:$F$32,2,FALSE),VLOOKUP(W$1,test!$A$3:$F$32,2,FALSE))&lt;test!$K$16,$A55&lt;&gt;W$1,Recharged_Feasible_mat!X24=1),(VLOOKUP(W$1,test!$A$3:$I$32,8,FALSE))-(VLOOKUP($A55,test!$A$3:$I$32,9,FALSE))-test!$B$33,0)</f>
        <v>0</v>
      </c>
      <c r="X55">
        <f>IF(AND(SUM(VLOOKUP($A55,test!$A$3:$F$32,2,FALSE),VLOOKUP(X$1,test!$A$3:$F$32,2,FALSE))&lt;test!$K$16,$A55&lt;&gt;X$1,Recharged_Feasible_mat!Y24=1),(VLOOKUP(X$1,test!$A$3:$I$32,8,FALSE))-(VLOOKUP($A55,test!$A$3:$I$32,9,FALSE))-test!$B$33,0)</f>
        <v>0</v>
      </c>
      <c r="Y55">
        <f>IF(AND(SUM(VLOOKUP($A55,test!$A$3:$F$32,2,FALSE),VLOOKUP(Y$1,test!$A$3:$F$32,2,FALSE))&lt;test!$K$16,$A55&lt;&gt;Y$1,Recharged_Feasible_mat!Z24=1),(VLOOKUP(Y$1,test!$A$3:$I$32,8,FALSE))-(VLOOKUP($A55,test!$A$3:$I$32,9,FALSE))-test!$B$33,0)</f>
        <v>0</v>
      </c>
      <c r="Z55">
        <f>IF(AND(SUM(VLOOKUP($A55,test!$A$3:$F$32,2,FALSE),VLOOKUP(Z$1,test!$A$3:$F$32,2,FALSE))&lt;test!$K$16,$A55&lt;&gt;Z$1,Recharged_Feasible_mat!AA24=1),(VLOOKUP(Z$1,test!$A$3:$I$32,8,FALSE))-(VLOOKUP($A55,test!$A$3:$I$32,9,FALSE))-test!$B$33,0)</f>
        <v>0</v>
      </c>
      <c r="AA55">
        <f>IF(AND(SUM(VLOOKUP($A55,test!$A$3:$F$32,2,FALSE),VLOOKUP(AA$1,test!$A$3:$F$32,2,FALSE))&lt;test!$K$16,$A55&lt;&gt;AA$1,Recharged_Feasible_mat!AB24=1),(VLOOKUP(AA$1,test!$A$3:$I$32,8,FALSE))-(VLOOKUP($A55,test!$A$3:$I$32,9,FALSE))-test!$B$33,0)</f>
        <v>0</v>
      </c>
      <c r="AB55">
        <f>IF(AND(SUM(VLOOKUP($A55,test!$A$3:$F$32,2,FALSE),VLOOKUP(AB$1,test!$A$3:$F$32,2,FALSE))&lt;test!$K$16,$A55&lt;&gt;AB$1,Recharged_Feasible_mat!AC24=1),(VLOOKUP(AB$1,test!$A$3:$I$32,8,FALSE))-(VLOOKUP($A55,test!$A$3:$I$32,9,FALSE))-test!$B$33,0)</f>
        <v>0</v>
      </c>
      <c r="AC55">
        <f>IF(AND(SUM(VLOOKUP($A55,test!$A$3:$F$32,2,FALSE),VLOOKUP(AC$1,test!$A$3:$F$32,2,FALSE))&lt;test!$K$16,$A55&lt;&gt;AC$1,Recharged_Feasible_mat!AD24=1),(VLOOKUP(AC$1,test!$A$3:$I$32,8,FALSE))-(VLOOKUP($A55,test!$A$3:$I$32,9,FALSE))-test!$B$33,0)</f>
        <v>0</v>
      </c>
      <c r="AD55">
        <f>IF(AND(SUM(VLOOKUP($A55,test!$A$3:$F$32,2,FALSE),VLOOKUP(AD$1,test!$A$3:$F$32,2,FALSE))&lt;test!$K$16,$A55&lt;&gt;AD$1,Recharged_Feasible_mat!AE24=1),(VLOOKUP(AD$1,test!$A$3:$I$32,8,FALSE))-(VLOOKUP($A55,test!$A$3:$I$32,9,FALSE))-test!$B$33,0)</f>
        <v>0</v>
      </c>
      <c r="AE55">
        <f>IF(AND(SUM(VLOOKUP($A55,test!$A$3:$F$32,2,FALSE),VLOOKUP(AE$1,test!$A$3:$F$32,2,FALSE))&lt;test!$K$16,$A55&lt;&gt;AE$1,Recharged_Feasible_mat!AF24=1),(VLOOKUP(AE$1,test!$A$3:$I$32,8,FALSE))-(VLOOKUP($A55,test!$A$3:$I$32,9,FALSE))-test!$B$33,0)</f>
        <v>0</v>
      </c>
      <c r="AF55">
        <f>IF(AND(SUM(VLOOKUP($A55,test!$A$3:$F$32,2,FALSE),VLOOKUP(AF$1,test!$A$3:$F$32,2,FALSE))&lt;test!$K$16,$A55&lt;&gt;AF$1,Recharged_Feasible_mat!AG24=1),(VLOOKUP(AF$1,test!$A$3:$I$32,8,FALSE))-(VLOOKUP($A55,test!$A$3:$I$32,9,FALSE))-test!$B$33,0)</f>
        <v>0</v>
      </c>
    </row>
    <row r="56" spans="1:32" x14ac:dyDescent="0.25">
      <c r="A56" t="s">
        <v>34</v>
      </c>
      <c r="B56">
        <v>0</v>
      </c>
      <c r="C56">
        <f>IF(AND(SUM(VLOOKUP($A56,test!$A$3:$F$32,2,FALSE),VLOOKUP(C$1,test!$A$3:$F$32,2,FALSE))&lt;test!$K$16,$A56&lt;&gt;C$1,Recharged_Feasible_mat!D25=1),(VLOOKUP(C$1,test!$A$3:$I$32,8,FALSE))-(VLOOKUP($A56,test!$A$3:$I$32,9,FALSE))-test!$B$33,0)</f>
        <v>0</v>
      </c>
      <c r="D56">
        <f>IF(AND(SUM(VLOOKUP($A56,test!$A$3:$F$32,2,FALSE),VLOOKUP(D$1,test!$A$3:$F$32,2,FALSE))&lt;test!$K$16,$A56&lt;&gt;D$1,Recharged_Feasible_mat!E25=1),(VLOOKUP(D$1,test!$A$3:$I$32,8,FALSE))-(VLOOKUP($A56,test!$A$3:$I$32,9,FALSE))-test!$B$33,0)</f>
        <v>0</v>
      </c>
      <c r="E56">
        <f>IF(AND(SUM(VLOOKUP($A56,test!$A$3:$F$32,2,FALSE),VLOOKUP(E$1,test!$A$3:$F$32,2,FALSE))&lt;test!$K$16,$A56&lt;&gt;E$1,Recharged_Feasible_mat!F25=1),(VLOOKUP(E$1,test!$A$3:$I$32,8,FALSE))-(VLOOKUP($A56,test!$A$3:$I$32,9,FALSE))-test!$B$33,0)</f>
        <v>60</v>
      </c>
      <c r="F56">
        <f>IF(AND(SUM(VLOOKUP($A56,test!$A$3:$F$32,2,FALSE),VLOOKUP(F$1,test!$A$3:$F$32,2,FALSE))&lt;test!$K$16,$A56&lt;&gt;F$1,Recharged_Feasible_mat!G25=1),(VLOOKUP(F$1,test!$A$3:$I$32,8,FALSE))-(VLOOKUP($A56,test!$A$3:$I$32,9,FALSE))-test!$B$33,0)</f>
        <v>150</v>
      </c>
      <c r="G56">
        <f>IF(AND(SUM(VLOOKUP($A56,test!$A$3:$F$32,2,FALSE),VLOOKUP(G$1,test!$A$3:$F$32,2,FALSE))&lt;test!$K$16,$A56&lt;&gt;G$1,Recharged_Feasible_mat!H25=1),(VLOOKUP(G$1,test!$A$3:$I$32,8,FALSE))-(VLOOKUP($A56,test!$A$3:$I$32,9,FALSE))-test!$B$33,0)</f>
        <v>210</v>
      </c>
      <c r="H56">
        <f>IF(AND(SUM(VLOOKUP($A56,test!$A$3:$F$32,2,FALSE),VLOOKUP(H$1,test!$A$3:$F$32,2,FALSE))&lt;test!$K$16,$A56&lt;&gt;H$1,Recharged_Feasible_mat!I25=1),(VLOOKUP(H$1,test!$A$3:$I$32,8,FALSE))-(VLOOKUP($A56,test!$A$3:$I$32,9,FALSE))-test!$B$33,0)</f>
        <v>270</v>
      </c>
      <c r="I56">
        <f>IF(AND(SUM(VLOOKUP($A56,test!$A$3:$F$32,2,FALSE),VLOOKUP(I$1,test!$A$3:$F$32,2,FALSE))&lt;test!$K$16,$A56&lt;&gt;I$1,Recharged_Feasible_mat!J25=1),(VLOOKUP(I$1,test!$A$3:$I$32,8,FALSE))-(VLOOKUP($A56,test!$A$3:$I$32,9,FALSE))-test!$B$33,0)</f>
        <v>330</v>
      </c>
      <c r="J56">
        <f>IF(AND(SUM(VLOOKUP($A56,test!$A$3:$F$32,2,FALSE),VLOOKUP(J$1,test!$A$3:$F$32,2,FALSE))&lt;test!$K$16,$A56&lt;&gt;J$1,Recharged_Feasible_mat!K25=1),(VLOOKUP(J$1,test!$A$3:$I$32,8,FALSE))-(VLOOKUP($A56,test!$A$3:$I$32,9,FALSE))-test!$B$33,0)</f>
        <v>420</v>
      </c>
      <c r="K56">
        <f>IF(AND(SUM(VLOOKUP($A56,test!$A$3:$F$32,2,FALSE),VLOOKUP(K$1,test!$A$3:$F$32,2,FALSE))&lt;test!$K$16,$A56&lt;&gt;K$1,Recharged_Feasible_mat!L25=1),(VLOOKUP(K$1,test!$A$3:$I$32,8,FALSE))-(VLOOKUP($A56,test!$A$3:$I$32,9,FALSE))-test!$B$33,0)</f>
        <v>0</v>
      </c>
      <c r="L56">
        <f>IF(AND(SUM(VLOOKUP($A56,test!$A$3:$F$32,2,FALSE),VLOOKUP(L$1,test!$A$3:$F$32,2,FALSE))&lt;test!$K$16,$A56&lt;&gt;L$1,Recharged_Feasible_mat!M25=1),(VLOOKUP(L$1,test!$A$3:$I$32,8,FALSE))-(VLOOKUP($A56,test!$A$3:$I$32,9,FALSE))-test!$B$33,0)</f>
        <v>0</v>
      </c>
      <c r="M56">
        <f>IF(AND(SUM(VLOOKUP($A56,test!$A$3:$F$32,2,FALSE),VLOOKUP(M$1,test!$A$3:$F$32,2,FALSE))&lt;test!$K$16,$A56&lt;&gt;M$1,Recharged_Feasible_mat!N25=1),(VLOOKUP(M$1,test!$A$3:$I$32,8,FALSE))-(VLOOKUP($A56,test!$A$3:$I$32,9,FALSE))-test!$B$33,0)</f>
        <v>25</v>
      </c>
      <c r="N56">
        <f>IF(AND(SUM(VLOOKUP($A56,test!$A$3:$F$32,2,FALSE),VLOOKUP(N$1,test!$A$3:$F$32,2,FALSE))&lt;test!$K$16,$A56&lt;&gt;N$1,Recharged_Feasible_mat!O25=1),(VLOOKUP(N$1,test!$A$3:$I$32,8,FALSE))-(VLOOKUP($A56,test!$A$3:$I$32,9,FALSE))-test!$B$33,0)</f>
        <v>385</v>
      </c>
      <c r="O56">
        <f>IF(AND(SUM(VLOOKUP($A56,test!$A$3:$F$32,2,FALSE),VLOOKUP(O$1,test!$A$3:$F$32,2,FALSE))&lt;test!$K$16,$A56&lt;&gt;O$1,Recharged_Feasible_mat!P25=1),(VLOOKUP(O$1,test!$A$3:$I$32,8,FALSE))-(VLOOKUP($A56,test!$A$3:$I$32,9,FALSE))-test!$B$33,0)</f>
        <v>445</v>
      </c>
      <c r="P56">
        <f>IF(AND(SUM(VLOOKUP($A56,test!$A$3:$F$32,2,FALSE),VLOOKUP(P$1,test!$A$3:$F$32,2,FALSE))&lt;test!$K$16,$A56&lt;&gt;P$1,Recharged_Feasible_mat!Q25=1),(VLOOKUP(P$1,test!$A$3:$I$32,8,FALSE))-(VLOOKUP($A56,test!$A$3:$I$32,9,FALSE))-test!$B$33,0)</f>
        <v>0</v>
      </c>
      <c r="Q56">
        <f>IF(AND(SUM(VLOOKUP($A56,test!$A$3:$F$32,2,FALSE),VLOOKUP(Q$1,test!$A$3:$F$32,2,FALSE))&lt;test!$K$16,$A56&lt;&gt;Q$1,Recharged_Feasible_mat!R25=1),(VLOOKUP(Q$1,test!$A$3:$I$32,8,FALSE))-(VLOOKUP($A56,test!$A$3:$I$32,9,FALSE))-test!$B$33,0)</f>
        <v>0</v>
      </c>
      <c r="R56">
        <f>IF(AND(SUM(VLOOKUP($A56,test!$A$3:$F$32,2,FALSE),VLOOKUP(R$1,test!$A$3:$F$32,2,FALSE))&lt;test!$K$16,$A56&lt;&gt;R$1,Recharged_Feasible_mat!S25=1),(VLOOKUP(R$1,test!$A$3:$I$32,8,FALSE))-(VLOOKUP($A56,test!$A$3:$I$32,9,FALSE))-test!$B$33,0)</f>
        <v>0</v>
      </c>
      <c r="S56">
        <f>IF(AND(SUM(VLOOKUP($A56,test!$A$3:$F$32,2,FALSE),VLOOKUP(S$1,test!$A$3:$F$32,2,FALSE))&lt;test!$K$16,$A56&lt;&gt;S$1,Recharged_Feasible_mat!T25=1),(VLOOKUP(S$1,test!$A$3:$I$32,8,FALSE))-(VLOOKUP($A56,test!$A$3:$I$32,9,FALSE))-test!$B$33,0)</f>
        <v>0</v>
      </c>
      <c r="T56">
        <f>IF(AND(SUM(VLOOKUP($A56,test!$A$3:$F$32,2,FALSE),VLOOKUP(T$1,test!$A$3:$F$32,2,FALSE))&lt;test!$K$16,$A56&lt;&gt;T$1,Recharged_Feasible_mat!U25=1),(VLOOKUP(T$1,test!$A$3:$I$32,8,FALSE))-(VLOOKUP($A56,test!$A$3:$I$32,9,FALSE))-test!$B$33,0)</f>
        <v>40</v>
      </c>
      <c r="U56">
        <f>IF(AND(SUM(VLOOKUP($A56,test!$A$3:$F$32,2,FALSE),VLOOKUP(U$1,test!$A$3:$F$32,2,FALSE))&lt;test!$K$16,$A56&lt;&gt;U$1,Recharged_Feasible_mat!V25=1),(VLOOKUP(U$1,test!$A$3:$I$32,8,FALSE))-(VLOOKUP($A56,test!$A$3:$I$32,9,FALSE))-test!$B$33,0)</f>
        <v>130</v>
      </c>
      <c r="V56">
        <f>IF(AND(SUM(VLOOKUP($A56,test!$A$3:$F$32,2,FALSE),VLOOKUP(V$1,test!$A$3:$F$32,2,FALSE))&lt;test!$K$16,$A56&lt;&gt;V$1,Recharged_Feasible_mat!W25=1),(VLOOKUP(V$1,test!$A$3:$I$32,8,FALSE))-(VLOOKUP($A56,test!$A$3:$I$32,9,FALSE))-test!$B$33,0)</f>
        <v>220</v>
      </c>
      <c r="W56">
        <f>IF(AND(SUM(VLOOKUP($A56,test!$A$3:$F$32,2,FALSE),VLOOKUP(W$1,test!$A$3:$F$32,2,FALSE))&lt;test!$K$16,$A56&lt;&gt;W$1,Recharged_Feasible_mat!X25=1),(VLOOKUP(W$1,test!$A$3:$I$32,8,FALSE))-(VLOOKUP($A56,test!$A$3:$I$32,9,FALSE))-test!$B$33,0)</f>
        <v>310</v>
      </c>
      <c r="X56">
        <f>IF(AND(SUM(VLOOKUP($A56,test!$A$3:$F$32,2,FALSE),VLOOKUP(X$1,test!$A$3:$F$32,2,FALSE))&lt;test!$K$16,$A56&lt;&gt;X$1,Recharged_Feasible_mat!Y25=1),(VLOOKUP(X$1,test!$A$3:$I$32,8,FALSE))-(VLOOKUP($A56,test!$A$3:$I$32,9,FALSE))-test!$B$33,0)</f>
        <v>370</v>
      </c>
      <c r="Y56">
        <f>IF(AND(SUM(VLOOKUP($A56,test!$A$3:$F$32,2,FALSE),VLOOKUP(Y$1,test!$A$3:$F$32,2,FALSE))&lt;test!$K$16,$A56&lt;&gt;Y$1,Recharged_Feasible_mat!Z25=1),(VLOOKUP(Y$1,test!$A$3:$I$32,8,FALSE))-(VLOOKUP($A56,test!$A$3:$I$32,9,FALSE))-test!$B$33,0)</f>
        <v>0</v>
      </c>
      <c r="Z56">
        <f>IF(AND(SUM(VLOOKUP($A56,test!$A$3:$F$32,2,FALSE),VLOOKUP(Z$1,test!$A$3:$F$32,2,FALSE))&lt;test!$K$16,$A56&lt;&gt;Z$1,Recharged_Feasible_mat!AA25=1),(VLOOKUP(Z$1,test!$A$3:$I$32,8,FALSE))-(VLOOKUP($A56,test!$A$3:$I$32,9,FALSE))-test!$B$33,0)</f>
        <v>0</v>
      </c>
      <c r="AA56">
        <f>IF(AND(SUM(VLOOKUP($A56,test!$A$3:$F$32,2,FALSE),VLOOKUP(AA$1,test!$A$3:$F$32,2,FALSE))&lt;test!$K$16,$A56&lt;&gt;AA$1,Recharged_Feasible_mat!AB25=1),(VLOOKUP(AA$1,test!$A$3:$I$32,8,FALSE))-(VLOOKUP($A56,test!$A$3:$I$32,9,FALSE))-test!$B$33,0)</f>
        <v>90</v>
      </c>
      <c r="AB56">
        <f>IF(AND(SUM(VLOOKUP($A56,test!$A$3:$F$32,2,FALSE),VLOOKUP(AB$1,test!$A$3:$F$32,2,FALSE))&lt;test!$K$16,$A56&lt;&gt;AB$1,Recharged_Feasible_mat!AC25=1),(VLOOKUP(AB$1,test!$A$3:$I$32,8,FALSE))-(VLOOKUP($A56,test!$A$3:$I$32,9,FALSE))-test!$B$33,0)</f>
        <v>150</v>
      </c>
      <c r="AC56">
        <f>IF(AND(SUM(VLOOKUP($A56,test!$A$3:$F$32,2,FALSE),VLOOKUP(AC$1,test!$A$3:$F$32,2,FALSE))&lt;test!$K$16,$A56&lt;&gt;AC$1,Recharged_Feasible_mat!AD25=1),(VLOOKUP(AC$1,test!$A$3:$I$32,8,FALSE))-(VLOOKUP($A56,test!$A$3:$I$32,9,FALSE))-test!$B$33,0)</f>
        <v>270</v>
      </c>
      <c r="AD56">
        <f>IF(AND(SUM(VLOOKUP($A56,test!$A$3:$F$32,2,FALSE),VLOOKUP(AD$1,test!$A$3:$F$32,2,FALSE))&lt;test!$K$16,$A56&lt;&gt;AD$1,Recharged_Feasible_mat!AE25=1),(VLOOKUP(AD$1,test!$A$3:$I$32,8,FALSE))-(VLOOKUP($A56,test!$A$3:$I$32,9,FALSE))-test!$B$33,0)</f>
        <v>0</v>
      </c>
      <c r="AE56">
        <f>IF(AND(SUM(VLOOKUP($A56,test!$A$3:$F$32,2,FALSE),VLOOKUP(AE$1,test!$A$3:$F$32,2,FALSE))&lt;test!$K$16,$A56&lt;&gt;AE$1,Recharged_Feasible_mat!AF25=1),(VLOOKUP(AE$1,test!$A$3:$I$32,8,FALSE))-(VLOOKUP($A56,test!$A$3:$I$32,9,FALSE))-test!$B$33,0)</f>
        <v>0</v>
      </c>
      <c r="AF56">
        <f>IF(AND(SUM(VLOOKUP($A56,test!$A$3:$F$32,2,FALSE),VLOOKUP(AF$1,test!$A$3:$F$32,2,FALSE))&lt;test!$K$16,$A56&lt;&gt;AF$1,Recharged_Feasible_mat!AG25=1),(VLOOKUP(AF$1,test!$A$3:$I$32,8,FALSE))-(VLOOKUP($A56,test!$A$3:$I$32,9,FALSE))-test!$B$33,0)</f>
        <v>0</v>
      </c>
    </row>
    <row r="57" spans="1:32" x14ac:dyDescent="0.25">
      <c r="A57" t="s">
        <v>35</v>
      </c>
      <c r="B57">
        <v>0</v>
      </c>
      <c r="C57">
        <f>IF(AND(SUM(VLOOKUP($A57,test!$A$3:$F$32,2,FALSE),VLOOKUP(C$1,test!$A$3:$F$32,2,FALSE))&lt;test!$K$16,$A57&lt;&gt;C$1,Recharged_Feasible_mat!D26=1),(VLOOKUP(C$1,test!$A$3:$I$32,8,FALSE))-(VLOOKUP($A57,test!$A$3:$I$32,9,FALSE))-test!$B$33,0)</f>
        <v>0</v>
      </c>
      <c r="D57">
        <f>IF(AND(SUM(VLOOKUP($A57,test!$A$3:$F$32,2,FALSE),VLOOKUP(D$1,test!$A$3:$F$32,2,FALSE))&lt;test!$K$16,$A57&lt;&gt;D$1,Recharged_Feasible_mat!E26=1),(VLOOKUP(D$1,test!$A$3:$I$32,8,FALSE))-(VLOOKUP($A57,test!$A$3:$I$32,9,FALSE))-test!$B$33,0)</f>
        <v>0</v>
      </c>
      <c r="E57">
        <f>IF(AND(SUM(VLOOKUP($A57,test!$A$3:$F$32,2,FALSE),VLOOKUP(E$1,test!$A$3:$F$32,2,FALSE))&lt;test!$K$16,$A57&lt;&gt;E$1,Recharged_Feasible_mat!F26=1),(VLOOKUP(E$1,test!$A$3:$I$32,8,FALSE))-(VLOOKUP($A57,test!$A$3:$I$32,9,FALSE))-test!$B$33,0)</f>
        <v>0</v>
      </c>
      <c r="F57">
        <f>IF(AND(SUM(VLOOKUP($A57,test!$A$3:$F$32,2,FALSE),VLOOKUP(F$1,test!$A$3:$F$32,2,FALSE))&lt;test!$K$16,$A57&lt;&gt;F$1,Recharged_Feasible_mat!G26=1),(VLOOKUP(F$1,test!$A$3:$I$32,8,FALSE))-(VLOOKUP($A57,test!$A$3:$I$32,9,FALSE))-test!$B$33,0)</f>
        <v>0</v>
      </c>
      <c r="G57">
        <f>IF(AND(SUM(VLOOKUP($A57,test!$A$3:$F$32,2,FALSE),VLOOKUP(G$1,test!$A$3:$F$32,2,FALSE))&lt;test!$K$16,$A57&lt;&gt;G$1,Recharged_Feasible_mat!H26=1),(VLOOKUP(G$1,test!$A$3:$I$32,8,FALSE))-(VLOOKUP($A57,test!$A$3:$I$32,9,FALSE))-test!$B$33,0)</f>
        <v>40</v>
      </c>
      <c r="H57">
        <f>IF(AND(SUM(VLOOKUP($A57,test!$A$3:$F$32,2,FALSE),VLOOKUP(H$1,test!$A$3:$F$32,2,FALSE))&lt;test!$K$16,$A57&lt;&gt;H$1,Recharged_Feasible_mat!I26=1),(VLOOKUP(H$1,test!$A$3:$I$32,8,FALSE))-(VLOOKUP($A57,test!$A$3:$I$32,9,FALSE))-test!$B$33,0)</f>
        <v>100</v>
      </c>
      <c r="I57">
        <f>IF(AND(SUM(VLOOKUP($A57,test!$A$3:$F$32,2,FALSE),VLOOKUP(I$1,test!$A$3:$F$32,2,FALSE))&lt;test!$K$16,$A57&lt;&gt;I$1,Recharged_Feasible_mat!J26=1),(VLOOKUP(I$1,test!$A$3:$I$32,8,FALSE))-(VLOOKUP($A57,test!$A$3:$I$32,9,FALSE))-test!$B$33,0)</f>
        <v>160</v>
      </c>
      <c r="J57">
        <f>IF(AND(SUM(VLOOKUP($A57,test!$A$3:$F$32,2,FALSE),VLOOKUP(J$1,test!$A$3:$F$32,2,FALSE))&lt;test!$K$16,$A57&lt;&gt;J$1,Recharged_Feasible_mat!K26=1),(VLOOKUP(J$1,test!$A$3:$I$32,8,FALSE))-(VLOOKUP($A57,test!$A$3:$I$32,9,FALSE))-test!$B$33,0)</f>
        <v>250</v>
      </c>
      <c r="K57">
        <f>IF(AND(SUM(VLOOKUP($A57,test!$A$3:$F$32,2,FALSE),VLOOKUP(K$1,test!$A$3:$F$32,2,FALSE))&lt;test!$K$16,$A57&lt;&gt;K$1,Recharged_Feasible_mat!L26=1),(VLOOKUP(K$1,test!$A$3:$I$32,8,FALSE))-(VLOOKUP($A57,test!$A$3:$I$32,9,FALSE))-test!$B$33,0)</f>
        <v>0</v>
      </c>
      <c r="L57">
        <f>IF(AND(SUM(VLOOKUP($A57,test!$A$3:$F$32,2,FALSE),VLOOKUP(L$1,test!$A$3:$F$32,2,FALSE))&lt;test!$K$16,$A57&lt;&gt;L$1,Recharged_Feasible_mat!M26=1),(VLOOKUP(L$1,test!$A$3:$I$32,8,FALSE))-(VLOOKUP($A57,test!$A$3:$I$32,9,FALSE))-test!$B$33,0)</f>
        <v>0</v>
      </c>
      <c r="M57">
        <f>IF(AND(SUM(VLOOKUP($A57,test!$A$3:$F$32,2,FALSE),VLOOKUP(M$1,test!$A$3:$F$32,2,FALSE))&lt;test!$K$16,$A57&lt;&gt;M$1,Recharged_Feasible_mat!N26=1),(VLOOKUP(M$1,test!$A$3:$I$32,8,FALSE))-(VLOOKUP($A57,test!$A$3:$I$32,9,FALSE))-test!$B$33,0)</f>
        <v>0</v>
      </c>
      <c r="N57">
        <f>IF(AND(SUM(VLOOKUP($A57,test!$A$3:$F$32,2,FALSE),VLOOKUP(N$1,test!$A$3:$F$32,2,FALSE))&lt;test!$K$16,$A57&lt;&gt;N$1,Recharged_Feasible_mat!O26=1),(VLOOKUP(N$1,test!$A$3:$I$32,8,FALSE))-(VLOOKUP($A57,test!$A$3:$I$32,9,FALSE))-test!$B$33,0)</f>
        <v>215</v>
      </c>
      <c r="O57">
        <f>IF(AND(SUM(VLOOKUP($A57,test!$A$3:$F$32,2,FALSE),VLOOKUP(O$1,test!$A$3:$F$32,2,FALSE))&lt;test!$K$16,$A57&lt;&gt;O$1,Recharged_Feasible_mat!P26=1),(VLOOKUP(O$1,test!$A$3:$I$32,8,FALSE))-(VLOOKUP($A57,test!$A$3:$I$32,9,FALSE))-test!$B$33,0)</f>
        <v>275</v>
      </c>
      <c r="P57">
        <f>IF(AND(SUM(VLOOKUP($A57,test!$A$3:$F$32,2,FALSE),VLOOKUP(P$1,test!$A$3:$F$32,2,FALSE))&lt;test!$K$16,$A57&lt;&gt;P$1,Recharged_Feasible_mat!Q26=1),(VLOOKUP(P$1,test!$A$3:$I$32,8,FALSE))-(VLOOKUP($A57,test!$A$3:$I$32,9,FALSE))-test!$B$33,0)</f>
        <v>0</v>
      </c>
      <c r="Q57">
        <f>IF(AND(SUM(VLOOKUP($A57,test!$A$3:$F$32,2,FALSE),VLOOKUP(Q$1,test!$A$3:$F$32,2,FALSE))&lt;test!$K$16,$A57&lt;&gt;Q$1,Recharged_Feasible_mat!R26=1),(VLOOKUP(Q$1,test!$A$3:$I$32,8,FALSE))-(VLOOKUP($A57,test!$A$3:$I$32,9,FALSE))-test!$B$33,0)</f>
        <v>0</v>
      </c>
      <c r="R57">
        <f>IF(AND(SUM(VLOOKUP($A57,test!$A$3:$F$32,2,FALSE),VLOOKUP(R$1,test!$A$3:$F$32,2,FALSE))&lt;test!$K$16,$A57&lt;&gt;R$1,Recharged_Feasible_mat!S26=1),(VLOOKUP(R$1,test!$A$3:$I$32,8,FALSE))-(VLOOKUP($A57,test!$A$3:$I$32,9,FALSE))-test!$B$33,0)</f>
        <v>0</v>
      </c>
      <c r="S57">
        <f>IF(AND(SUM(VLOOKUP($A57,test!$A$3:$F$32,2,FALSE),VLOOKUP(S$1,test!$A$3:$F$32,2,FALSE))&lt;test!$K$16,$A57&lt;&gt;S$1,Recharged_Feasible_mat!T26=1),(VLOOKUP(S$1,test!$A$3:$I$32,8,FALSE))-(VLOOKUP($A57,test!$A$3:$I$32,9,FALSE))-test!$B$33,0)</f>
        <v>0</v>
      </c>
      <c r="T57">
        <f>IF(AND(SUM(VLOOKUP($A57,test!$A$3:$F$32,2,FALSE),VLOOKUP(T$1,test!$A$3:$F$32,2,FALSE))&lt;test!$K$16,$A57&lt;&gt;T$1,Recharged_Feasible_mat!U26=1),(VLOOKUP(T$1,test!$A$3:$I$32,8,FALSE))-(VLOOKUP($A57,test!$A$3:$I$32,9,FALSE))-test!$B$33,0)</f>
        <v>0</v>
      </c>
      <c r="U57">
        <f>IF(AND(SUM(VLOOKUP($A57,test!$A$3:$F$32,2,FALSE),VLOOKUP(U$1,test!$A$3:$F$32,2,FALSE))&lt;test!$K$16,$A57&lt;&gt;U$1,Recharged_Feasible_mat!V26=1),(VLOOKUP(U$1,test!$A$3:$I$32,8,FALSE))-(VLOOKUP($A57,test!$A$3:$I$32,9,FALSE))-test!$B$33,0)</f>
        <v>0</v>
      </c>
      <c r="V57">
        <f>IF(AND(SUM(VLOOKUP($A57,test!$A$3:$F$32,2,FALSE),VLOOKUP(V$1,test!$A$3:$F$32,2,FALSE))&lt;test!$K$16,$A57&lt;&gt;V$1,Recharged_Feasible_mat!W26=1),(VLOOKUP(V$1,test!$A$3:$I$32,8,FALSE))-(VLOOKUP($A57,test!$A$3:$I$32,9,FALSE))-test!$B$33,0)</f>
        <v>50</v>
      </c>
      <c r="W57">
        <f>IF(AND(SUM(VLOOKUP($A57,test!$A$3:$F$32,2,FALSE),VLOOKUP(W$1,test!$A$3:$F$32,2,FALSE))&lt;test!$K$16,$A57&lt;&gt;W$1,Recharged_Feasible_mat!X26=1),(VLOOKUP(W$1,test!$A$3:$I$32,8,FALSE))-(VLOOKUP($A57,test!$A$3:$I$32,9,FALSE))-test!$B$33,0)</f>
        <v>140</v>
      </c>
      <c r="X57">
        <f>IF(AND(SUM(VLOOKUP($A57,test!$A$3:$F$32,2,FALSE),VLOOKUP(X$1,test!$A$3:$F$32,2,FALSE))&lt;test!$K$16,$A57&lt;&gt;X$1,Recharged_Feasible_mat!Y26=1),(VLOOKUP(X$1,test!$A$3:$I$32,8,FALSE))-(VLOOKUP($A57,test!$A$3:$I$32,9,FALSE))-test!$B$33,0)</f>
        <v>200</v>
      </c>
      <c r="Y57">
        <f>IF(AND(SUM(VLOOKUP($A57,test!$A$3:$F$32,2,FALSE),VLOOKUP(Y$1,test!$A$3:$F$32,2,FALSE))&lt;test!$K$16,$A57&lt;&gt;Y$1,Recharged_Feasible_mat!Z26=1),(VLOOKUP(Y$1,test!$A$3:$I$32,8,FALSE))-(VLOOKUP($A57,test!$A$3:$I$32,9,FALSE))-test!$B$33,0)</f>
        <v>0</v>
      </c>
      <c r="Z57">
        <f>IF(AND(SUM(VLOOKUP($A57,test!$A$3:$F$32,2,FALSE),VLOOKUP(Z$1,test!$A$3:$F$32,2,FALSE))&lt;test!$K$16,$A57&lt;&gt;Z$1,Recharged_Feasible_mat!AA26=1),(VLOOKUP(Z$1,test!$A$3:$I$32,8,FALSE))-(VLOOKUP($A57,test!$A$3:$I$32,9,FALSE))-test!$B$33,0)</f>
        <v>0</v>
      </c>
      <c r="AA57">
        <f>IF(AND(SUM(VLOOKUP($A57,test!$A$3:$F$32,2,FALSE),VLOOKUP(AA$1,test!$A$3:$F$32,2,FALSE))&lt;test!$K$16,$A57&lt;&gt;AA$1,Recharged_Feasible_mat!AB26=1),(VLOOKUP(AA$1,test!$A$3:$I$32,8,FALSE))-(VLOOKUP($A57,test!$A$3:$I$32,9,FALSE))-test!$B$33,0)</f>
        <v>0</v>
      </c>
      <c r="AB57">
        <f>IF(AND(SUM(VLOOKUP($A57,test!$A$3:$F$32,2,FALSE),VLOOKUP(AB$1,test!$A$3:$F$32,2,FALSE))&lt;test!$K$16,$A57&lt;&gt;AB$1,Recharged_Feasible_mat!AC26=1),(VLOOKUP(AB$1,test!$A$3:$I$32,8,FALSE))-(VLOOKUP($A57,test!$A$3:$I$32,9,FALSE))-test!$B$33,0)</f>
        <v>0</v>
      </c>
      <c r="AC57">
        <f>IF(AND(SUM(VLOOKUP($A57,test!$A$3:$F$32,2,FALSE),VLOOKUP(AC$1,test!$A$3:$F$32,2,FALSE))&lt;test!$K$16,$A57&lt;&gt;AC$1,Recharged_Feasible_mat!AD26=1),(VLOOKUP(AC$1,test!$A$3:$I$32,8,FALSE))-(VLOOKUP($A57,test!$A$3:$I$32,9,FALSE))-test!$B$33,0)</f>
        <v>100</v>
      </c>
      <c r="AD57">
        <f>IF(AND(SUM(VLOOKUP($A57,test!$A$3:$F$32,2,FALSE),VLOOKUP(AD$1,test!$A$3:$F$32,2,FALSE))&lt;test!$K$16,$A57&lt;&gt;AD$1,Recharged_Feasible_mat!AE26=1),(VLOOKUP(AD$1,test!$A$3:$I$32,8,FALSE))-(VLOOKUP($A57,test!$A$3:$I$32,9,FALSE))-test!$B$33,0)</f>
        <v>0</v>
      </c>
      <c r="AE57">
        <f>IF(AND(SUM(VLOOKUP($A57,test!$A$3:$F$32,2,FALSE),VLOOKUP(AE$1,test!$A$3:$F$32,2,FALSE))&lt;test!$K$16,$A57&lt;&gt;AE$1,Recharged_Feasible_mat!AF26=1),(VLOOKUP(AE$1,test!$A$3:$I$32,8,FALSE))-(VLOOKUP($A57,test!$A$3:$I$32,9,FALSE))-test!$B$33,0)</f>
        <v>0</v>
      </c>
      <c r="AF57">
        <f>IF(AND(SUM(VLOOKUP($A57,test!$A$3:$F$32,2,FALSE),VLOOKUP(AF$1,test!$A$3:$F$32,2,FALSE))&lt;test!$K$16,$A57&lt;&gt;AF$1,Recharged_Feasible_mat!AG26=1),(VLOOKUP(AF$1,test!$A$3:$I$32,8,FALSE))-(VLOOKUP($A57,test!$A$3:$I$32,9,FALSE))-test!$B$33,0)</f>
        <v>0</v>
      </c>
    </row>
    <row r="58" spans="1:32" x14ac:dyDescent="0.25">
      <c r="A58" t="s">
        <v>36</v>
      </c>
      <c r="B58">
        <v>0</v>
      </c>
      <c r="C58">
        <f>IF(AND(SUM(VLOOKUP($A58,test!$A$3:$F$32,2,FALSE),VLOOKUP(C$1,test!$A$3:$F$32,2,FALSE))&lt;test!$K$16,$A58&lt;&gt;C$1,Recharged_Feasible_mat!D27=1),(VLOOKUP(C$1,test!$A$3:$I$32,8,FALSE))-(VLOOKUP($A58,test!$A$3:$I$32,9,FALSE))-test!$B$33,0)</f>
        <v>0</v>
      </c>
      <c r="D58">
        <f>IF(AND(SUM(VLOOKUP($A58,test!$A$3:$F$32,2,FALSE),VLOOKUP(D$1,test!$A$3:$F$32,2,FALSE))&lt;test!$K$16,$A58&lt;&gt;D$1,Recharged_Feasible_mat!E27=1),(VLOOKUP(D$1,test!$A$3:$I$32,8,FALSE))-(VLOOKUP($A58,test!$A$3:$I$32,9,FALSE))-test!$B$33,0)</f>
        <v>0</v>
      </c>
      <c r="E58">
        <f>IF(AND(SUM(VLOOKUP($A58,test!$A$3:$F$32,2,FALSE),VLOOKUP(E$1,test!$A$3:$F$32,2,FALSE))&lt;test!$K$16,$A58&lt;&gt;E$1,Recharged_Feasible_mat!F27=1),(VLOOKUP(E$1,test!$A$3:$I$32,8,FALSE))-(VLOOKUP($A58,test!$A$3:$I$32,9,FALSE))-test!$B$33,0)</f>
        <v>0</v>
      </c>
      <c r="F58">
        <f>IF(AND(SUM(VLOOKUP($A58,test!$A$3:$F$32,2,FALSE),VLOOKUP(F$1,test!$A$3:$F$32,2,FALSE))&lt;test!$K$16,$A58&lt;&gt;F$1,Recharged_Feasible_mat!G27=1),(VLOOKUP(F$1,test!$A$3:$I$32,8,FALSE))-(VLOOKUP($A58,test!$A$3:$I$32,9,FALSE))-test!$B$33,0)</f>
        <v>0</v>
      </c>
      <c r="G58">
        <f>IF(AND(SUM(VLOOKUP($A58,test!$A$3:$F$32,2,FALSE),VLOOKUP(G$1,test!$A$3:$F$32,2,FALSE))&lt;test!$K$16,$A58&lt;&gt;G$1,Recharged_Feasible_mat!H27=1),(VLOOKUP(G$1,test!$A$3:$I$32,8,FALSE))-(VLOOKUP($A58,test!$A$3:$I$32,9,FALSE))-test!$B$33,0)</f>
        <v>0</v>
      </c>
      <c r="H58">
        <f>IF(AND(SUM(VLOOKUP($A58,test!$A$3:$F$32,2,FALSE),VLOOKUP(H$1,test!$A$3:$F$32,2,FALSE))&lt;test!$K$16,$A58&lt;&gt;H$1,Recharged_Feasible_mat!I27=1),(VLOOKUP(H$1,test!$A$3:$I$32,8,FALSE))-(VLOOKUP($A58,test!$A$3:$I$32,9,FALSE))-test!$B$33,0)</f>
        <v>0</v>
      </c>
      <c r="I58">
        <f>IF(AND(SUM(VLOOKUP($A58,test!$A$3:$F$32,2,FALSE),VLOOKUP(I$1,test!$A$3:$F$32,2,FALSE))&lt;test!$K$16,$A58&lt;&gt;I$1,Recharged_Feasible_mat!J27=1),(VLOOKUP(I$1,test!$A$3:$I$32,8,FALSE))-(VLOOKUP($A58,test!$A$3:$I$32,9,FALSE))-test!$B$33,0)</f>
        <v>40</v>
      </c>
      <c r="J58">
        <f>IF(AND(SUM(VLOOKUP($A58,test!$A$3:$F$32,2,FALSE),VLOOKUP(J$1,test!$A$3:$F$32,2,FALSE))&lt;test!$K$16,$A58&lt;&gt;J$1,Recharged_Feasible_mat!K27=1),(VLOOKUP(J$1,test!$A$3:$I$32,8,FALSE))-(VLOOKUP($A58,test!$A$3:$I$32,9,FALSE))-test!$B$33,0)</f>
        <v>130</v>
      </c>
      <c r="K58">
        <f>IF(AND(SUM(VLOOKUP($A58,test!$A$3:$F$32,2,FALSE),VLOOKUP(K$1,test!$A$3:$F$32,2,FALSE))&lt;test!$K$16,$A58&lt;&gt;K$1,Recharged_Feasible_mat!L27=1),(VLOOKUP(K$1,test!$A$3:$I$32,8,FALSE))-(VLOOKUP($A58,test!$A$3:$I$32,9,FALSE))-test!$B$33,0)</f>
        <v>0</v>
      </c>
      <c r="L58">
        <f>IF(AND(SUM(VLOOKUP($A58,test!$A$3:$F$32,2,FALSE),VLOOKUP(L$1,test!$A$3:$F$32,2,FALSE))&lt;test!$K$16,$A58&lt;&gt;L$1,Recharged_Feasible_mat!M27=1),(VLOOKUP(L$1,test!$A$3:$I$32,8,FALSE))-(VLOOKUP($A58,test!$A$3:$I$32,9,FALSE))-test!$B$33,0)</f>
        <v>0</v>
      </c>
      <c r="M58">
        <f>IF(AND(SUM(VLOOKUP($A58,test!$A$3:$F$32,2,FALSE),VLOOKUP(M$1,test!$A$3:$F$32,2,FALSE))&lt;test!$K$16,$A58&lt;&gt;M$1,Recharged_Feasible_mat!N27=1),(VLOOKUP(M$1,test!$A$3:$I$32,8,FALSE))-(VLOOKUP($A58,test!$A$3:$I$32,9,FALSE))-test!$B$33,0)</f>
        <v>0</v>
      </c>
      <c r="N58">
        <f>IF(AND(SUM(VLOOKUP($A58,test!$A$3:$F$32,2,FALSE),VLOOKUP(N$1,test!$A$3:$F$32,2,FALSE))&lt;test!$K$16,$A58&lt;&gt;N$1,Recharged_Feasible_mat!O27=1),(VLOOKUP(N$1,test!$A$3:$I$32,8,FALSE))-(VLOOKUP($A58,test!$A$3:$I$32,9,FALSE))-test!$B$33,0)</f>
        <v>95</v>
      </c>
      <c r="O58">
        <f>IF(AND(SUM(VLOOKUP($A58,test!$A$3:$F$32,2,FALSE),VLOOKUP(O$1,test!$A$3:$F$32,2,FALSE))&lt;test!$K$16,$A58&lt;&gt;O$1,Recharged_Feasible_mat!P27=1),(VLOOKUP(O$1,test!$A$3:$I$32,8,FALSE))-(VLOOKUP($A58,test!$A$3:$I$32,9,FALSE))-test!$B$33,0)</f>
        <v>155</v>
      </c>
      <c r="P58">
        <f>IF(AND(SUM(VLOOKUP($A58,test!$A$3:$F$32,2,FALSE),VLOOKUP(P$1,test!$A$3:$F$32,2,FALSE))&lt;test!$K$16,$A58&lt;&gt;P$1,Recharged_Feasible_mat!Q27=1),(VLOOKUP(P$1,test!$A$3:$I$32,8,FALSE))-(VLOOKUP($A58,test!$A$3:$I$32,9,FALSE))-test!$B$33,0)</f>
        <v>0</v>
      </c>
      <c r="Q58">
        <f>IF(AND(SUM(VLOOKUP($A58,test!$A$3:$F$32,2,FALSE),VLOOKUP(Q$1,test!$A$3:$F$32,2,FALSE))&lt;test!$K$16,$A58&lt;&gt;Q$1,Recharged_Feasible_mat!R27=1),(VLOOKUP(Q$1,test!$A$3:$I$32,8,FALSE))-(VLOOKUP($A58,test!$A$3:$I$32,9,FALSE))-test!$B$33,0)</f>
        <v>0</v>
      </c>
      <c r="R58">
        <f>IF(AND(SUM(VLOOKUP($A58,test!$A$3:$F$32,2,FALSE),VLOOKUP(R$1,test!$A$3:$F$32,2,FALSE))&lt;test!$K$16,$A58&lt;&gt;R$1,Recharged_Feasible_mat!S27=1),(VLOOKUP(R$1,test!$A$3:$I$32,8,FALSE))-(VLOOKUP($A58,test!$A$3:$I$32,9,FALSE))-test!$B$33,0)</f>
        <v>0</v>
      </c>
      <c r="S58">
        <f>IF(AND(SUM(VLOOKUP($A58,test!$A$3:$F$32,2,FALSE),VLOOKUP(S$1,test!$A$3:$F$32,2,FALSE))&lt;test!$K$16,$A58&lt;&gt;S$1,Recharged_Feasible_mat!T27=1),(VLOOKUP(S$1,test!$A$3:$I$32,8,FALSE))-(VLOOKUP($A58,test!$A$3:$I$32,9,FALSE))-test!$B$33,0)</f>
        <v>0</v>
      </c>
      <c r="T58">
        <f>IF(AND(SUM(VLOOKUP($A58,test!$A$3:$F$32,2,FALSE),VLOOKUP(T$1,test!$A$3:$F$32,2,FALSE))&lt;test!$K$16,$A58&lt;&gt;T$1,Recharged_Feasible_mat!U27=1),(VLOOKUP(T$1,test!$A$3:$I$32,8,FALSE))-(VLOOKUP($A58,test!$A$3:$I$32,9,FALSE))-test!$B$33,0)</f>
        <v>0</v>
      </c>
      <c r="U58">
        <f>IF(AND(SUM(VLOOKUP($A58,test!$A$3:$F$32,2,FALSE),VLOOKUP(U$1,test!$A$3:$F$32,2,FALSE))&lt;test!$K$16,$A58&lt;&gt;U$1,Recharged_Feasible_mat!V27=1),(VLOOKUP(U$1,test!$A$3:$I$32,8,FALSE))-(VLOOKUP($A58,test!$A$3:$I$32,9,FALSE))-test!$B$33,0)</f>
        <v>0</v>
      </c>
      <c r="V58">
        <f>IF(AND(SUM(VLOOKUP($A58,test!$A$3:$F$32,2,FALSE),VLOOKUP(V$1,test!$A$3:$F$32,2,FALSE))&lt;test!$K$16,$A58&lt;&gt;V$1,Recharged_Feasible_mat!W27=1),(VLOOKUP(V$1,test!$A$3:$I$32,8,FALSE))-(VLOOKUP($A58,test!$A$3:$I$32,9,FALSE))-test!$B$33,0)</f>
        <v>0</v>
      </c>
      <c r="W58">
        <f>IF(AND(SUM(VLOOKUP($A58,test!$A$3:$F$32,2,FALSE),VLOOKUP(W$1,test!$A$3:$F$32,2,FALSE))&lt;test!$K$16,$A58&lt;&gt;W$1,Recharged_Feasible_mat!X27=1),(VLOOKUP(W$1,test!$A$3:$I$32,8,FALSE))-(VLOOKUP($A58,test!$A$3:$I$32,9,FALSE))-test!$B$33,0)</f>
        <v>20</v>
      </c>
      <c r="X58">
        <f>IF(AND(SUM(VLOOKUP($A58,test!$A$3:$F$32,2,FALSE),VLOOKUP(X$1,test!$A$3:$F$32,2,FALSE))&lt;test!$K$16,$A58&lt;&gt;X$1,Recharged_Feasible_mat!Y27=1),(VLOOKUP(X$1,test!$A$3:$I$32,8,FALSE))-(VLOOKUP($A58,test!$A$3:$I$32,9,FALSE))-test!$B$33,0)</f>
        <v>80</v>
      </c>
      <c r="Y58">
        <f>IF(AND(SUM(VLOOKUP($A58,test!$A$3:$F$32,2,FALSE),VLOOKUP(Y$1,test!$A$3:$F$32,2,FALSE))&lt;test!$K$16,$A58&lt;&gt;Y$1,Recharged_Feasible_mat!Z27=1),(VLOOKUP(Y$1,test!$A$3:$I$32,8,FALSE))-(VLOOKUP($A58,test!$A$3:$I$32,9,FALSE))-test!$B$33,0)</f>
        <v>0</v>
      </c>
      <c r="Z58">
        <f>IF(AND(SUM(VLOOKUP($A58,test!$A$3:$F$32,2,FALSE),VLOOKUP(Z$1,test!$A$3:$F$32,2,FALSE))&lt;test!$K$16,$A58&lt;&gt;Z$1,Recharged_Feasible_mat!AA27=1),(VLOOKUP(Z$1,test!$A$3:$I$32,8,FALSE))-(VLOOKUP($A58,test!$A$3:$I$32,9,FALSE))-test!$B$33,0)</f>
        <v>0</v>
      </c>
      <c r="AA58">
        <f>IF(AND(SUM(VLOOKUP($A58,test!$A$3:$F$32,2,FALSE),VLOOKUP(AA$1,test!$A$3:$F$32,2,FALSE))&lt;test!$K$16,$A58&lt;&gt;AA$1,Recharged_Feasible_mat!AB27=1),(VLOOKUP(AA$1,test!$A$3:$I$32,8,FALSE))-(VLOOKUP($A58,test!$A$3:$I$32,9,FALSE))-test!$B$33,0)</f>
        <v>0</v>
      </c>
      <c r="AB58">
        <f>IF(AND(SUM(VLOOKUP($A58,test!$A$3:$F$32,2,FALSE),VLOOKUP(AB$1,test!$A$3:$F$32,2,FALSE))&lt;test!$K$16,$A58&lt;&gt;AB$1,Recharged_Feasible_mat!AC27=1),(VLOOKUP(AB$1,test!$A$3:$I$32,8,FALSE))-(VLOOKUP($A58,test!$A$3:$I$32,9,FALSE))-test!$B$33,0)</f>
        <v>0</v>
      </c>
      <c r="AC58">
        <f>IF(AND(SUM(VLOOKUP($A58,test!$A$3:$F$32,2,FALSE),VLOOKUP(AC$1,test!$A$3:$F$32,2,FALSE))&lt;test!$K$16,$A58&lt;&gt;AC$1,Recharged_Feasible_mat!AD27=1),(VLOOKUP(AC$1,test!$A$3:$I$32,8,FALSE))-(VLOOKUP($A58,test!$A$3:$I$32,9,FALSE))-test!$B$33,0)</f>
        <v>0</v>
      </c>
      <c r="AD58">
        <f>IF(AND(SUM(VLOOKUP($A58,test!$A$3:$F$32,2,FALSE),VLOOKUP(AD$1,test!$A$3:$F$32,2,FALSE))&lt;test!$K$16,$A58&lt;&gt;AD$1,Recharged_Feasible_mat!AE27=1),(VLOOKUP(AD$1,test!$A$3:$I$32,8,FALSE))-(VLOOKUP($A58,test!$A$3:$I$32,9,FALSE))-test!$B$33,0)</f>
        <v>0</v>
      </c>
      <c r="AE58">
        <f>IF(AND(SUM(VLOOKUP($A58,test!$A$3:$F$32,2,FALSE),VLOOKUP(AE$1,test!$A$3:$F$32,2,FALSE))&lt;test!$K$16,$A58&lt;&gt;AE$1,Recharged_Feasible_mat!AF27=1),(VLOOKUP(AE$1,test!$A$3:$I$32,8,FALSE))-(VLOOKUP($A58,test!$A$3:$I$32,9,FALSE))-test!$B$33,0)</f>
        <v>0</v>
      </c>
      <c r="AF58">
        <f>IF(AND(SUM(VLOOKUP($A58,test!$A$3:$F$32,2,FALSE),VLOOKUP(AF$1,test!$A$3:$F$32,2,FALSE))&lt;test!$K$16,$A58&lt;&gt;AF$1,Recharged_Feasible_mat!AG27=1),(VLOOKUP(AF$1,test!$A$3:$I$32,8,FALSE))-(VLOOKUP($A58,test!$A$3:$I$32,9,FALSE))-test!$B$33,0)</f>
        <v>0</v>
      </c>
    </row>
    <row r="59" spans="1:32" x14ac:dyDescent="0.25">
      <c r="A59" t="s">
        <v>37</v>
      </c>
      <c r="B59">
        <v>0</v>
      </c>
      <c r="C59">
        <f>IF(AND(SUM(VLOOKUP($A59,test!$A$3:$F$32,2,FALSE),VLOOKUP(C$1,test!$A$3:$F$32,2,FALSE))&lt;test!$K$16,$A59&lt;&gt;C$1,Recharged_Feasible_mat!D28=1),(VLOOKUP(C$1,test!$A$3:$I$32,8,FALSE))-(VLOOKUP($A59,test!$A$3:$I$32,9,FALSE))-test!$B$33,0)</f>
        <v>0</v>
      </c>
      <c r="D59">
        <f>IF(AND(SUM(VLOOKUP($A59,test!$A$3:$F$32,2,FALSE),VLOOKUP(D$1,test!$A$3:$F$32,2,FALSE))&lt;test!$K$16,$A59&lt;&gt;D$1,Recharged_Feasible_mat!E28=1),(VLOOKUP(D$1,test!$A$3:$I$32,8,FALSE))-(VLOOKUP($A59,test!$A$3:$I$32,9,FALSE))-test!$B$33,0)</f>
        <v>0</v>
      </c>
      <c r="E59">
        <f>IF(AND(SUM(VLOOKUP($A59,test!$A$3:$F$32,2,FALSE),VLOOKUP(E$1,test!$A$3:$F$32,2,FALSE))&lt;test!$K$16,$A59&lt;&gt;E$1,Recharged_Feasible_mat!F28=1),(VLOOKUP(E$1,test!$A$3:$I$32,8,FALSE))-(VLOOKUP($A59,test!$A$3:$I$32,9,FALSE))-test!$B$33,0)</f>
        <v>0</v>
      </c>
      <c r="F59">
        <f>IF(AND(SUM(VLOOKUP($A59,test!$A$3:$F$32,2,FALSE),VLOOKUP(F$1,test!$A$3:$F$32,2,FALSE))&lt;test!$K$16,$A59&lt;&gt;F$1,Recharged_Feasible_mat!G28=1),(VLOOKUP(F$1,test!$A$3:$I$32,8,FALSE))-(VLOOKUP($A59,test!$A$3:$I$32,9,FALSE))-test!$B$33,0)</f>
        <v>0</v>
      </c>
      <c r="G59">
        <f>IF(AND(SUM(VLOOKUP($A59,test!$A$3:$F$32,2,FALSE),VLOOKUP(G$1,test!$A$3:$F$32,2,FALSE))&lt;test!$K$16,$A59&lt;&gt;G$1,Recharged_Feasible_mat!H28=1),(VLOOKUP(G$1,test!$A$3:$I$32,8,FALSE))-(VLOOKUP($A59,test!$A$3:$I$32,9,FALSE))-test!$B$33,0)</f>
        <v>0</v>
      </c>
      <c r="H59">
        <f>IF(AND(SUM(VLOOKUP($A59,test!$A$3:$F$32,2,FALSE),VLOOKUP(H$1,test!$A$3:$F$32,2,FALSE))&lt;test!$K$16,$A59&lt;&gt;H$1,Recharged_Feasible_mat!I28=1),(VLOOKUP(H$1,test!$A$3:$I$32,8,FALSE))-(VLOOKUP($A59,test!$A$3:$I$32,9,FALSE))-test!$B$33,0)</f>
        <v>0</v>
      </c>
      <c r="I59">
        <f>IF(AND(SUM(VLOOKUP($A59,test!$A$3:$F$32,2,FALSE),VLOOKUP(I$1,test!$A$3:$F$32,2,FALSE))&lt;test!$K$16,$A59&lt;&gt;I$1,Recharged_Feasible_mat!J28=1),(VLOOKUP(I$1,test!$A$3:$I$32,8,FALSE))-(VLOOKUP($A59,test!$A$3:$I$32,9,FALSE))-test!$B$33,0)</f>
        <v>0</v>
      </c>
      <c r="J59">
        <f>IF(AND(SUM(VLOOKUP($A59,test!$A$3:$F$32,2,FALSE),VLOOKUP(J$1,test!$A$3:$F$32,2,FALSE))&lt;test!$K$16,$A59&lt;&gt;J$1,Recharged_Feasible_mat!K28=1),(VLOOKUP(J$1,test!$A$3:$I$32,8,FALSE))-(VLOOKUP($A59,test!$A$3:$I$32,9,FALSE))-test!$B$33,0)</f>
        <v>70</v>
      </c>
      <c r="K59">
        <f>IF(AND(SUM(VLOOKUP($A59,test!$A$3:$F$32,2,FALSE),VLOOKUP(K$1,test!$A$3:$F$32,2,FALSE))&lt;test!$K$16,$A59&lt;&gt;K$1,Recharged_Feasible_mat!L28=1),(VLOOKUP(K$1,test!$A$3:$I$32,8,FALSE))-(VLOOKUP($A59,test!$A$3:$I$32,9,FALSE))-test!$B$33,0)</f>
        <v>0</v>
      </c>
      <c r="L59">
        <f>IF(AND(SUM(VLOOKUP($A59,test!$A$3:$F$32,2,FALSE),VLOOKUP(L$1,test!$A$3:$F$32,2,FALSE))&lt;test!$K$16,$A59&lt;&gt;L$1,Recharged_Feasible_mat!M28=1),(VLOOKUP(L$1,test!$A$3:$I$32,8,FALSE))-(VLOOKUP($A59,test!$A$3:$I$32,9,FALSE))-test!$B$33,0)</f>
        <v>0</v>
      </c>
      <c r="M59">
        <f>IF(AND(SUM(VLOOKUP($A59,test!$A$3:$F$32,2,FALSE),VLOOKUP(M$1,test!$A$3:$F$32,2,FALSE))&lt;test!$K$16,$A59&lt;&gt;M$1,Recharged_Feasible_mat!N28=1),(VLOOKUP(M$1,test!$A$3:$I$32,8,FALSE))-(VLOOKUP($A59,test!$A$3:$I$32,9,FALSE))-test!$B$33,0)</f>
        <v>0</v>
      </c>
      <c r="N59">
        <f>IF(AND(SUM(VLOOKUP($A59,test!$A$3:$F$32,2,FALSE),VLOOKUP(N$1,test!$A$3:$F$32,2,FALSE))&lt;test!$K$16,$A59&lt;&gt;N$1,Recharged_Feasible_mat!O28=1),(VLOOKUP(N$1,test!$A$3:$I$32,8,FALSE))-(VLOOKUP($A59,test!$A$3:$I$32,9,FALSE))-test!$B$33,0)</f>
        <v>35</v>
      </c>
      <c r="O59">
        <f>IF(AND(SUM(VLOOKUP($A59,test!$A$3:$F$32,2,FALSE),VLOOKUP(O$1,test!$A$3:$F$32,2,FALSE))&lt;test!$K$16,$A59&lt;&gt;O$1,Recharged_Feasible_mat!P28=1),(VLOOKUP(O$1,test!$A$3:$I$32,8,FALSE))-(VLOOKUP($A59,test!$A$3:$I$32,9,FALSE))-test!$B$33,0)</f>
        <v>95</v>
      </c>
      <c r="P59">
        <f>IF(AND(SUM(VLOOKUP($A59,test!$A$3:$F$32,2,FALSE),VLOOKUP(P$1,test!$A$3:$F$32,2,FALSE))&lt;test!$K$16,$A59&lt;&gt;P$1,Recharged_Feasible_mat!Q28=1),(VLOOKUP(P$1,test!$A$3:$I$32,8,FALSE))-(VLOOKUP($A59,test!$A$3:$I$32,9,FALSE))-test!$B$33,0)</f>
        <v>0</v>
      </c>
      <c r="Q59">
        <f>IF(AND(SUM(VLOOKUP($A59,test!$A$3:$F$32,2,FALSE),VLOOKUP(Q$1,test!$A$3:$F$32,2,FALSE))&lt;test!$K$16,$A59&lt;&gt;Q$1,Recharged_Feasible_mat!R28=1),(VLOOKUP(Q$1,test!$A$3:$I$32,8,FALSE))-(VLOOKUP($A59,test!$A$3:$I$32,9,FALSE))-test!$B$33,0)</f>
        <v>0</v>
      </c>
      <c r="R59">
        <f>IF(AND(SUM(VLOOKUP($A59,test!$A$3:$F$32,2,FALSE),VLOOKUP(R$1,test!$A$3:$F$32,2,FALSE))&lt;test!$K$16,$A59&lt;&gt;R$1,Recharged_Feasible_mat!S28=1),(VLOOKUP(R$1,test!$A$3:$I$32,8,FALSE))-(VLOOKUP($A59,test!$A$3:$I$32,9,FALSE))-test!$B$33,0)</f>
        <v>0</v>
      </c>
      <c r="S59">
        <f>IF(AND(SUM(VLOOKUP($A59,test!$A$3:$F$32,2,FALSE),VLOOKUP(S$1,test!$A$3:$F$32,2,FALSE))&lt;test!$K$16,$A59&lt;&gt;S$1,Recharged_Feasible_mat!T28=1),(VLOOKUP(S$1,test!$A$3:$I$32,8,FALSE))-(VLOOKUP($A59,test!$A$3:$I$32,9,FALSE))-test!$B$33,0)</f>
        <v>0</v>
      </c>
      <c r="T59">
        <f>IF(AND(SUM(VLOOKUP($A59,test!$A$3:$F$32,2,FALSE),VLOOKUP(T$1,test!$A$3:$F$32,2,FALSE))&lt;test!$K$16,$A59&lt;&gt;T$1,Recharged_Feasible_mat!U28=1),(VLOOKUP(T$1,test!$A$3:$I$32,8,FALSE))-(VLOOKUP($A59,test!$A$3:$I$32,9,FALSE))-test!$B$33,0)</f>
        <v>0</v>
      </c>
      <c r="U59">
        <f>IF(AND(SUM(VLOOKUP($A59,test!$A$3:$F$32,2,FALSE),VLOOKUP(U$1,test!$A$3:$F$32,2,FALSE))&lt;test!$K$16,$A59&lt;&gt;U$1,Recharged_Feasible_mat!V28=1),(VLOOKUP(U$1,test!$A$3:$I$32,8,FALSE))-(VLOOKUP($A59,test!$A$3:$I$32,9,FALSE))-test!$B$33,0)</f>
        <v>0</v>
      </c>
      <c r="V59">
        <f>IF(AND(SUM(VLOOKUP($A59,test!$A$3:$F$32,2,FALSE),VLOOKUP(V$1,test!$A$3:$F$32,2,FALSE))&lt;test!$K$16,$A59&lt;&gt;V$1,Recharged_Feasible_mat!W28=1),(VLOOKUP(V$1,test!$A$3:$I$32,8,FALSE))-(VLOOKUP($A59,test!$A$3:$I$32,9,FALSE))-test!$B$33,0)</f>
        <v>0</v>
      </c>
      <c r="W59">
        <f>IF(AND(SUM(VLOOKUP($A59,test!$A$3:$F$32,2,FALSE),VLOOKUP(W$1,test!$A$3:$F$32,2,FALSE))&lt;test!$K$16,$A59&lt;&gt;W$1,Recharged_Feasible_mat!X28=1),(VLOOKUP(W$1,test!$A$3:$I$32,8,FALSE))-(VLOOKUP($A59,test!$A$3:$I$32,9,FALSE))-test!$B$33,0)</f>
        <v>0</v>
      </c>
      <c r="X59">
        <f>IF(AND(SUM(VLOOKUP($A59,test!$A$3:$F$32,2,FALSE),VLOOKUP(X$1,test!$A$3:$F$32,2,FALSE))&lt;test!$K$16,$A59&lt;&gt;X$1,Recharged_Feasible_mat!Y28=1),(VLOOKUP(X$1,test!$A$3:$I$32,8,FALSE))-(VLOOKUP($A59,test!$A$3:$I$32,9,FALSE))-test!$B$33,0)</f>
        <v>20</v>
      </c>
      <c r="Y59">
        <f>IF(AND(SUM(VLOOKUP($A59,test!$A$3:$F$32,2,FALSE),VLOOKUP(Y$1,test!$A$3:$F$32,2,FALSE))&lt;test!$K$16,$A59&lt;&gt;Y$1,Recharged_Feasible_mat!Z28=1),(VLOOKUP(Y$1,test!$A$3:$I$32,8,FALSE))-(VLOOKUP($A59,test!$A$3:$I$32,9,FALSE))-test!$B$33,0)</f>
        <v>0</v>
      </c>
      <c r="Z59">
        <f>IF(AND(SUM(VLOOKUP($A59,test!$A$3:$F$32,2,FALSE),VLOOKUP(Z$1,test!$A$3:$F$32,2,FALSE))&lt;test!$K$16,$A59&lt;&gt;Z$1,Recharged_Feasible_mat!AA28=1),(VLOOKUP(Z$1,test!$A$3:$I$32,8,FALSE))-(VLOOKUP($A59,test!$A$3:$I$32,9,FALSE))-test!$B$33,0)</f>
        <v>0</v>
      </c>
      <c r="AA59">
        <f>IF(AND(SUM(VLOOKUP($A59,test!$A$3:$F$32,2,FALSE),VLOOKUP(AA$1,test!$A$3:$F$32,2,FALSE))&lt;test!$K$16,$A59&lt;&gt;AA$1,Recharged_Feasible_mat!AB28=1),(VLOOKUP(AA$1,test!$A$3:$I$32,8,FALSE))-(VLOOKUP($A59,test!$A$3:$I$32,9,FALSE))-test!$B$33,0)</f>
        <v>0</v>
      </c>
      <c r="AB59">
        <f>IF(AND(SUM(VLOOKUP($A59,test!$A$3:$F$32,2,FALSE),VLOOKUP(AB$1,test!$A$3:$F$32,2,FALSE))&lt;test!$K$16,$A59&lt;&gt;AB$1,Recharged_Feasible_mat!AC28=1),(VLOOKUP(AB$1,test!$A$3:$I$32,8,FALSE))-(VLOOKUP($A59,test!$A$3:$I$32,9,FALSE))-test!$B$33,0)</f>
        <v>0</v>
      </c>
      <c r="AC59">
        <f>IF(AND(SUM(VLOOKUP($A59,test!$A$3:$F$32,2,FALSE),VLOOKUP(AC$1,test!$A$3:$F$32,2,FALSE))&lt;test!$K$16,$A59&lt;&gt;AC$1,Recharged_Feasible_mat!AD28=1),(VLOOKUP(AC$1,test!$A$3:$I$32,8,FALSE))-(VLOOKUP($A59,test!$A$3:$I$32,9,FALSE))-test!$B$33,0)</f>
        <v>0</v>
      </c>
      <c r="AD59">
        <f>IF(AND(SUM(VLOOKUP($A59,test!$A$3:$F$32,2,FALSE),VLOOKUP(AD$1,test!$A$3:$F$32,2,FALSE))&lt;test!$K$16,$A59&lt;&gt;AD$1,Recharged_Feasible_mat!AE28=1),(VLOOKUP(AD$1,test!$A$3:$I$32,8,FALSE))-(VLOOKUP($A59,test!$A$3:$I$32,9,FALSE))-test!$B$33,0)</f>
        <v>0</v>
      </c>
      <c r="AE59">
        <f>IF(AND(SUM(VLOOKUP($A59,test!$A$3:$F$32,2,FALSE),VLOOKUP(AE$1,test!$A$3:$F$32,2,FALSE))&lt;test!$K$16,$A59&lt;&gt;AE$1,Recharged_Feasible_mat!AF28=1),(VLOOKUP(AE$1,test!$A$3:$I$32,8,FALSE))-(VLOOKUP($A59,test!$A$3:$I$32,9,FALSE))-test!$B$33,0)</f>
        <v>0</v>
      </c>
      <c r="AF59">
        <f>IF(AND(SUM(VLOOKUP($A59,test!$A$3:$F$32,2,FALSE),VLOOKUP(AF$1,test!$A$3:$F$32,2,FALSE))&lt;test!$K$16,$A59&lt;&gt;AF$1,Recharged_Feasible_mat!AG28=1),(VLOOKUP(AF$1,test!$A$3:$I$32,8,FALSE))-(VLOOKUP($A59,test!$A$3:$I$32,9,FALSE))-test!$B$33,0)</f>
        <v>0</v>
      </c>
    </row>
    <row r="60" spans="1:32" x14ac:dyDescent="0.25">
      <c r="A60" t="s">
        <v>38</v>
      </c>
      <c r="B60">
        <v>0</v>
      </c>
      <c r="C60">
        <f>IF(AND(SUM(VLOOKUP($A60,test!$A$3:$F$32,2,FALSE),VLOOKUP(C$1,test!$A$3:$F$32,2,FALSE))&lt;test!$K$16,$A60&lt;&gt;C$1,Recharged_Feasible_mat!D29=1),(VLOOKUP(C$1,test!$A$3:$I$32,8,FALSE))-(VLOOKUP($A60,test!$A$3:$I$32,9,FALSE))-test!$B$33,0)</f>
        <v>0</v>
      </c>
      <c r="D60">
        <f>IF(AND(SUM(VLOOKUP($A60,test!$A$3:$F$32,2,FALSE),VLOOKUP(D$1,test!$A$3:$F$32,2,FALSE))&lt;test!$K$16,$A60&lt;&gt;D$1,Recharged_Feasible_mat!E29=1),(VLOOKUP(D$1,test!$A$3:$I$32,8,FALSE))-(VLOOKUP($A60,test!$A$3:$I$32,9,FALSE))-test!$B$33,0)</f>
        <v>0</v>
      </c>
      <c r="E60">
        <f>IF(AND(SUM(VLOOKUP($A60,test!$A$3:$F$32,2,FALSE),VLOOKUP(E$1,test!$A$3:$F$32,2,FALSE))&lt;test!$K$16,$A60&lt;&gt;E$1,Recharged_Feasible_mat!F29=1),(VLOOKUP(E$1,test!$A$3:$I$32,8,FALSE))-(VLOOKUP($A60,test!$A$3:$I$32,9,FALSE))-test!$B$33,0)</f>
        <v>0</v>
      </c>
      <c r="F60">
        <f>IF(AND(SUM(VLOOKUP($A60,test!$A$3:$F$32,2,FALSE),VLOOKUP(F$1,test!$A$3:$F$32,2,FALSE))&lt;test!$K$16,$A60&lt;&gt;F$1,Recharged_Feasible_mat!G29=1),(VLOOKUP(F$1,test!$A$3:$I$32,8,FALSE))-(VLOOKUP($A60,test!$A$3:$I$32,9,FALSE))-test!$B$33,0)</f>
        <v>0</v>
      </c>
      <c r="G60">
        <f>IF(AND(SUM(VLOOKUP($A60,test!$A$3:$F$32,2,FALSE),VLOOKUP(G$1,test!$A$3:$F$32,2,FALSE))&lt;test!$K$16,$A60&lt;&gt;G$1,Recharged_Feasible_mat!H29=1),(VLOOKUP(G$1,test!$A$3:$I$32,8,FALSE))-(VLOOKUP($A60,test!$A$3:$I$32,9,FALSE))-test!$B$33,0)</f>
        <v>0</v>
      </c>
      <c r="H60">
        <f>IF(AND(SUM(VLOOKUP($A60,test!$A$3:$F$32,2,FALSE),VLOOKUP(H$1,test!$A$3:$F$32,2,FALSE))&lt;test!$K$16,$A60&lt;&gt;H$1,Recharged_Feasible_mat!I29=1),(VLOOKUP(H$1,test!$A$3:$I$32,8,FALSE))-(VLOOKUP($A60,test!$A$3:$I$32,9,FALSE))-test!$B$33,0)</f>
        <v>0</v>
      </c>
      <c r="I60">
        <f>IF(AND(SUM(VLOOKUP($A60,test!$A$3:$F$32,2,FALSE),VLOOKUP(I$1,test!$A$3:$F$32,2,FALSE))&lt;test!$K$16,$A60&lt;&gt;I$1,Recharged_Feasible_mat!J29=1),(VLOOKUP(I$1,test!$A$3:$I$32,8,FALSE))-(VLOOKUP($A60,test!$A$3:$I$32,9,FALSE))-test!$B$33,0)</f>
        <v>0</v>
      </c>
      <c r="J60">
        <f>IF(AND(SUM(VLOOKUP($A60,test!$A$3:$F$32,2,FALSE),VLOOKUP(J$1,test!$A$3:$F$32,2,FALSE))&lt;test!$K$16,$A60&lt;&gt;J$1,Recharged_Feasible_mat!K29=1),(VLOOKUP(J$1,test!$A$3:$I$32,8,FALSE))-(VLOOKUP($A60,test!$A$3:$I$32,9,FALSE))-test!$B$33,0)</f>
        <v>0</v>
      </c>
      <c r="K60">
        <f>IF(AND(SUM(VLOOKUP($A60,test!$A$3:$F$32,2,FALSE),VLOOKUP(K$1,test!$A$3:$F$32,2,FALSE))&lt;test!$K$16,$A60&lt;&gt;K$1,Recharged_Feasible_mat!L29=1),(VLOOKUP(K$1,test!$A$3:$I$32,8,FALSE))-(VLOOKUP($A60,test!$A$3:$I$32,9,FALSE))-test!$B$33,0)</f>
        <v>0</v>
      </c>
      <c r="L60">
        <f>IF(AND(SUM(VLOOKUP($A60,test!$A$3:$F$32,2,FALSE),VLOOKUP(L$1,test!$A$3:$F$32,2,FALSE))&lt;test!$K$16,$A60&lt;&gt;L$1,Recharged_Feasible_mat!M29=1),(VLOOKUP(L$1,test!$A$3:$I$32,8,FALSE))-(VLOOKUP($A60,test!$A$3:$I$32,9,FALSE))-test!$B$33,0)</f>
        <v>0</v>
      </c>
      <c r="M60">
        <f>IF(AND(SUM(VLOOKUP($A60,test!$A$3:$F$32,2,FALSE),VLOOKUP(M$1,test!$A$3:$F$32,2,FALSE))&lt;test!$K$16,$A60&lt;&gt;M$1,Recharged_Feasible_mat!N29=1),(VLOOKUP(M$1,test!$A$3:$I$32,8,FALSE))-(VLOOKUP($A60,test!$A$3:$I$32,9,FALSE))-test!$B$33,0)</f>
        <v>0</v>
      </c>
      <c r="N60">
        <f>IF(AND(SUM(VLOOKUP($A60,test!$A$3:$F$32,2,FALSE),VLOOKUP(N$1,test!$A$3:$F$32,2,FALSE))&lt;test!$K$16,$A60&lt;&gt;N$1,Recharged_Feasible_mat!O29=1),(VLOOKUP(N$1,test!$A$3:$I$32,8,FALSE))-(VLOOKUP($A60,test!$A$3:$I$32,9,FALSE))-test!$B$33,0)</f>
        <v>0</v>
      </c>
      <c r="O60">
        <f>IF(AND(SUM(VLOOKUP($A60,test!$A$3:$F$32,2,FALSE),VLOOKUP(O$1,test!$A$3:$F$32,2,FALSE))&lt;test!$K$16,$A60&lt;&gt;O$1,Recharged_Feasible_mat!P29=1),(VLOOKUP(O$1,test!$A$3:$I$32,8,FALSE))-(VLOOKUP($A60,test!$A$3:$I$32,9,FALSE))-test!$B$33,0)</f>
        <v>0</v>
      </c>
      <c r="P60">
        <f>IF(AND(SUM(VLOOKUP($A60,test!$A$3:$F$32,2,FALSE),VLOOKUP(P$1,test!$A$3:$F$32,2,FALSE))&lt;test!$K$16,$A60&lt;&gt;P$1,Recharged_Feasible_mat!Q29=1),(VLOOKUP(P$1,test!$A$3:$I$32,8,FALSE))-(VLOOKUP($A60,test!$A$3:$I$32,9,FALSE))-test!$B$33,0)</f>
        <v>0</v>
      </c>
      <c r="Q60">
        <f>IF(AND(SUM(VLOOKUP($A60,test!$A$3:$F$32,2,FALSE),VLOOKUP(Q$1,test!$A$3:$F$32,2,FALSE))&lt;test!$K$16,$A60&lt;&gt;Q$1,Recharged_Feasible_mat!R29=1),(VLOOKUP(Q$1,test!$A$3:$I$32,8,FALSE))-(VLOOKUP($A60,test!$A$3:$I$32,9,FALSE))-test!$B$33,0)</f>
        <v>0</v>
      </c>
      <c r="R60">
        <f>IF(AND(SUM(VLOOKUP($A60,test!$A$3:$F$32,2,FALSE),VLOOKUP(R$1,test!$A$3:$F$32,2,FALSE))&lt;test!$K$16,$A60&lt;&gt;R$1,Recharged_Feasible_mat!S29=1),(VLOOKUP(R$1,test!$A$3:$I$32,8,FALSE))-(VLOOKUP($A60,test!$A$3:$I$32,9,FALSE))-test!$B$33,0)</f>
        <v>0</v>
      </c>
      <c r="S60">
        <f>IF(AND(SUM(VLOOKUP($A60,test!$A$3:$F$32,2,FALSE),VLOOKUP(S$1,test!$A$3:$F$32,2,FALSE))&lt;test!$K$16,$A60&lt;&gt;S$1,Recharged_Feasible_mat!T29=1),(VLOOKUP(S$1,test!$A$3:$I$32,8,FALSE))-(VLOOKUP($A60,test!$A$3:$I$32,9,FALSE))-test!$B$33,0)</f>
        <v>0</v>
      </c>
      <c r="T60">
        <f>IF(AND(SUM(VLOOKUP($A60,test!$A$3:$F$32,2,FALSE),VLOOKUP(T$1,test!$A$3:$F$32,2,FALSE))&lt;test!$K$16,$A60&lt;&gt;T$1,Recharged_Feasible_mat!U29=1),(VLOOKUP(T$1,test!$A$3:$I$32,8,FALSE))-(VLOOKUP($A60,test!$A$3:$I$32,9,FALSE))-test!$B$33,0)</f>
        <v>0</v>
      </c>
      <c r="U60">
        <f>IF(AND(SUM(VLOOKUP($A60,test!$A$3:$F$32,2,FALSE),VLOOKUP(U$1,test!$A$3:$F$32,2,FALSE))&lt;test!$K$16,$A60&lt;&gt;U$1,Recharged_Feasible_mat!V29=1),(VLOOKUP(U$1,test!$A$3:$I$32,8,FALSE))-(VLOOKUP($A60,test!$A$3:$I$32,9,FALSE))-test!$B$33,0)</f>
        <v>0</v>
      </c>
      <c r="V60">
        <f>IF(AND(SUM(VLOOKUP($A60,test!$A$3:$F$32,2,FALSE),VLOOKUP(V$1,test!$A$3:$F$32,2,FALSE))&lt;test!$K$16,$A60&lt;&gt;V$1,Recharged_Feasible_mat!W29=1),(VLOOKUP(V$1,test!$A$3:$I$32,8,FALSE))-(VLOOKUP($A60,test!$A$3:$I$32,9,FALSE))-test!$B$33,0)</f>
        <v>0</v>
      </c>
      <c r="W60">
        <f>IF(AND(SUM(VLOOKUP($A60,test!$A$3:$F$32,2,FALSE),VLOOKUP(W$1,test!$A$3:$F$32,2,FALSE))&lt;test!$K$16,$A60&lt;&gt;W$1,Recharged_Feasible_mat!X29=1),(VLOOKUP(W$1,test!$A$3:$I$32,8,FALSE))-(VLOOKUP($A60,test!$A$3:$I$32,9,FALSE))-test!$B$33,0)</f>
        <v>0</v>
      </c>
      <c r="X60">
        <f>IF(AND(SUM(VLOOKUP($A60,test!$A$3:$F$32,2,FALSE),VLOOKUP(X$1,test!$A$3:$F$32,2,FALSE))&lt;test!$K$16,$A60&lt;&gt;X$1,Recharged_Feasible_mat!Y29=1),(VLOOKUP(X$1,test!$A$3:$I$32,8,FALSE))-(VLOOKUP($A60,test!$A$3:$I$32,9,FALSE))-test!$B$33,0)</f>
        <v>0</v>
      </c>
      <c r="Y60">
        <f>IF(AND(SUM(VLOOKUP($A60,test!$A$3:$F$32,2,FALSE),VLOOKUP(Y$1,test!$A$3:$F$32,2,FALSE))&lt;test!$K$16,$A60&lt;&gt;Y$1,Recharged_Feasible_mat!Z29=1),(VLOOKUP(Y$1,test!$A$3:$I$32,8,FALSE))-(VLOOKUP($A60,test!$A$3:$I$32,9,FALSE))-test!$B$33,0)</f>
        <v>0</v>
      </c>
      <c r="Z60">
        <f>IF(AND(SUM(VLOOKUP($A60,test!$A$3:$F$32,2,FALSE),VLOOKUP(Z$1,test!$A$3:$F$32,2,FALSE))&lt;test!$K$16,$A60&lt;&gt;Z$1,Recharged_Feasible_mat!AA29=1),(VLOOKUP(Z$1,test!$A$3:$I$32,8,FALSE))-(VLOOKUP($A60,test!$A$3:$I$32,9,FALSE))-test!$B$33,0)</f>
        <v>0</v>
      </c>
      <c r="AA60">
        <f>IF(AND(SUM(VLOOKUP($A60,test!$A$3:$F$32,2,FALSE),VLOOKUP(AA$1,test!$A$3:$F$32,2,FALSE))&lt;test!$K$16,$A60&lt;&gt;AA$1,Recharged_Feasible_mat!AB29=1),(VLOOKUP(AA$1,test!$A$3:$I$32,8,FALSE))-(VLOOKUP($A60,test!$A$3:$I$32,9,FALSE))-test!$B$33,0)</f>
        <v>0</v>
      </c>
      <c r="AB60">
        <f>IF(AND(SUM(VLOOKUP($A60,test!$A$3:$F$32,2,FALSE),VLOOKUP(AB$1,test!$A$3:$F$32,2,FALSE))&lt;test!$K$16,$A60&lt;&gt;AB$1,Recharged_Feasible_mat!AC29=1),(VLOOKUP(AB$1,test!$A$3:$I$32,8,FALSE))-(VLOOKUP($A60,test!$A$3:$I$32,9,FALSE))-test!$B$33,0)</f>
        <v>0</v>
      </c>
      <c r="AC60">
        <f>IF(AND(SUM(VLOOKUP($A60,test!$A$3:$F$32,2,FALSE),VLOOKUP(AC$1,test!$A$3:$F$32,2,FALSE))&lt;test!$K$16,$A60&lt;&gt;AC$1,Recharged_Feasible_mat!AD29=1),(VLOOKUP(AC$1,test!$A$3:$I$32,8,FALSE))-(VLOOKUP($A60,test!$A$3:$I$32,9,FALSE))-test!$B$33,0)</f>
        <v>0</v>
      </c>
      <c r="AD60">
        <f>IF(AND(SUM(VLOOKUP($A60,test!$A$3:$F$32,2,FALSE),VLOOKUP(AD$1,test!$A$3:$F$32,2,FALSE))&lt;test!$K$16,$A60&lt;&gt;AD$1,Recharged_Feasible_mat!AE29=1),(VLOOKUP(AD$1,test!$A$3:$I$32,8,FALSE))-(VLOOKUP($A60,test!$A$3:$I$32,9,FALSE))-test!$B$33,0)</f>
        <v>0</v>
      </c>
      <c r="AE60">
        <f>IF(AND(SUM(VLOOKUP($A60,test!$A$3:$F$32,2,FALSE),VLOOKUP(AE$1,test!$A$3:$F$32,2,FALSE))&lt;test!$K$16,$A60&lt;&gt;AE$1,Recharged_Feasible_mat!AF29=1),(VLOOKUP(AE$1,test!$A$3:$I$32,8,FALSE))-(VLOOKUP($A60,test!$A$3:$I$32,9,FALSE))-test!$B$33,0)</f>
        <v>0</v>
      </c>
      <c r="AF60">
        <f>IF(AND(SUM(VLOOKUP($A60,test!$A$3:$F$32,2,FALSE),VLOOKUP(AF$1,test!$A$3:$F$32,2,FALSE))&lt;test!$K$16,$A60&lt;&gt;AF$1,Recharged_Feasible_mat!AG29=1),(VLOOKUP(AF$1,test!$A$3:$I$32,8,FALSE))-(VLOOKUP($A60,test!$A$3:$I$32,9,FALSE))-test!$B$33,0)</f>
        <v>0</v>
      </c>
    </row>
    <row r="61" spans="1:32" x14ac:dyDescent="0.25">
      <c r="A61" t="s">
        <v>39</v>
      </c>
      <c r="B61">
        <v>0</v>
      </c>
      <c r="C61">
        <f>IF(AND(SUM(VLOOKUP($A61,test!$A$3:$F$32,2,FALSE),VLOOKUP(C$1,test!$A$3:$F$32,2,FALSE))&lt;test!$K$16,$A61&lt;&gt;C$1,Recharged_Feasible_mat!D30=1),(VLOOKUP(C$1,test!$A$3:$I$32,8,FALSE))-(VLOOKUP($A61,test!$A$3:$I$32,9,FALSE))-test!$B$33,0)</f>
        <v>0</v>
      </c>
      <c r="D61">
        <f>IF(AND(SUM(VLOOKUP($A61,test!$A$3:$F$32,2,FALSE),VLOOKUP(D$1,test!$A$3:$F$32,2,FALSE))&lt;test!$K$16,$A61&lt;&gt;D$1,Recharged_Feasible_mat!E30=1),(VLOOKUP(D$1,test!$A$3:$I$32,8,FALSE))-(VLOOKUP($A61,test!$A$3:$I$32,9,FALSE))-test!$B$33,0)</f>
        <v>0</v>
      </c>
      <c r="E61">
        <f>IF(AND(SUM(VLOOKUP($A61,test!$A$3:$F$32,2,FALSE),VLOOKUP(E$1,test!$A$3:$F$32,2,FALSE))&lt;test!$K$16,$A61&lt;&gt;E$1,Recharged_Feasible_mat!F30=1),(VLOOKUP(E$1,test!$A$3:$I$32,8,FALSE))-(VLOOKUP($A61,test!$A$3:$I$32,9,FALSE))-test!$B$33,0)</f>
        <v>0</v>
      </c>
      <c r="F61">
        <f>IF(AND(SUM(VLOOKUP($A61,test!$A$3:$F$32,2,FALSE),VLOOKUP(F$1,test!$A$3:$F$32,2,FALSE))&lt;test!$K$16,$A61&lt;&gt;F$1,Recharged_Feasible_mat!G30=1),(VLOOKUP(F$1,test!$A$3:$I$32,8,FALSE))-(VLOOKUP($A61,test!$A$3:$I$32,9,FALSE))-test!$B$33,0)</f>
        <v>0</v>
      </c>
      <c r="G61">
        <f>IF(AND(SUM(VLOOKUP($A61,test!$A$3:$F$32,2,FALSE),VLOOKUP(G$1,test!$A$3:$F$32,2,FALSE))&lt;test!$K$16,$A61&lt;&gt;G$1,Recharged_Feasible_mat!H30=1),(VLOOKUP(G$1,test!$A$3:$I$32,8,FALSE))-(VLOOKUP($A61,test!$A$3:$I$32,9,FALSE))-test!$B$33,0)</f>
        <v>0</v>
      </c>
      <c r="H61">
        <f>IF(AND(SUM(VLOOKUP($A61,test!$A$3:$F$32,2,FALSE),VLOOKUP(H$1,test!$A$3:$F$32,2,FALSE))&lt;test!$K$16,$A61&lt;&gt;H$1,Recharged_Feasible_mat!I30=1),(VLOOKUP(H$1,test!$A$3:$I$32,8,FALSE))-(VLOOKUP($A61,test!$A$3:$I$32,9,FALSE))-test!$B$33,0)</f>
        <v>0</v>
      </c>
      <c r="I61">
        <f>IF(AND(SUM(VLOOKUP($A61,test!$A$3:$F$32,2,FALSE),VLOOKUP(I$1,test!$A$3:$F$32,2,FALSE))&lt;test!$K$16,$A61&lt;&gt;I$1,Recharged_Feasible_mat!J30=1),(VLOOKUP(I$1,test!$A$3:$I$32,8,FALSE))-(VLOOKUP($A61,test!$A$3:$I$32,9,FALSE))-test!$B$33,0)</f>
        <v>0</v>
      </c>
      <c r="J61">
        <f>IF(AND(SUM(VLOOKUP($A61,test!$A$3:$F$32,2,FALSE),VLOOKUP(J$1,test!$A$3:$F$32,2,FALSE))&lt;test!$K$16,$A61&lt;&gt;J$1,Recharged_Feasible_mat!K30=1),(VLOOKUP(J$1,test!$A$3:$I$32,8,FALSE))-(VLOOKUP($A61,test!$A$3:$I$32,9,FALSE))-test!$B$33,0)</f>
        <v>0</v>
      </c>
      <c r="K61">
        <f>IF(AND(SUM(VLOOKUP($A61,test!$A$3:$F$32,2,FALSE),VLOOKUP(K$1,test!$A$3:$F$32,2,FALSE))&lt;test!$K$16,$A61&lt;&gt;K$1,Recharged_Feasible_mat!L30=1),(VLOOKUP(K$1,test!$A$3:$I$32,8,FALSE))-(VLOOKUP($A61,test!$A$3:$I$32,9,FALSE))-test!$B$33,0)</f>
        <v>0</v>
      </c>
      <c r="L61">
        <f>IF(AND(SUM(VLOOKUP($A61,test!$A$3:$F$32,2,FALSE),VLOOKUP(L$1,test!$A$3:$F$32,2,FALSE))&lt;test!$K$16,$A61&lt;&gt;L$1,Recharged_Feasible_mat!M30=1),(VLOOKUP(L$1,test!$A$3:$I$32,8,FALSE))-(VLOOKUP($A61,test!$A$3:$I$32,9,FALSE))-test!$B$33,0)</f>
        <v>0</v>
      </c>
      <c r="M61">
        <f>IF(AND(SUM(VLOOKUP($A61,test!$A$3:$F$32,2,FALSE),VLOOKUP(M$1,test!$A$3:$F$32,2,FALSE))&lt;test!$K$16,$A61&lt;&gt;M$1,Recharged_Feasible_mat!N30=1),(VLOOKUP(M$1,test!$A$3:$I$32,8,FALSE))-(VLOOKUP($A61,test!$A$3:$I$32,9,FALSE))-test!$B$33,0)</f>
        <v>0</v>
      </c>
      <c r="N61">
        <f>IF(AND(SUM(VLOOKUP($A61,test!$A$3:$F$32,2,FALSE),VLOOKUP(N$1,test!$A$3:$F$32,2,FALSE))&lt;test!$K$16,$A61&lt;&gt;N$1,Recharged_Feasible_mat!O30=1),(VLOOKUP(N$1,test!$A$3:$I$32,8,FALSE))-(VLOOKUP($A61,test!$A$3:$I$32,9,FALSE))-test!$B$33,0)</f>
        <v>0</v>
      </c>
      <c r="O61">
        <f>IF(AND(SUM(VLOOKUP($A61,test!$A$3:$F$32,2,FALSE),VLOOKUP(O$1,test!$A$3:$F$32,2,FALSE))&lt;test!$K$16,$A61&lt;&gt;O$1,Recharged_Feasible_mat!P30=1),(VLOOKUP(O$1,test!$A$3:$I$32,8,FALSE))-(VLOOKUP($A61,test!$A$3:$I$32,9,FALSE))-test!$B$33,0)</f>
        <v>0</v>
      </c>
      <c r="P61">
        <f>IF(AND(SUM(VLOOKUP($A61,test!$A$3:$F$32,2,FALSE),VLOOKUP(P$1,test!$A$3:$F$32,2,FALSE))&lt;test!$K$16,$A61&lt;&gt;P$1,Recharged_Feasible_mat!Q30=1),(VLOOKUP(P$1,test!$A$3:$I$32,8,FALSE))-(VLOOKUP($A61,test!$A$3:$I$32,9,FALSE))-test!$B$33,0)</f>
        <v>0</v>
      </c>
      <c r="Q61">
        <f>IF(AND(SUM(VLOOKUP($A61,test!$A$3:$F$32,2,FALSE),VLOOKUP(Q$1,test!$A$3:$F$32,2,FALSE))&lt;test!$K$16,$A61&lt;&gt;Q$1,Recharged_Feasible_mat!R30=1),(VLOOKUP(Q$1,test!$A$3:$I$32,8,FALSE))-(VLOOKUP($A61,test!$A$3:$I$32,9,FALSE))-test!$B$33,0)</f>
        <v>0</v>
      </c>
      <c r="R61">
        <f>IF(AND(SUM(VLOOKUP($A61,test!$A$3:$F$32,2,FALSE),VLOOKUP(R$1,test!$A$3:$F$32,2,FALSE))&lt;test!$K$16,$A61&lt;&gt;R$1,Recharged_Feasible_mat!S30=1),(VLOOKUP(R$1,test!$A$3:$I$32,8,FALSE))-(VLOOKUP($A61,test!$A$3:$I$32,9,FALSE))-test!$B$33,0)</f>
        <v>0</v>
      </c>
      <c r="S61">
        <f>IF(AND(SUM(VLOOKUP($A61,test!$A$3:$F$32,2,FALSE),VLOOKUP(S$1,test!$A$3:$F$32,2,FALSE))&lt;test!$K$16,$A61&lt;&gt;S$1,Recharged_Feasible_mat!T30=1),(VLOOKUP(S$1,test!$A$3:$I$32,8,FALSE))-(VLOOKUP($A61,test!$A$3:$I$32,9,FALSE))-test!$B$33,0)</f>
        <v>0</v>
      </c>
      <c r="T61">
        <f>IF(AND(SUM(VLOOKUP($A61,test!$A$3:$F$32,2,FALSE),VLOOKUP(T$1,test!$A$3:$F$32,2,FALSE))&lt;test!$K$16,$A61&lt;&gt;T$1,Recharged_Feasible_mat!U30=1),(VLOOKUP(T$1,test!$A$3:$I$32,8,FALSE))-(VLOOKUP($A61,test!$A$3:$I$32,9,FALSE))-test!$B$33,0)</f>
        <v>0</v>
      </c>
      <c r="U61">
        <f>IF(AND(SUM(VLOOKUP($A61,test!$A$3:$F$32,2,FALSE),VLOOKUP(U$1,test!$A$3:$F$32,2,FALSE))&lt;test!$K$16,$A61&lt;&gt;U$1,Recharged_Feasible_mat!V30=1),(VLOOKUP(U$1,test!$A$3:$I$32,8,FALSE))-(VLOOKUP($A61,test!$A$3:$I$32,9,FALSE))-test!$B$33,0)</f>
        <v>0</v>
      </c>
      <c r="V61">
        <f>IF(AND(SUM(VLOOKUP($A61,test!$A$3:$F$32,2,FALSE),VLOOKUP(V$1,test!$A$3:$F$32,2,FALSE))&lt;test!$K$16,$A61&lt;&gt;V$1,Recharged_Feasible_mat!W30=1),(VLOOKUP(V$1,test!$A$3:$I$32,8,FALSE))-(VLOOKUP($A61,test!$A$3:$I$32,9,FALSE))-test!$B$33,0)</f>
        <v>0</v>
      </c>
      <c r="W61">
        <f>IF(AND(SUM(VLOOKUP($A61,test!$A$3:$F$32,2,FALSE),VLOOKUP(W$1,test!$A$3:$F$32,2,FALSE))&lt;test!$K$16,$A61&lt;&gt;W$1,Recharged_Feasible_mat!X30=1),(VLOOKUP(W$1,test!$A$3:$I$32,8,FALSE))-(VLOOKUP($A61,test!$A$3:$I$32,9,FALSE))-test!$B$33,0)</f>
        <v>0</v>
      </c>
      <c r="X61">
        <f>IF(AND(SUM(VLOOKUP($A61,test!$A$3:$F$32,2,FALSE),VLOOKUP(X$1,test!$A$3:$F$32,2,FALSE))&lt;test!$K$16,$A61&lt;&gt;X$1,Recharged_Feasible_mat!Y30=1),(VLOOKUP(X$1,test!$A$3:$I$32,8,FALSE))-(VLOOKUP($A61,test!$A$3:$I$32,9,FALSE))-test!$B$33,0)</f>
        <v>0</v>
      </c>
      <c r="Y61">
        <f>IF(AND(SUM(VLOOKUP($A61,test!$A$3:$F$32,2,FALSE),VLOOKUP(Y$1,test!$A$3:$F$32,2,FALSE))&lt;test!$K$16,$A61&lt;&gt;Y$1,Recharged_Feasible_mat!Z30=1),(VLOOKUP(Y$1,test!$A$3:$I$32,8,FALSE))-(VLOOKUP($A61,test!$A$3:$I$32,9,FALSE))-test!$B$33,0)</f>
        <v>0</v>
      </c>
      <c r="Z61">
        <f>IF(AND(SUM(VLOOKUP($A61,test!$A$3:$F$32,2,FALSE),VLOOKUP(Z$1,test!$A$3:$F$32,2,FALSE))&lt;test!$K$16,$A61&lt;&gt;Z$1,Recharged_Feasible_mat!AA30=1),(VLOOKUP(Z$1,test!$A$3:$I$32,8,FALSE))-(VLOOKUP($A61,test!$A$3:$I$32,9,FALSE))-test!$B$33,0)</f>
        <v>0</v>
      </c>
      <c r="AA61">
        <f>IF(AND(SUM(VLOOKUP($A61,test!$A$3:$F$32,2,FALSE),VLOOKUP(AA$1,test!$A$3:$F$32,2,FALSE))&lt;test!$K$16,$A61&lt;&gt;AA$1,Recharged_Feasible_mat!AB30=1),(VLOOKUP(AA$1,test!$A$3:$I$32,8,FALSE))-(VLOOKUP($A61,test!$A$3:$I$32,9,FALSE))-test!$B$33,0)</f>
        <v>0</v>
      </c>
      <c r="AB61">
        <f>IF(AND(SUM(VLOOKUP($A61,test!$A$3:$F$32,2,FALSE),VLOOKUP(AB$1,test!$A$3:$F$32,2,FALSE))&lt;test!$K$16,$A61&lt;&gt;AB$1,Recharged_Feasible_mat!AC30=1),(VLOOKUP(AB$1,test!$A$3:$I$32,8,FALSE))-(VLOOKUP($A61,test!$A$3:$I$32,9,FALSE))-test!$B$33,0)</f>
        <v>0</v>
      </c>
      <c r="AC61">
        <f>IF(AND(SUM(VLOOKUP($A61,test!$A$3:$F$32,2,FALSE),VLOOKUP(AC$1,test!$A$3:$F$32,2,FALSE))&lt;test!$K$16,$A61&lt;&gt;AC$1,Recharged_Feasible_mat!AD30=1),(VLOOKUP(AC$1,test!$A$3:$I$32,8,FALSE))-(VLOOKUP($A61,test!$A$3:$I$32,9,FALSE))-test!$B$33,0)</f>
        <v>0</v>
      </c>
      <c r="AD61">
        <f>IF(AND(SUM(VLOOKUP($A61,test!$A$3:$F$32,2,FALSE),VLOOKUP(AD$1,test!$A$3:$F$32,2,FALSE))&lt;test!$K$16,$A61&lt;&gt;AD$1,Recharged_Feasible_mat!AE30=1),(VLOOKUP(AD$1,test!$A$3:$I$32,8,FALSE))-(VLOOKUP($A61,test!$A$3:$I$32,9,FALSE))-test!$B$33,0)</f>
        <v>0</v>
      </c>
      <c r="AE61">
        <f>IF(AND(SUM(VLOOKUP($A61,test!$A$3:$F$32,2,FALSE),VLOOKUP(AE$1,test!$A$3:$F$32,2,FALSE))&lt;test!$K$16,$A61&lt;&gt;AE$1,Recharged_Feasible_mat!AF30=1),(VLOOKUP(AE$1,test!$A$3:$I$32,8,FALSE))-(VLOOKUP($A61,test!$A$3:$I$32,9,FALSE))-test!$B$33,0)</f>
        <v>0</v>
      </c>
      <c r="AF61">
        <f>IF(AND(SUM(VLOOKUP($A61,test!$A$3:$F$32,2,FALSE),VLOOKUP(AF$1,test!$A$3:$F$32,2,FALSE))&lt;test!$K$16,$A61&lt;&gt;AF$1,Recharged_Feasible_mat!AG30=1),(VLOOKUP(AF$1,test!$A$3:$I$32,8,FALSE))-(VLOOKUP($A61,test!$A$3:$I$32,9,FALSE))-test!$B$33,0)</f>
        <v>0</v>
      </c>
    </row>
    <row r="62" spans="1:32" x14ac:dyDescent="0.25">
      <c r="A62" t="s">
        <v>40</v>
      </c>
      <c r="B62">
        <v>0</v>
      </c>
      <c r="C62">
        <f>IF(AND(SUM(VLOOKUP($A62,test!$A$3:$F$32,2,FALSE),VLOOKUP(C$1,test!$A$3:$F$32,2,FALSE))&lt;test!$K$16,$A62&lt;&gt;C$1,Recharged_Feasible_mat!D31=1),(VLOOKUP(C$1,test!$A$3:$I$32,8,FALSE))-(VLOOKUP($A62,test!$A$3:$I$32,9,FALSE))-test!$B$33,0)</f>
        <v>0</v>
      </c>
      <c r="D62">
        <f>IF(AND(SUM(VLOOKUP($A62,test!$A$3:$F$32,2,FALSE),VLOOKUP(D$1,test!$A$3:$F$32,2,FALSE))&lt;test!$K$16,$A62&lt;&gt;D$1,Recharged_Feasible_mat!E31=1),(VLOOKUP(D$1,test!$A$3:$I$32,8,FALSE))-(VLOOKUP($A62,test!$A$3:$I$32,9,FALSE))-test!$B$33,0)</f>
        <v>0</v>
      </c>
      <c r="E62">
        <f>IF(AND(SUM(VLOOKUP($A62,test!$A$3:$F$32,2,FALSE),VLOOKUP(E$1,test!$A$3:$F$32,2,FALSE))&lt;test!$K$16,$A62&lt;&gt;E$1,Recharged_Feasible_mat!F31=1),(VLOOKUP(E$1,test!$A$3:$I$32,8,FALSE))-(VLOOKUP($A62,test!$A$3:$I$32,9,FALSE))-test!$B$33,0)</f>
        <v>0</v>
      </c>
      <c r="F62">
        <f>IF(AND(SUM(VLOOKUP($A62,test!$A$3:$F$32,2,FALSE),VLOOKUP(F$1,test!$A$3:$F$32,2,FALSE))&lt;test!$K$16,$A62&lt;&gt;F$1,Recharged_Feasible_mat!G31=1),(VLOOKUP(F$1,test!$A$3:$I$32,8,FALSE))-(VLOOKUP($A62,test!$A$3:$I$32,9,FALSE))-test!$B$33,0)</f>
        <v>0</v>
      </c>
      <c r="G62">
        <f>IF(AND(SUM(VLOOKUP($A62,test!$A$3:$F$32,2,FALSE),VLOOKUP(G$1,test!$A$3:$F$32,2,FALSE))&lt;test!$K$16,$A62&lt;&gt;G$1,Recharged_Feasible_mat!H31=1),(VLOOKUP(G$1,test!$A$3:$I$32,8,FALSE))-(VLOOKUP($A62,test!$A$3:$I$32,9,FALSE))-test!$B$33,0)</f>
        <v>0</v>
      </c>
      <c r="H62">
        <f>IF(AND(SUM(VLOOKUP($A62,test!$A$3:$F$32,2,FALSE),VLOOKUP(H$1,test!$A$3:$F$32,2,FALSE))&lt;test!$K$16,$A62&lt;&gt;H$1,Recharged_Feasible_mat!I31=1),(VLOOKUP(H$1,test!$A$3:$I$32,8,FALSE))-(VLOOKUP($A62,test!$A$3:$I$32,9,FALSE))-test!$B$33,0)</f>
        <v>0</v>
      </c>
      <c r="I62">
        <f>IF(AND(SUM(VLOOKUP($A62,test!$A$3:$F$32,2,FALSE),VLOOKUP(I$1,test!$A$3:$F$32,2,FALSE))&lt;test!$K$16,$A62&lt;&gt;I$1,Recharged_Feasible_mat!J31=1),(VLOOKUP(I$1,test!$A$3:$I$32,8,FALSE))-(VLOOKUP($A62,test!$A$3:$I$32,9,FALSE))-test!$B$33,0)</f>
        <v>0</v>
      </c>
      <c r="J62">
        <f>IF(AND(SUM(VLOOKUP($A62,test!$A$3:$F$32,2,FALSE),VLOOKUP(J$1,test!$A$3:$F$32,2,FALSE))&lt;test!$K$16,$A62&lt;&gt;J$1,Recharged_Feasible_mat!K31=1),(VLOOKUP(J$1,test!$A$3:$I$32,8,FALSE))-(VLOOKUP($A62,test!$A$3:$I$32,9,FALSE))-test!$B$33,0)</f>
        <v>60</v>
      </c>
      <c r="K62">
        <f>IF(AND(SUM(VLOOKUP($A62,test!$A$3:$F$32,2,FALSE),VLOOKUP(K$1,test!$A$3:$F$32,2,FALSE))&lt;test!$K$16,$A62&lt;&gt;K$1,Recharged_Feasible_mat!L31=1),(VLOOKUP(K$1,test!$A$3:$I$32,8,FALSE))-(VLOOKUP($A62,test!$A$3:$I$32,9,FALSE))-test!$B$33,0)</f>
        <v>0</v>
      </c>
      <c r="L62">
        <f>IF(AND(SUM(VLOOKUP($A62,test!$A$3:$F$32,2,FALSE),VLOOKUP(L$1,test!$A$3:$F$32,2,FALSE))&lt;test!$K$16,$A62&lt;&gt;L$1,Recharged_Feasible_mat!M31=1),(VLOOKUP(L$1,test!$A$3:$I$32,8,FALSE))-(VLOOKUP($A62,test!$A$3:$I$32,9,FALSE))-test!$B$33,0)</f>
        <v>0</v>
      </c>
      <c r="M62">
        <f>IF(AND(SUM(VLOOKUP($A62,test!$A$3:$F$32,2,FALSE),VLOOKUP(M$1,test!$A$3:$F$32,2,FALSE))&lt;test!$K$16,$A62&lt;&gt;M$1,Recharged_Feasible_mat!N31=1),(VLOOKUP(M$1,test!$A$3:$I$32,8,FALSE))-(VLOOKUP($A62,test!$A$3:$I$32,9,FALSE))-test!$B$33,0)</f>
        <v>0</v>
      </c>
      <c r="N62">
        <f>IF(AND(SUM(VLOOKUP($A62,test!$A$3:$F$32,2,FALSE),VLOOKUP(N$1,test!$A$3:$F$32,2,FALSE))&lt;test!$K$16,$A62&lt;&gt;N$1,Recharged_Feasible_mat!O31=1),(VLOOKUP(N$1,test!$A$3:$I$32,8,FALSE))-(VLOOKUP($A62,test!$A$3:$I$32,9,FALSE))-test!$B$33,0)</f>
        <v>0</v>
      </c>
      <c r="O62">
        <f>IF(AND(SUM(VLOOKUP($A62,test!$A$3:$F$32,2,FALSE),VLOOKUP(O$1,test!$A$3:$F$32,2,FALSE))&lt;test!$K$16,$A62&lt;&gt;O$1,Recharged_Feasible_mat!P31=1),(VLOOKUP(O$1,test!$A$3:$I$32,8,FALSE))-(VLOOKUP($A62,test!$A$3:$I$32,9,FALSE))-test!$B$33,0)</f>
        <v>0</v>
      </c>
      <c r="P62">
        <f>IF(AND(SUM(VLOOKUP($A62,test!$A$3:$F$32,2,FALSE),VLOOKUP(P$1,test!$A$3:$F$32,2,FALSE))&lt;test!$K$16,$A62&lt;&gt;P$1,Recharged_Feasible_mat!Q31=1),(VLOOKUP(P$1,test!$A$3:$I$32,8,FALSE))-(VLOOKUP($A62,test!$A$3:$I$32,9,FALSE))-test!$B$33,0)</f>
        <v>0</v>
      </c>
      <c r="Q62">
        <f>IF(AND(SUM(VLOOKUP($A62,test!$A$3:$F$32,2,FALSE),VLOOKUP(Q$1,test!$A$3:$F$32,2,FALSE))&lt;test!$K$16,$A62&lt;&gt;Q$1,Recharged_Feasible_mat!R31=1),(VLOOKUP(Q$1,test!$A$3:$I$32,8,FALSE))-(VLOOKUP($A62,test!$A$3:$I$32,9,FALSE))-test!$B$33,0)</f>
        <v>0</v>
      </c>
      <c r="R62">
        <f>IF(AND(SUM(VLOOKUP($A62,test!$A$3:$F$32,2,FALSE),VLOOKUP(R$1,test!$A$3:$F$32,2,FALSE))&lt;test!$K$16,$A62&lt;&gt;R$1,Recharged_Feasible_mat!S31=1),(VLOOKUP(R$1,test!$A$3:$I$32,8,FALSE))-(VLOOKUP($A62,test!$A$3:$I$32,9,FALSE))-test!$B$33,0)</f>
        <v>0</v>
      </c>
      <c r="S62">
        <f>IF(AND(SUM(VLOOKUP($A62,test!$A$3:$F$32,2,FALSE),VLOOKUP(S$1,test!$A$3:$F$32,2,FALSE))&lt;test!$K$16,$A62&lt;&gt;S$1,Recharged_Feasible_mat!T31=1),(VLOOKUP(S$1,test!$A$3:$I$32,8,FALSE))-(VLOOKUP($A62,test!$A$3:$I$32,9,FALSE))-test!$B$33,0)</f>
        <v>0</v>
      </c>
      <c r="T62">
        <f>IF(AND(SUM(VLOOKUP($A62,test!$A$3:$F$32,2,FALSE),VLOOKUP(T$1,test!$A$3:$F$32,2,FALSE))&lt;test!$K$16,$A62&lt;&gt;T$1,Recharged_Feasible_mat!U31=1),(VLOOKUP(T$1,test!$A$3:$I$32,8,FALSE))-(VLOOKUP($A62,test!$A$3:$I$32,9,FALSE))-test!$B$33,0)</f>
        <v>0</v>
      </c>
      <c r="U62">
        <f>IF(AND(SUM(VLOOKUP($A62,test!$A$3:$F$32,2,FALSE),VLOOKUP(U$1,test!$A$3:$F$32,2,FALSE))&lt;test!$K$16,$A62&lt;&gt;U$1,Recharged_Feasible_mat!V31=1),(VLOOKUP(U$1,test!$A$3:$I$32,8,FALSE))-(VLOOKUP($A62,test!$A$3:$I$32,9,FALSE))-test!$B$33,0)</f>
        <v>0</v>
      </c>
      <c r="V62">
        <f>IF(AND(SUM(VLOOKUP($A62,test!$A$3:$F$32,2,FALSE),VLOOKUP(V$1,test!$A$3:$F$32,2,FALSE))&lt;test!$K$16,$A62&lt;&gt;V$1,Recharged_Feasible_mat!W31=1),(VLOOKUP(V$1,test!$A$3:$I$32,8,FALSE))-(VLOOKUP($A62,test!$A$3:$I$32,9,FALSE))-test!$B$33,0)</f>
        <v>0</v>
      </c>
      <c r="W62">
        <f>IF(AND(SUM(VLOOKUP($A62,test!$A$3:$F$32,2,FALSE),VLOOKUP(W$1,test!$A$3:$F$32,2,FALSE))&lt;test!$K$16,$A62&lt;&gt;W$1,Recharged_Feasible_mat!X31=1),(VLOOKUP(W$1,test!$A$3:$I$32,8,FALSE))-(VLOOKUP($A62,test!$A$3:$I$32,9,FALSE))-test!$B$33,0)</f>
        <v>0</v>
      </c>
      <c r="X62">
        <f>IF(AND(SUM(VLOOKUP($A62,test!$A$3:$F$32,2,FALSE),VLOOKUP(X$1,test!$A$3:$F$32,2,FALSE))&lt;test!$K$16,$A62&lt;&gt;X$1,Recharged_Feasible_mat!Y31=1),(VLOOKUP(X$1,test!$A$3:$I$32,8,FALSE))-(VLOOKUP($A62,test!$A$3:$I$32,9,FALSE))-test!$B$33,0)</f>
        <v>10</v>
      </c>
      <c r="Y62">
        <f>IF(AND(SUM(VLOOKUP($A62,test!$A$3:$F$32,2,FALSE),VLOOKUP(Y$1,test!$A$3:$F$32,2,FALSE))&lt;test!$K$16,$A62&lt;&gt;Y$1,Recharged_Feasible_mat!Z31=1),(VLOOKUP(Y$1,test!$A$3:$I$32,8,FALSE))-(VLOOKUP($A62,test!$A$3:$I$32,9,FALSE))-test!$B$33,0)</f>
        <v>0</v>
      </c>
      <c r="Z62">
        <f>IF(AND(SUM(VLOOKUP($A62,test!$A$3:$F$32,2,FALSE),VLOOKUP(Z$1,test!$A$3:$F$32,2,FALSE))&lt;test!$K$16,$A62&lt;&gt;Z$1,Recharged_Feasible_mat!AA31=1),(VLOOKUP(Z$1,test!$A$3:$I$32,8,FALSE))-(VLOOKUP($A62,test!$A$3:$I$32,9,FALSE))-test!$B$33,0)</f>
        <v>0</v>
      </c>
      <c r="AA62">
        <f>IF(AND(SUM(VLOOKUP($A62,test!$A$3:$F$32,2,FALSE),VLOOKUP(AA$1,test!$A$3:$F$32,2,FALSE))&lt;test!$K$16,$A62&lt;&gt;AA$1,Recharged_Feasible_mat!AB31=1),(VLOOKUP(AA$1,test!$A$3:$I$32,8,FALSE))-(VLOOKUP($A62,test!$A$3:$I$32,9,FALSE))-test!$B$33,0)</f>
        <v>0</v>
      </c>
      <c r="AB62">
        <f>IF(AND(SUM(VLOOKUP($A62,test!$A$3:$F$32,2,FALSE),VLOOKUP(AB$1,test!$A$3:$F$32,2,FALSE))&lt;test!$K$16,$A62&lt;&gt;AB$1,Recharged_Feasible_mat!AC31=1),(VLOOKUP(AB$1,test!$A$3:$I$32,8,FALSE))-(VLOOKUP($A62,test!$A$3:$I$32,9,FALSE))-test!$B$33,0)</f>
        <v>0</v>
      </c>
      <c r="AC62">
        <f>IF(AND(SUM(VLOOKUP($A62,test!$A$3:$F$32,2,FALSE),VLOOKUP(AC$1,test!$A$3:$F$32,2,FALSE))&lt;test!$K$16,$A62&lt;&gt;AC$1,Recharged_Feasible_mat!AD31=1),(VLOOKUP(AC$1,test!$A$3:$I$32,8,FALSE))-(VLOOKUP($A62,test!$A$3:$I$32,9,FALSE))-test!$B$33,0)</f>
        <v>0</v>
      </c>
      <c r="AD62">
        <f>IF(AND(SUM(VLOOKUP($A62,test!$A$3:$F$32,2,FALSE),VLOOKUP(AD$1,test!$A$3:$F$32,2,FALSE))&lt;test!$K$16,$A62&lt;&gt;AD$1,Recharged_Feasible_mat!AE31=1),(VLOOKUP(AD$1,test!$A$3:$I$32,8,FALSE))-(VLOOKUP($A62,test!$A$3:$I$32,9,FALSE))-test!$B$33,0)</f>
        <v>0</v>
      </c>
      <c r="AE62">
        <f>IF(AND(SUM(VLOOKUP($A62,test!$A$3:$F$32,2,FALSE),VLOOKUP(AE$1,test!$A$3:$F$32,2,FALSE))&lt;test!$K$16,$A62&lt;&gt;AE$1,Recharged_Feasible_mat!AF31=1),(VLOOKUP(AE$1,test!$A$3:$I$32,8,FALSE))-(VLOOKUP($A62,test!$A$3:$I$32,9,FALSE))-test!$B$33,0)</f>
        <v>0</v>
      </c>
      <c r="AF62">
        <f>IF(AND(SUM(VLOOKUP($A62,test!$A$3:$F$32,2,FALSE),VLOOKUP(AF$1,test!$A$3:$F$32,2,FALSE))&lt;test!$K$16,$A62&lt;&gt;AF$1,Recharged_Feasible_mat!AG31=1),(VLOOKUP(AF$1,test!$A$3:$I$32,8,FALSE))-(VLOOKUP($A62,test!$A$3:$I$32,9,FALSE))-test!$B$33,0)</f>
        <v>0</v>
      </c>
    </row>
    <row r="63" spans="1:32" x14ac:dyDescent="0.25">
      <c r="A63" t="s">
        <v>41</v>
      </c>
      <c r="B63">
        <v>0</v>
      </c>
      <c r="C63">
        <f>IF(AND(SUM(VLOOKUP($A63,test!$A$3:$F$32,2,FALSE),VLOOKUP(C$1,test!$A$3:$F$32,2,FALSE))&lt;test!$K$16,$A63&lt;&gt;C$1,Recharged_Feasible_mat!D32=1),(VLOOKUP(C$1,test!$A$3:$I$32,8,FALSE))-(VLOOKUP($A63,test!$A$3:$I$32,9,FALSE))-test!$B$33,0)</f>
        <v>0</v>
      </c>
      <c r="D63">
        <f>IF(AND(SUM(VLOOKUP($A63,test!$A$3:$F$32,2,FALSE),VLOOKUP(D$1,test!$A$3:$F$32,2,FALSE))&lt;test!$K$16,$A63&lt;&gt;D$1,Recharged_Feasible_mat!E32=1),(VLOOKUP(D$1,test!$A$3:$I$32,8,FALSE))-(VLOOKUP($A63,test!$A$3:$I$32,9,FALSE))-test!$B$33,0)</f>
        <v>0</v>
      </c>
      <c r="E63">
        <f>IF(AND(SUM(VLOOKUP($A63,test!$A$3:$F$32,2,FALSE),VLOOKUP(E$1,test!$A$3:$F$32,2,FALSE))&lt;test!$K$16,$A63&lt;&gt;E$1,Recharged_Feasible_mat!F32=1),(VLOOKUP(E$1,test!$A$3:$I$32,8,FALSE))-(VLOOKUP($A63,test!$A$3:$I$32,9,FALSE))-test!$B$33,0)</f>
        <v>0</v>
      </c>
      <c r="F63">
        <f>IF(AND(SUM(VLOOKUP($A63,test!$A$3:$F$32,2,FALSE),VLOOKUP(F$1,test!$A$3:$F$32,2,FALSE))&lt;test!$K$16,$A63&lt;&gt;F$1,Recharged_Feasible_mat!G32=1),(VLOOKUP(F$1,test!$A$3:$I$32,8,FALSE))-(VLOOKUP($A63,test!$A$3:$I$32,9,FALSE))-test!$B$33,0)</f>
        <v>0</v>
      </c>
      <c r="G63">
        <f>IF(AND(SUM(VLOOKUP($A63,test!$A$3:$F$32,2,FALSE),VLOOKUP(G$1,test!$A$3:$F$32,2,FALSE))&lt;test!$K$16,$A63&lt;&gt;G$1,Recharged_Feasible_mat!H32=1),(VLOOKUP(G$1,test!$A$3:$I$32,8,FALSE))-(VLOOKUP($A63,test!$A$3:$I$32,9,FALSE))-test!$B$33,0)</f>
        <v>0</v>
      </c>
      <c r="H63">
        <f>IF(AND(SUM(VLOOKUP($A63,test!$A$3:$F$32,2,FALSE),VLOOKUP(H$1,test!$A$3:$F$32,2,FALSE))&lt;test!$K$16,$A63&lt;&gt;H$1,Recharged_Feasible_mat!I32=1),(VLOOKUP(H$1,test!$A$3:$I$32,8,FALSE))-(VLOOKUP($A63,test!$A$3:$I$32,9,FALSE))-test!$B$33,0)</f>
        <v>0</v>
      </c>
      <c r="I63">
        <f>IF(AND(SUM(VLOOKUP($A63,test!$A$3:$F$32,2,FALSE),VLOOKUP(I$1,test!$A$3:$F$32,2,FALSE))&lt;test!$K$16,$A63&lt;&gt;I$1,Recharged_Feasible_mat!J32=1),(VLOOKUP(I$1,test!$A$3:$I$32,8,FALSE))-(VLOOKUP($A63,test!$A$3:$I$32,9,FALSE))-test!$B$33,0)</f>
        <v>0</v>
      </c>
      <c r="J63">
        <f>IF(AND(SUM(VLOOKUP($A63,test!$A$3:$F$32,2,FALSE),VLOOKUP(J$1,test!$A$3:$F$32,2,FALSE))&lt;test!$K$16,$A63&lt;&gt;J$1,Recharged_Feasible_mat!K32=1),(VLOOKUP(J$1,test!$A$3:$I$32,8,FALSE))-(VLOOKUP($A63,test!$A$3:$I$32,9,FALSE))-test!$B$33,0)</f>
        <v>0</v>
      </c>
      <c r="K63">
        <f>IF(AND(SUM(VLOOKUP($A63,test!$A$3:$F$32,2,FALSE),VLOOKUP(K$1,test!$A$3:$F$32,2,FALSE))&lt;test!$K$16,$A63&lt;&gt;K$1,Recharged_Feasible_mat!L32=1),(VLOOKUP(K$1,test!$A$3:$I$32,8,FALSE))-(VLOOKUP($A63,test!$A$3:$I$32,9,FALSE))-test!$B$33,0)</f>
        <v>0</v>
      </c>
      <c r="L63">
        <f>IF(AND(SUM(VLOOKUP($A63,test!$A$3:$F$32,2,FALSE),VLOOKUP(L$1,test!$A$3:$F$32,2,FALSE))&lt;test!$K$16,$A63&lt;&gt;L$1,Recharged_Feasible_mat!M32=1),(VLOOKUP(L$1,test!$A$3:$I$32,8,FALSE))-(VLOOKUP($A63,test!$A$3:$I$32,9,FALSE))-test!$B$33,0)</f>
        <v>0</v>
      </c>
      <c r="M63">
        <f>IF(AND(SUM(VLOOKUP($A63,test!$A$3:$F$32,2,FALSE),VLOOKUP(M$1,test!$A$3:$F$32,2,FALSE))&lt;test!$K$16,$A63&lt;&gt;M$1,Recharged_Feasible_mat!N32=1),(VLOOKUP(M$1,test!$A$3:$I$32,8,FALSE))-(VLOOKUP($A63,test!$A$3:$I$32,9,FALSE))-test!$B$33,0)</f>
        <v>0</v>
      </c>
      <c r="N63">
        <f>IF(AND(SUM(VLOOKUP($A63,test!$A$3:$F$32,2,FALSE),VLOOKUP(N$1,test!$A$3:$F$32,2,FALSE))&lt;test!$K$16,$A63&lt;&gt;N$1,Recharged_Feasible_mat!O32=1),(VLOOKUP(N$1,test!$A$3:$I$32,8,FALSE))-(VLOOKUP($A63,test!$A$3:$I$32,9,FALSE))-test!$B$33,0)</f>
        <v>0</v>
      </c>
      <c r="O63">
        <f>IF(AND(SUM(VLOOKUP($A63,test!$A$3:$F$32,2,FALSE),VLOOKUP(O$1,test!$A$3:$F$32,2,FALSE))&lt;test!$K$16,$A63&lt;&gt;O$1,Recharged_Feasible_mat!P32=1),(VLOOKUP(O$1,test!$A$3:$I$32,8,FALSE))-(VLOOKUP($A63,test!$A$3:$I$32,9,FALSE))-test!$B$33,0)</f>
        <v>0</v>
      </c>
      <c r="P63">
        <f>IF(AND(SUM(VLOOKUP($A63,test!$A$3:$F$32,2,FALSE),VLOOKUP(P$1,test!$A$3:$F$32,2,FALSE))&lt;test!$K$16,$A63&lt;&gt;P$1,Recharged_Feasible_mat!Q32=1),(VLOOKUP(P$1,test!$A$3:$I$32,8,FALSE))-(VLOOKUP($A63,test!$A$3:$I$32,9,FALSE))-test!$B$33,0)</f>
        <v>0</v>
      </c>
      <c r="Q63">
        <f>IF(AND(SUM(VLOOKUP($A63,test!$A$3:$F$32,2,FALSE),VLOOKUP(Q$1,test!$A$3:$F$32,2,FALSE))&lt;test!$K$16,$A63&lt;&gt;Q$1,Recharged_Feasible_mat!R32=1),(VLOOKUP(Q$1,test!$A$3:$I$32,8,FALSE))-(VLOOKUP($A63,test!$A$3:$I$32,9,FALSE))-test!$B$33,0)</f>
        <v>0</v>
      </c>
      <c r="R63">
        <f>IF(AND(SUM(VLOOKUP($A63,test!$A$3:$F$32,2,FALSE),VLOOKUP(R$1,test!$A$3:$F$32,2,FALSE))&lt;test!$K$16,$A63&lt;&gt;R$1,Recharged_Feasible_mat!S32=1),(VLOOKUP(R$1,test!$A$3:$I$32,8,FALSE))-(VLOOKUP($A63,test!$A$3:$I$32,9,FALSE))-test!$B$33,0)</f>
        <v>0</v>
      </c>
      <c r="S63">
        <f>IF(AND(SUM(VLOOKUP($A63,test!$A$3:$F$32,2,FALSE),VLOOKUP(S$1,test!$A$3:$F$32,2,FALSE))&lt;test!$K$16,$A63&lt;&gt;S$1,Recharged_Feasible_mat!T32=1),(VLOOKUP(S$1,test!$A$3:$I$32,8,FALSE))-(VLOOKUP($A63,test!$A$3:$I$32,9,FALSE))-test!$B$33,0)</f>
        <v>0</v>
      </c>
      <c r="T63">
        <f>IF(AND(SUM(VLOOKUP($A63,test!$A$3:$F$32,2,FALSE),VLOOKUP(T$1,test!$A$3:$F$32,2,FALSE))&lt;test!$K$16,$A63&lt;&gt;T$1,Recharged_Feasible_mat!U32=1),(VLOOKUP(T$1,test!$A$3:$I$32,8,FALSE))-(VLOOKUP($A63,test!$A$3:$I$32,9,FALSE))-test!$B$33,0)</f>
        <v>0</v>
      </c>
      <c r="U63">
        <f>IF(AND(SUM(VLOOKUP($A63,test!$A$3:$F$32,2,FALSE),VLOOKUP(U$1,test!$A$3:$F$32,2,FALSE))&lt;test!$K$16,$A63&lt;&gt;U$1,Recharged_Feasible_mat!V32=1),(VLOOKUP(U$1,test!$A$3:$I$32,8,FALSE))-(VLOOKUP($A63,test!$A$3:$I$32,9,FALSE))-test!$B$33,0)</f>
        <v>0</v>
      </c>
      <c r="V63">
        <f>IF(AND(SUM(VLOOKUP($A63,test!$A$3:$F$32,2,FALSE),VLOOKUP(V$1,test!$A$3:$F$32,2,FALSE))&lt;test!$K$16,$A63&lt;&gt;V$1,Recharged_Feasible_mat!W32=1),(VLOOKUP(V$1,test!$A$3:$I$32,8,FALSE))-(VLOOKUP($A63,test!$A$3:$I$32,9,FALSE))-test!$B$33,0)</f>
        <v>0</v>
      </c>
      <c r="W63">
        <f>IF(AND(SUM(VLOOKUP($A63,test!$A$3:$F$32,2,FALSE),VLOOKUP(W$1,test!$A$3:$F$32,2,FALSE))&lt;test!$K$16,$A63&lt;&gt;W$1,Recharged_Feasible_mat!X32=1),(VLOOKUP(W$1,test!$A$3:$I$32,8,FALSE))-(VLOOKUP($A63,test!$A$3:$I$32,9,FALSE))-test!$B$33,0)</f>
        <v>0</v>
      </c>
      <c r="X63">
        <f>IF(AND(SUM(VLOOKUP($A63,test!$A$3:$F$32,2,FALSE),VLOOKUP(X$1,test!$A$3:$F$32,2,FALSE))&lt;test!$K$16,$A63&lt;&gt;X$1,Recharged_Feasible_mat!Y32=1),(VLOOKUP(X$1,test!$A$3:$I$32,8,FALSE))-(VLOOKUP($A63,test!$A$3:$I$32,9,FALSE))-test!$B$33,0)</f>
        <v>0</v>
      </c>
      <c r="Y63">
        <f>IF(AND(SUM(VLOOKUP($A63,test!$A$3:$F$32,2,FALSE),VLOOKUP(Y$1,test!$A$3:$F$32,2,FALSE))&lt;test!$K$16,$A63&lt;&gt;Y$1,Recharged_Feasible_mat!Z32=1),(VLOOKUP(Y$1,test!$A$3:$I$32,8,FALSE))-(VLOOKUP($A63,test!$A$3:$I$32,9,FALSE))-test!$B$33,0)</f>
        <v>0</v>
      </c>
      <c r="Z63">
        <f>IF(AND(SUM(VLOOKUP($A63,test!$A$3:$F$32,2,FALSE),VLOOKUP(Z$1,test!$A$3:$F$32,2,FALSE))&lt;test!$K$16,$A63&lt;&gt;Z$1,Recharged_Feasible_mat!AA32=1),(VLOOKUP(Z$1,test!$A$3:$I$32,8,FALSE))-(VLOOKUP($A63,test!$A$3:$I$32,9,FALSE))-test!$B$33,0)</f>
        <v>0</v>
      </c>
      <c r="AA63">
        <f>IF(AND(SUM(VLOOKUP($A63,test!$A$3:$F$32,2,FALSE),VLOOKUP(AA$1,test!$A$3:$F$32,2,FALSE))&lt;test!$K$16,$A63&lt;&gt;AA$1,Recharged_Feasible_mat!AB32=1),(VLOOKUP(AA$1,test!$A$3:$I$32,8,FALSE))-(VLOOKUP($A63,test!$A$3:$I$32,9,FALSE))-test!$B$33,0)</f>
        <v>0</v>
      </c>
      <c r="AB63">
        <f>IF(AND(SUM(VLOOKUP($A63,test!$A$3:$F$32,2,FALSE),VLOOKUP(AB$1,test!$A$3:$F$32,2,FALSE))&lt;test!$K$16,$A63&lt;&gt;AB$1,Recharged_Feasible_mat!AC32=1),(VLOOKUP(AB$1,test!$A$3:$I$32,8,FALSE))-(VLOOKUP($A63,test!$A$3:$I$32,9,FALSE))-test!$B$33,0)</f>
        <v>0</v>
      </c>
      <c r="AC63">
        <f>IF(AND(SUM(VLOOKUP($A63,test!$A$3:$F$32,2,FALSE),VLOOKUP(AC$1,test!$A$3:$F$32,2,FALSE))&lt;test!$K$16,$A63&lt;&gt;AC$1,Recharged_Feasible_mat!AD32=1),(VLOOKUP(AC$1,test!$A$3:$I$32,8,FALSE))-(VLOOKUP($A63,test!$A$3:$I$32,9,FALSE))-test!$B$33,0)</f>
        <v>0</v>
      </c>
      <c r="AD63">
        <f>IF(AND(SUM(VLOOKUP($A63,test!$A$3:$F$32,2,FALSE),VLOOKUP(AD$1,test!$A$3:$F$32,2,FALSE))&lt;test!$K$16,$A63&lt;&gt;AD$1,Recharged_Feasible_mat!AE32=1),(VLOOKUP(AD$1,test!$A$3:$I$32,8,FALSE))-(VLOOKUP($A63,test!$A$3:$I$32,9,FALSE))-test!$B$33,0)</f>
        <v>0</v>
      </c>
      <c r="AE63">
        <f>IF(AND(SUM(VLOOKUP($A63,test!$A$3:$F$32,2,FALSE),VLOOKUP(AE$1,test!$A$3:$F$32,2,FALSE))&lt;test!$K$16,$A63&lt;&gt;AE$1,Recharged_Feasible_mat!AF32=1),(VLOOKUP(AE$1,test!$A$3:$I$32,8,FALSE))-(VLOOKUP($A63,test!$A$3:$I$32,9,FALSE))-test!$B$33,0)</f>
        <v>0</v>
      </c>
      <c r="AF63">
        <f>IF(AND(SUM(VLOOKUP($A63,test!$A$3:$F$32,2,FALSE),VLOOKUP(AF$1,test!$A$3:$F$32,2,FALSE))&lt;test!$K$16,$A63&lt;&gt;AF$1,Recharged_Feasible_mat!AG32=1),(VLOOKUP(AF$1,test!$A$3:$I$32,8,FALSE))-(VLOOKUP($A63,test!$A$3:$I$32,9,FALSE))-test!$B$33,0)</f>
        <v>0</v>
      </c>
    </row>
    <row r="64" spans="1:32" x14ac:dyDescent="0.25">
      <c r="A64" t="s">
        <v>47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6</v>
      </c>
      <c r="B65">
        <v>0</v>
      </c>
      <c r="C65">
        <f>IF(AND(SUM(VLOOKUP($A65,test!$A$3:$F$32,2,FALSE),VLOOKUP(C$1,test!$A$3:$F$32,2,FALSE))&lt;test!$K$16,$A65&lt;&gt;C$1,Recharged_Feasible_mat!D34=1),(VLOOKUP(C$1,test!$A$3:$I$32,8,FALSE))-(VLOOKUP($A65,test!$A$3:$I$32,9,FALSE))-test!$B$34,0)</f>
        <v>0</v>
      </c>
      <c r="D65">
        <f>IF(AND(SUM(VLOOKUP($A65,test!$A$3:$F$32,2,FALSE),VLOOKUP(D$1,test!$A$3:$F$32,2,FALSE))&lt;test!$K$16,$A65&lt;&gt;D$1,Recharged_Feasible_mat!E34=1),(VLOOKUP(D$1,test!$A$3:$I$32,8,FALSE))-(VLOOKUP($A65,test!$A$3:$I$32,9,FALSE))-test!$B$34,0)</f>
        <v>0</v>
      </c>
      <c r="E65">
        <f>IF(AND(SUM(VLOOKUP($A65,test!$A$3:$F$32,2,FALSE),VLOOKUP(E$1,test!$A$3:$F$32,2,FALSE))&lt;test!$K$16,$A65&lt;&gt;E$1,Recharged_Feasible_mat!F34=1),(VLOOKUP(E$1,test!$A$3:$I$32,8,FALSE))-(VLOOKUP($A65,test!$A$3:$I$32,9,FALSE))-test!$B$34,0)</f>
        <v>60</v>
      </c>
      <c r="F65">
        <f>IF(AND(SUM(VLOOKUP($A65,test!$A$3:$F$32,2,FALSE),VLOOKUP(F$1,test!$A$3:$F$32,2,FALSE))&lt;test!$K$16,$A65&lt;&gt;F$1,Recharged_Feasible_mat!G34=1),(VLOOKUP(F$1,test!$A$3:$I$32,8,FALSE))-(VLOOKUP($A65,test!$A$3:$I$32,9,FALSE))-test!$B$34,0)</f>
        <v>150</v>
      </c>
      <c r="G65">
        <f>IF(AND(SUM(VLOOKUP($A65,test!$A$3:$F$32,2,FALSE),VLOOKUP(G$1,test!$A$3:$F$32,2,FALSE))&lt;test!$K$16,$A65&lt;&gt;G$1,Recharged_Feasible_mat!H34=1),(VLOOKUP(G$1,test!$A$3:$I$32,8,FALSE))-(VLOOKUP($A65,test!$A$3:$I$32,9,FALSE))-test!$B$34,0)</f>
        <v>210</v>
      </c>
      <c r="H65">
        <f>IF(AND(SUM(VLOOKUP($A65,test!$A$3:$F$32,2,FALSE),VLOOKUP(H$1,test!$A$3:$F$32,2,FALSE))&lt;test!$K$16,$A65&lt;&gt;H$1,Recharged_Feasible_mat!I34=1),(VLOOKUP(H$1,test!$A$3:$I$32,8,FALSE))-(VLOOKUP($A65,test!$A$3:$I$32,9,FALSE))-test!$B$34,0)</f>
        <v>270</v>
      </c>
      <c r="I65">
        <f>IF(AND(SUM(VLOOKUP($A65,test!$A$3:$F$32,2,FALSE),VLOOKUP(I$1,test!$A$3:$F$32,2,FALSE))&lt;test!$K$16,$A65&lt;&gt;I$1,Recharged_Feasible_mat!J34=1),(VLOOKUP(I$1,test!$A$3:$I$32,8,FALSE))-(VLOOKUP($A65,test!$A$3:$I$32,9,FALSE))-test!$B$34,0)</f>
        <v>330</v>
      </c>
      <c r="J65">
        <f>IF(AND(SUM(VLOOKUP($A65,test!$A$3:$F$32,2,FALSE),VLOOKUP(J$1,test!$A$3:$F$32,2,FALSE))&lt;test!$K$16,$A65&lt;&gt;J$1,Recharged_Feasible_mat!K34=1),(VLOOKUP(J$1,test!$A$3:$I$32,8,FALSE))-(VLOOKUP($A65,test!$A$3:$I$32,9,FALSE))-test!$B$34,0)</f>
        <v>420</v>
      </c>
      <c r="K65">
        <f>IF(AND(SUM(VLOOKUP($A65,test!$A$3:$F$32,2,FALSE),VLOOKUP(K$1,test!$A$3:$F$32,2,FALSE))&lt;test!$K$16,$A65&lt;&gt;K$1,Recharged_Feasible_mat!L34=1),(VLOOKUP(K$1,test!$A$3:$I$32,8,FALSE))-(VLOOKUP($A65,test!$A$3:$I$32,9,FALSE))-test!$B$34,0)</f>
        <v>0</v>
      </c>
      <c r="L65">
        <f>IF(AND(SUM(VLOOKUP($A65,test!$A$3:$F$32,2,FALSE),VLOOKUP(L$1,test!$A$3:$F$32,2,FALSE))&lt;test!$K$16,$A65&lt;&gt;L$1,Recharged_Feasible_mat!M34=1),(VLOOKUP(L$1,test!$A$3:$I$32,8,FALSE))-(VLOOKUP($A65,test!$A$3:$I$32,9,FALSE))-test!$B$34,0)</f>
        <v>0</v>
      </c>
      <c r="M65">
        <f>IF(AND(SUM(VLOOKUP($A65,test!$A$3:$F$32,2,FALSE),VLOOKUP(M$1,test!$A$3:$F$32,2,FALSE))&lt;test!$K$16,$A65&lt;&gt;M$1,Recharged_Feasible_mat!N34=1),(VLOOKUP(M$1,test!$A$3:$I$32,8,FALSE))-(VLOOKUP($A65,test!$A$3:$I$32,9,FALSE))-test!$B$34,0)</f>
        <v>25</v>
      </c>
      <c r="N65">
        <f>IF(AND(SUM(VLOOKUP($A65,test!$A$3:$F$32,2,FALSE),VLOOKUP(N$1,test!$A$3:$F$32,2,FALSE))&lt;test!$K$16,$A65&lt;&gt;N$1,Recharged_Feasible_mat!O34=1),(VLOOKUP(N$1,test!$A$3:$I$32,8,FALSE))-(VLOOKUP($A65,test!$A$3:$I$32,9,FALSE))-test!$B$34,0)</f>
        <v>385</v>
      </c>
      <c r="O65">
        <f>IF(AND(SUM(VLOOKUP($A65,test!$A$3:$F$32,2,FALSE),VLOOKUP(O$1,test!$A$3:$F$32,2,FALSE))&lt;test!$K$16,$A65&lt;&gt;O$1,Recharged_Feasible_mat!P34=1),(VLOOKUP(O$1,test!$A$3:$I$32,8,FALSE))-(VLOOKUP($A65,test!$A$3:$I$32,9,FALSE))-test!$B$34,0)</f>
        <v>445</v>
      </c>
      <c r="P65">
        <f>IF(AND(SUM(VLOOKUP($A65,test!$A$3:$F$32,2,FALSE),VLOOKUP(P$1,test!$A$3:$F$32,2,FALSE))&lt;test!$K$16,$A65&lt;&gt;P$1,Recharged_Feasible_mat!Q34=1),(VLOOKUP(P$1,test!$A$3:$I$32,8,FALSE))-(VLOOKUP($A65,test!$A$3:$I$32,9,FALSE))-test!$B$34,0)</f>
        <v>0</v>
      </c>
      <c r="Q65">
        <f>IF(AND(SUM(VLOOKUP($A65,test!$A$3:$F$32,2,FALSE),VLOOKUP(Q$1,test!$A$3:$F$32,2,FALSE))&lt;test!$K$16,$A65&lt;&gt;Q$1,Recharged_Feasible_mat!R34=1),(VLOOKUP(Q$1,test!$A$3:$I$32,8,FALSE))-(VLOOKUP($A65,test!$A$3:$I$32,9,FALSE))-test!$B$34,0)</f>
        <v>0</v>
      </c>
      <c r="R65">
        <f>IF(AND(SUM(VLOOKUP($A65,test!$A$3:$F$32,2,FALSE),VLOOKUP(R$1,test!$A$3:$F$32,2,FALSE))&lt;test!$K$16,$A65&lt;&gt;R$1,Recharged_Feasible_mat!S34=1),(VLOOKUP(R$1,test!$A$3:$I$32,8,FALSE))-(VLOOKUP($A65,test!$A$3:$I$32,9,FALSE))-test!$B$34,0)</f>
        <v>0</v>
      </c>
      <c r="S65">
        <f>IF(AND(SUM(VLOOKUP($A65,test!$A$3:$F$32,2,FALSE),VLOOKUP(S$1,test!$A$3:$F$32,2,FALSE))&lt;test!$K$16,$A65&lt;&gt;S$1,Recharged_Feasible_mat!T34=1),(VLOOKUP(S$1,test!$A$3:$I$32,8,FALSE))-(VLOOKUP($A65,test!$A$3:$I$32,9,FALSE))-test!$B$34,0)</f>
        <v>0</v>
      </c>
      <c r="T65">
        <f>IF(AND(SUM(VLOOKUP($A65,test!$A$3:$F$32,2,FALSE),VLOOKUP(T$1,test!$A$3:$F$32,2,FALSE))&lt;test!$K$16,$A65&lt;&gt;T$1,Recharged_Feasible_mat!U34=1),(VLOOKUP(T$1,test!$A$3:$I$32,8,FALSE))-(VLOOKUP($A65,test!$A$3:$I$32,9,FALSE))-test!$B$34,0)</f>
        <v>40</v>
      </c>
      <c r="U65">
        <f>IF(AND(SUM(VLOOKUP($A65,test!$A$3:$F$32,2,FALSE),VLOOKUP(U$1,test!$A$3:$F$32,2,FALSE))&lt;test!$K$16,$A65&lt;&gt;U$1,Recharged_Feasible_mat!V34=1),(VLOOKUP(U$1,test!$A$3:$I$32,8,FALSE))-(VLOOKUP($A65,test!$A$3:$I$32,9,FALSE))-test!$B$34,0)</f>
        <v>130</v>
      </c>
      <c r="V65">
        <f>IF(AND(SUM(VLOOKUP($A65,test!$A$3:$F$32,2,FALSE),VLOOKUP(V$1,test!$A$3:$F$32,2,FALSE))&lt;test!$K$16,$A65&lt;&gt;V$1,Recharged_Feasible_mat!W34=1),(VLOOKUP(V$1,test!$A$3:$I$32,8,FALSE))-(VLOOKUP($A65,test!$A$3:$I$32,9,FALSE))-test!$B$34,0)</f>
        <v>220</v>
      </c>
      <c r="W65">
        <f>IF(AND(SUM(VLOOKUP($A65,test!$A$3:$F$32,2,FALSE),VLOOKUP(W$1,test!$A$3:$F$32,2,FALSE))&lt;test!$K$16,$A65&lt;&gt;W$1,Recharged_Feasible_mat!X34=1),(VLOOKUP(W$1,test!$A$3:$I$32,8,FALSE))-(VLOOKUP($A65,test!$A$3:$I$32,9,FALSE))-test!$B$34,0)</f>
        <v>310</v>
      </c>
      <c r="X65">
        <f>IF(AND(SUM(VLOOKUP($A65,test!$A$3:$F$32,2,FALSE),VLOOKUP(X$1,test!$A$3:$F$32,2,FALSE))&lt;test!$K$16,$A65&lt;&gt;X$1,Recharged_Feasible_mat!Y34=1),(VLOOKUP(X$1,test!$A$3:$I$32,8,FALSE))-(VLOOKUP($A65,test!$A$3:$I$32,9,FALSE))-test!$B$34,0)</f>
        <v>370</v>
      </c>
      <c r="Y65">
        <f>IF(AND(SUM(VLOOKUP($A65,test!$A$3:$F$32,2,FALSE),VLOOKUP(Y$1,test!$A$3:$F$32,2,FALSE))&lt;test!$K$16,$A65&lt;&gt;Y$1,Recharged_Feasible_mat!Z34=1),(VLOOKUP(Y$1,test!$A$3:$I$32,8,FALSE))-(VLOOKUP($A65,test!$A$3:$I$32,9,FALSE))-test!$B$34,0)</f>
        <v>0</v>
      </c>
      <c r="Z65">
        <f>IF(AND(SUM(VLOOKUP($A65,test!$A$3:$F$32,2,FALSE),VLOOKUP(Z$1,test!$A$3:$F$32,2,FALSE))&lt;test!$K$16,$A65&lt;&gt;Z$1,Recharged_Feasible_mat!AA34=1),(VLOOKUP(Z$1,test!$A$3:$I$32,8,FALSE))-(VLOOKUP($A65,test!$A$3:$I$32,9,FALSE))-test!$B$34,0)</f>
        <v>0</v>
      </c>
      <c r="AA65">
        <f>IF(AND(SUM(VLOOKUP($A65,test!$A$3:$F$32,2,FALSE),VLOOKUP(AA$1,test!$A$3:$F$32,2,FALSE))&lt;test!$K$16,$A65&lt;&gt;AA$1,Recharged_Feasible_mat!AB34=1),(VLOOKUP(AA$1,test!$A$3:$I$32,8,FALSE))-(VLOOKUP($A65,test!$A$3:$I$32,9,FALSE))-test!$B$34,0)</f>
        <v>90</v>
      </c>
      <c r="AB65">
        <f>IF(AND(SUM(VLOOKUP($A65,test!$A$3:$F$32,2,FALSE),VLOOKUP(AB$1,test!$A$3:$F$32,2,FALSE))&lt;test!$K$16,$A65&lt;&gt;AB$1,Recharged_Feasible_mat!AC34=1),(VLOOKUP(AB$1,test!$A$3:$I$32,8,FALSE))-(VLOOKUP($A65,test!$A$3:$I$32,9,FALSE))-test!$B$34,0)</f>
        <v>150</v>
      </c>
      <c r="AC65">
        <f>IF(AND(SUM(VLOOKUP($A65,test!$A$3:$F$32,2,FALSE),VLOOKUP(AC$1,test!$A$3:$F$32,2,FALSE))&lt;test!$K$16,$A65&lt;&gt;AC$1,Recharged_Feasible_mat!AD34=1),(VLOOKUP(AC$1,test!$A$3:$I$32,8,FALSE))-(VLOOKUP($A65,test!$A$3:$I$32,9,FALSE))-test!$B$34,0)</f>
        <v>270</v>
      </c>
      <c r="AD65">
        <f>IF(AND(SUM(VLOOKUP($A65,test!$A$3:$F$32,2,FALSE),VLOOKUP(AD$1,test!$A$3:$F$32,2,FALSE))&lt;test!$K$16,$A65&lt;&gt;AD$1,Recharged_Feasible_mat!AE34=1),(VLOOKUP(AD$1,test!$A$3:$I$32,8,FALSE))-(VLOOKUP($A65,test!$A$3:$I$32,9,FALSE))-test!$B$34,0)</f>
        <v>0</v>
      </c>
      <c r="AE65">
        <f>IF(AND(SUM(VLOOKUP($A65,test!$A$3:$F$32,2,FALSE),VLOOKUP(AE$1,test!$A$3:$F$32,2,FALSE))&lt;test!$K$16,$A65&lt;&gt;AE$1,Recharged_Feasible_mat!AF34=1),(VLOOKUP(AE$1,test!$A$3:$I$32,8,FALSE))-(VLOOKUP($A65,test!$A$3:$I$32,9,FALSE))-test!$B$34,0)</f>
        <v>90</v>
      </c>
      <c r="AF65">
        <f>IF(AND(SUM(VLOOKUP($A65,test!$A$3:$F$32,2,FALSE),VLOOKUP(AF$1,test!$A$3:$F$32,2,FALSE))&lt;test!$K$16,$A65&lt;&gt;AF$1,Recharged_Feasible_mat!AG34=1),(VLOOKUP(AF$1,test!$A$3:$I$32,8,FALSE))-(VLOOKUP($A65,test!$A$3:$I$32,9,FALSE))-test!$B$34,0)</f>
        <v>0</v>
      </c>
    </row>
    <row r="66" spans="1:32" x14ac:dyDescent="0.25">
      <c r="A66" t="s">
        <v>9</v>
      </c>
      <c r="B66">
        <v>0</v>
      </c>
      <c r="C66">
        <f>IF(AND(SUM(VLOOKUP($A66,test!$A$3:$F$32,2,FALSE),VLOOKUP(C$1,test!$A$3:$F$32,2,FALSE))&lt;test!$K$16,$A66&lt;&gt;C$1,Recharged_Feasible_mat!D35=1),(VLOOKUP(C$1,test!$A$3:$I$32,8,FALSE))-(VLOOKUP($A66,test!$A$3:$I$32,9,FALSE))-test!$B$34,0)</f>
        <v>0</v>
      </c>
      <c r="D66">
        <f>IF(AND(SUM(VLOOKUP($A66,test!$A$3:$F$32,2,FALSE),VLOOKUP(D$1,test!$A$3:$F$32,2,FALSE))&lt;test!$K$16,$A66&lt;&gt;D$1,Recharged_Feasible_mat!E35=1),(VLOOKUP(D$1,test!$A$3:$I$32,8,FALSE))-(VLOOKUP($A66,test!$A$3:$I$32,9,FALSE))-test!$B$34,0)</f>
        <v>0</v>
      </c>
      <c r="E66">
        <f>IF(AND(SUM(VLOOKUP($A66,test!$A$3:$F$32,2,FALSE),VLOOKUP(E$1,test!$A$3:$F$32,2,FALSE))&lt;test!$K$16,$A66&lt;&gt;E$1,Recharged_Feasible_mat!F35=1),(VLOOKUP(E$1,test!$A$3:$I$32,8,FALSE))-(VLOOKUP($A66,test!$A$3:$I$32,9,FALSE))-test!$B$34,0)</f>
        <v>0</v>
      </c>
      <c r="F66">
        <f>IF(AND(SUM(VLOOKUP($A66,test!$A$3:$F$32,2,FALSE),VLOOKUP(F$1,test!$A$3:$F$32,2,FALSE))&lt;test!$K$16,$A66&lt;&gt;F$1,Recharged_Feasible_mat!G35=1),(VLOOKUP(F$1,test!$A$3:$I$32,8,FALSE))-(VLOOKUP($A66,test!$A$3:$I$32,9,FALSE))-test!$B$34,0)</f>
        <v>0</v>
      </c>
      <c r="G66">
        <f>IF(AND(SUM(VLOOKUP($A66,test!$A$3:$F$32,2,FALSE),VLOOKUP(G$1,test!$A$3:$F$32,2,FALSE))&lt;test!$K$16,$A66&lt;&gt;G$1,Recharged_Feasible_mat!H35=1),(VLOOKUP(G$1,test!$A$3:$I$32,8,FALSE))-(VLOOKUP($A66,test!$A$3:$I$32,9,FALSE))-test!$B$34,0)</f>
        <v>30</v>
      </c>
      <c r="H66">
        <f>IF(AND(SUM(VLOOKUP($A66,test!$A$3:$F$32,2,FALSE),VLOOKUP(H$1,test!$A$3:$F$32,2,FALSE))&lt;test!$K$16,$A66&lt;&gt;H$1,Recharged_Feasible_mat!I35=1),(VLOOKUP(H$1,test!$A$3:$I$32,8,FALSE))-(VLOOKUP($A66,test!$A$3:$I$32,9,FALSE))-test!$B$34,0)</f>
        <v>90</v>
      </c>
      <c r="I66">
        <f>IF(AND(SUM(VLOOKUP($A66,test!$A$3:$F$32,2,FALSE),VLOOKUP(I$1,test!$A$3:$F$32,2,FALSE))&lt;test!$K$16,$A66&lt;&gt;I$1,Recharged_Feasible_mat!J35=1),(VLOOKUP(I$1,test!$A$3:$I$32,8,FALSE))-(VLOOKUP($A66,test!$A$3:$I$32,9,FALSE))-test!$B$34,0)</f>
        <v>150</v>
      </c>
      <c r="J66">
        <f>IF(AND(SUM(VLOOKUP($A66,test!$A$3:$F$32,2,FALSE),VLOOKUP(J$1,test!$A$3:$F$32,2,FALSE))&lt;test!$K$16,$A66&lt;&gt;J$1,Recharged_Feasible_mat!K35=1),(VLOOKUP(J$1,test!$A$3:$I$32,8,FALSE))-(VLOOKUP($A66,test!$A$3:$I$32,9,FALSE))-test!$B$34,0)</f>
        <v>240</v>
      </c>
      <c r="K66">
        <f>IF(AND(SUM(VLOOKUP($A66,test!$A$3:$F$32,2,FALSE),VLOOKUP(K$1,test!$A$3:$F$32,2,FALSE))&lt;test!$K$16,$A66&lt;&gt;K$1,Recharged_Feasible_mat!L35=1),(VLOOKUP(K$1,test!$A$3:$I$32,8,FALSE))-(VLOOKUP($A66,test!$A$3:$I$32,9,FALSE))-test!$B$34,0)</f>
        <v>0</v>
      </c>
      <c r="L66">
        <f>IF(AND(SUM(VLOOKUP($A66,test!$A$3:$F$32,2,FALSE),VLOOKUP(L$1,test!$A$3:$F$32,2,FALSE))&lt;test!$K$16,$A66&lt;&gt;L$1,Recharged_Feasible_mat!M35=1),(VLOOKUP(L$1,test!$A$3:$I$32,8,FALSE))-(VLOOKUP($A66,test!$A$3:$I$32,9,FALSE))-test!$B$34,0)</f>
        <v>0</v>
      </c>
      <c r="M66">
        <f>IF(AND(SUM(VLOOKUP($A66,test!$A$3:$F$32,2,FALSE),VLOOKUP(M$1,test!$A$3:$F$32,2,FALSE))&lt;test!$K$16,$A66&lt;&gt;M$1,Recharged_Feasible_mat!N35=1),(VLOOKUP(M$1,test!$A$3:$I$32,8,FALSE))-(VLOOKUP($A66,test!$A$3:$I$32,9,FALSE))-test!$B$34,0)</f>
        <v>0</v>
      </c>
      <c r="N66">
        <f>IF(AND(SUM(VLOOKUP($A66,test!$A$3:$F$32,2,FALSE),VLOOKUP(N$1,test!$A$3:$F$32,2,FALSE))&lt;test!$K$16,$A66&lt;&gt;N$1,Recharged_Feasible_mat!O35=1),(VLOOKUP(N$1,test!$A$3:$I$32,8,FALSE))-(VLOOKUP($A66,test!$A$3:$I$32,9,FALSE))-test!$B$34,0)</f>
        <v>205</v>
      </c>
      <c r="O66">
        <f>IF(AND(SUM(VLOOKUP($A66,test!$A$3:$F$32,2,FALSE),VLOOKUP(O$1,test!$A$3:$F$32,2,FALSE))&lt;test!$K$16,$A66&lt;&gt;O$1,Recharged_Feasible_mat!P35=1),(VLOOKUP(O$1,test!$A$3:$I$32,8,FALSE))-(VLOOKUP($A66,test!$A$3:$I$32,9,FALSE))-test!$B$34,0)</f>
        <v>265</v>
      </c>
      <c r="P66">
        <f>IF(AND(SUM(VLOOKUP($A66,test!$A$3:$F$32,2,FALSE),VLOOKUP(P$1,test!$A$3:$F$32,2,FALSE))&lt;test!$K$16,$A66&lt;&gt;P$1,Recharged_Feasible_mat!Q35=1),(VLOOKUP(P$1,test!$A$3:$I$32,8,FALSE))-(VLOOKUP($A66,test!$A$3:$I$32,9,FALSE))-test!$B$34,0)</f>
        <v>0</v>
      </c>
      <c r="Q66">
        <f>IF(AND(SUM(VLOOKUP($A66,test!$A$3:$F$32,2,FALSE),VLOOKUP(Q$1,test!$A$3:$F$32,2,FALSE))&lt;test!$K$16,$A66&lt;&gt;Q$1,Recharged_Feasible_mat!R35=1),(VLOOKUP(Q$1,test!$A$3:$I$32,8,FALSE))-(VLOOKUP($A66,test!$A$3:$I$32,9,FALSE))-test!$B$34,0)</f>
        <v>0</v>
      </c>
      <c r="R66">
        <f>IF(AND(SUM(VLOOKUP($A66,test!$A$3:$F$32,2,FALSE),VLOOKUP(R$1,test!$A$3:$F$32,2,FALSE))&lt;test!$K$16,$A66&lt;&gt;R$1,Recharged_Feasible_mat!S35=1),(VLOOKUP(R$1,test!$A$3:$I$32,8,FALSE))-(VLOOKUP($A66,test!$A$3:$I$32,9,FALSE))-test!$B$34,0)</f>
        <v>0</v>
      </c>
      <c r="S66">
        <f>IF(AND(SUM(VLOOKUP($A66,test!$A$3:$F$32,2,FALSE),VLOOKUP(S$1,test!$A$3:$F$32,2,FALSE))&lt;test!$K$16,$A66&lt;&gt;S$1,Recharged_Feasible_mat!T35=1),(VLOOKUP(S$1,test!$A$3:$I$32,8,FALSE))-(VLOOKUP($A66,test!$A$3:$I$32,9,FALSE))-test!$B$34,0)</f>
        <v>0</v>
      </c>
      <c r="T66">
        <f>IF(AND(SUM(VLOOKUP($A66,test!$A$3:$F$32,2,FALSE),VLOOKUP(T$1,test!$A$3:$F$32,2,FALSE))&lt;test!$K$16,$A66&lt;&gt;T$1,Recharged_Feasible_mat!U35=1),(VLOOKUP(T$1,test!$A$3:$I$32,8,FALSE))-(VLOOKUP($A66,test!$A$3:$I$32,9,FALSE))-test!$B$34,0)</f>
        <v>0</v>
      </c>
      <c r="U66">
        <f>IF(AND(SUM(VLOOKUP($A66,test!$A$3:$F$32,2,FALSE),VLOOKUP(U$1,test!$A$3:$F$32,2,FALSE))&lt;test!$K$16,$A66&lt;&gt;U$1,Recharged_Feasible_mat!V35=1),(VLOOKUP(U$1,test!$A$3:$I$32,8,FALSE))-(VLOOKUP($A66,test!$A$3:$I$32,9,FALSE))-test!$B$34,0)</f>
        <v>0</v>
      </c>
      <c r="V66">
        <f>IF(AND(SUM(VLOOKUP($A66,test!$A$3:$F$32,2,FALSE),VLOOKUP(V$1,test!$A$3:$F$32,2,FALSE))&lt;test!$K$16,$A66&lt;&gt;V$1,Recharged_Feasible_mat!W35=1),(VLOOKUP(V$1,test!$A$3:$I$32,8,FALSE))-(VLOOKUP($A66,test!$A$3:$I$32,9,FALSE))-test!$B$34,0)</f>
        <v>40</v>
      </c>
      <c r="W66">
        <f>IF(AND(SUM(VLOOKUP($A66,test!$A$3:$F$32,2,FALSE),VLOOKUP(W$1,test!$A$3:$F$32,2,FALSE))&lt;test!$K$16,$A66&lt;&gt;W$1,Recharged_Feasible_mat!X35=1),(VLOOKUP(W$1,test!$A$3:$I$32,8,FALSE))-(VLOOKUP($A66,test!$A$3:$I$32,9,FALSE))-test!$B$34,0)</f>
        <v>130</v>
      </c>
      <c r="X66">
        <f>IF(AND(SUM(VLOOKUP($A66,test!$A$3:$F$32,2,FALSE),VLOOKUP(X$1,test!$A$3:$F$32,2,FALSE))&lt;test!$K$16,$A66&lt;&gt;X$1,Recharged_Feasible_mat!Y35=1),(VLOOKUP(X$1,test!$A$3:$I$32,8,FALSE))-(VLOOKUP($A66,test!$A$3:$I$32,9,FALSE))-test!$B$34,0)</f>
        <v>190</v>
      </c>
      <c r="Y66">
        <f>IF(AND(SUM(VLOOKUP($A66,test!$A$3:$F$32,2,FALSE),VLOOKUP(Y$1,test!$A$3:$F$32,2,FALSE))&lt;test!$K$16,$A66&lt;&gt;Y$1,Recharged_Feasible_mat!Z35=1),(VLOOKUP(Y$1,test!$A$3:$I$32,8,FALSE))-(VLOOKUP($A66,test!$A$3:$I$32,9,FALSE))-test!$B$34,0)</f>
        <v>0</v>
      </c>
      <c r="Z66">
        <f>IF(AND(SUM(VLOOKUP($A66,test!$A$3:$F$32,2,FALSE),VLOOKUP(Z$1,test!$A$3:$F$32,2,FALSE))&lt;test!$K$16,$A66&lt;&gt;Z$1,Recharged_Feasible_mat!AA35=1),(VLOOKUP(Z$1,test!$A$3:$I$32,8,FALSE))-(VLOOKUP($A66,test!$A$3:$I$32,9,FALSE))-test!$B$34,0)</f>
        <v>0</v>
      </c>
      <c r="AA66">
        <f>IF(AND(SUM(VLOOKUP($A66,test!$A$3:$F$32,2,FALSE),VLOOKUP(AA$1,test!$A$3:$F$32,2,FALSE))&lt;test!$K$16,$A66&lt;&gt;AA$1,Recharged_Feasible_mat!AB35=1),(VLOOKUP(AA$1,test!$A$3:$I$32,8,FALSE))-(VLOOKUP($A66,test!$A$3:$I$32,9,FALSE))-test!$B$34,0)</f>
        <v>0</v>
      </c>
      <c r="AB66">
        <f>IF(AND(SUM(VLOOKUP($A66,test!$A$3:$F$32,2,FALSE),VLOOKUP(AB$1,test!$A$3:$F$32,2,FALSE))&lt;test!$K$16,$A66&lt;&gt;AB$1,Recharged_Feasible_mat!AC35=1),(VLOOKUP(AB$1,test!$A$3:$I$32,8,FALSE))-(VLOOKUP($A66,test!$A$3:$I$32,9,FALSE))-test!$B$34,0)</f>
        <v>0</v>
      </c>
      <c r="AC66">
        <f>IF(AND(SUM(VLOOKUP($A66,test!$A$3:$F$32,2,FALSE),VLOOKUP(AC$1,test!$A$3:$F$32,2,FALSE))&lt;test!$K$16,$A66&lt;&gt;AC$1,Recharged_Feasible_mat!AD35=1),(VLOOKUP(AC$1,test!$A$3:$I$32,8,FALSE))-(VLOOKUP($A66,test!$A$3:$I$32,9,FALSE))-test!$B$34,0)</f>
        <v>90</v>
      </c>
      <c r="AD66">
        <f>IF(AND(SUM(VLOOKUP($A66,test!$A$3:$F$32,2,FALSE),VLOOKUP(AD$1,test!$A$3:$F$32,2,FALSE))&lt;test!$K$16,$A66&lt;&gt;AD$1,Recharged_Feasible_mat!AE35=1),(VLOOKUP(AD$1,test!$A$3:$I$32,8,FALSE))-(VLOOKUP($A66,test!$A$3:$I$32,9,FALSE))-test!$B$34,0)</f>
        <v>0</v>
      </c>
      <c r="AE66">
        <f>IF(AND(SUM(VLOOKUP($A66,test!$A$3:$F$32,2,FALSE),VLOOKUP(AE$1,test!$A$3:$F$32,2,FALSE))&lt;test!$K$16,$A66&lt;&gt;AE$1,Recharged_Feasible_mat!AF35=1),(VLOOKUP(AE$1,test!$A$3:$I$32,8,FALSE))-(VLOOKUP($A66,test!$A$3:$I$32,9,FALSE))-test!$B$34,0)</f>
        <v>0</v>
      </c>
      <c r="AF66">
        <f>IF(AND(SUM(VLOOKUP($A66,test!$A$3:$F$32,2,FALSE),VLOOKUP(AF$1,test!$A$3:$F$32,2,FALSE))&lt;test!$K$16,$A66&lt;&gt;AF$1,Recharged_Feasible_mat!AG35=1),(VLOOKUP(AF$1,test!$A$3:$I$32,8,FALSE))-(VLOOKUP($A66,test!$A$3:$I$32,9,FALSE))-test!$B$34,0)</f>
        <v>0</v>
      </c>
    </row>
    <row r="67" spans="1:32" x14ac:dyDescent="0.25">
      <c r="A67" t="s">
        <v>10</v>
      </c>
      <c r="B67">
        <v>0</v>
      </c>
      <c r="C67">
        <f>IF(AND(SUM(VLOOKUP($A67,test!$A$3:$F$32,2,FALSE),VLOOKUP(C$1,test!$A$3:$F$32,2,FALSE))&lt;test!$K$16,$A67&lt;&gt;C$1,Recharged_Feasible_mat!D36=1),(VLOOKUP(C$1,test!$A$3:$I$32,8,FALSE))-(VLOOKUP($A67,test!$A$3:$I$32,9,FALSE))-test!$B$34,0)</f>
        <v>0</v>
      </c>
      <c r="D67">
        <f>IF(AND(SUM(VLOOKUP($A67,test!$A$3:$F$32,2,FALSE),VLOOKUP(D$1,test!$A$3:$F$32,2,FALSE))&lt;test!$K$16,$A67&lt;&gt;D$1,Recharged_Feasible_mat!E36=1),(VLOOKUP(D$1,test!$A$3:$I$32,8,FALSE))-(VLOOKUP($A67,test!$A$3:$I$32,9,FALSE))-test!$B$34,0)</f>
        <v>0</v>
      </c>
      <c r="E67">
        <f>IF(AND(SUM(VLOOKUP($A67,test!$A$3:$F$32,2,FALSE),VLOOKUP(E$1,test!$A$3:$F$32,2,FALSE))&lt;test!$K$16,$A67&lt;&gt;E$1,Recharged_Feasible_mat!F36=1),(VLOOKUP(E$1,test!$A$3:$I$32,8,FALSE))-(VLOOKUP($A67,test!$A$3:$I$32,9,FALSE))-test!$B$34,0)</f>
        <v>0</v>
      </c>
      <c r="F67">
        <f>IF(AND(SUM(VLOOKUP($A67,test!$A$3:$F$32,2,FALSE),VLOOKUP(F$1,test!$A$3:$F$32,2,FALSE))&lt;test!$K$16,$A67&lt;&gt;F$1,Recharged_Feasible_mat!G36=1),(VLOOKUP(F$1,test!$A$3:$I$32,8,FALSE))-(VLOOKUP($A67,test!$A$3:$I$32,9,FALSE))-test!$B$34,0)</f>
        <v>0</v>
      </c>
      <c r="G67">
        <f>IF(AND(SUM(VLOOKUP($A67,test!$A$3:$F$32,2,FALSE),VLOOKUP(G$1,test!$A$3:$F$32,2,FALSE))&lt;test!$K$16,$A67&lt;&gt;G$1,Recharged_Feasible_mat!H36=1),(VLOOKUP(G$1,test!$A$3:$I$32,8,FALSE))-(VLOOKUP($A67,test!$A$3:$I$32,9,FALSE))-test!$B$34,0)</f>
        <v>0</v>
      </c>
      <c r="H67">
        <f>IF(AND(SUM(VLOOKUP($A67,test!$A$3:$F$32,2,FALSE),VLOOKUP(H$1,test!$A$3:$F$32,2,FALSE))&lt;test!$K$16,$A67&lt;&gt;H$1,Recharged_Feasible_mat!I36=1),(VLOOKUP(H$1,test!$A$3:$I$32,8,FALSE))-(VLOOKUP($A67,test!$A$3:$I$32,9,FALSE))-test!$B$34,0)</f>
        <v>0</v>
      </c>
      <c r="I67">
        <f>IF(AND(SUM(VLOOKUP($A67,test!$A$3:$F$32,2,FALSE),VLOOKUP(I$1,test!$A$3:$F$32,2,FALSE))&lt;test!$K$16,$A67&lt;&gt;I$1,Recharged_Feasible_mat!J36=1),(VLOOKUP(I$1,test!$A$3:$I$32,8,FALSE))-(VLOOKUP($A67,test!$A$3:$I$32,9,FALSE))-test!$B$34,0)</f>
        <v>60</v>
      </c>
      <c r="J67">
        <f>IF(AND(SUM(VLOOKUP($A67,test!$A$3:$F$32,2,FALSE),VLOOKUP(J$1,test!$A$3:$F$32,2,FALSE))&lt;test!$K$16,$A67&lt;&gt;J$1,Recharged_Feasible_mat!K36=1),(VLOOKUP(J$1,test!$A$3:$I$32,8,FALSE))-(VLOOKUP($A67,test!$A$3:$I$32,9,FALSE))-test!$B$34,0)</f>
        <v>150</v>
      </c>
      <c r="K67">
        <f>IF(AND(SUM(VLOOKUP($A67,test!$A$3:$F$32,2,FALSE),VLOOKUP(K$1,test!$A$3:$F$32,2,FALSE))&lt;test!$K$16,$A67&lt;&gt;K$1,Recharged_Feasible_mat!L36=1),(VLOOKUP(K$1,test!$A$3:$I$32,8,FALSE))-(VLOOKUP($A67,test!$A$3:$I$32,9,FALSE))-test!$B$34,0)</f>
        <v>0</v>
      </c>
      <c r="L67">
        <f>IF(AND(SUM(VLOOKUP($A67,test!$A$3:$F$32,2,FALSE),VLOOKUP(L$1,test!$A$3:$F$32,2,FALSE))&lt;test!$K$16,$A67&lt;&gt;L$1,Recharged_Feasible_mat!M36=1),(VLOOKUP(L$1,test!$A$3:$I$32,8,FALSE))-(VLOOKUP($A67,test!$A$3:$I$32,9,FALSE))-test!$B$34,0)</f>
        <v>0</v>
      </c>
      <c r="M67">
        <f>IF(AND(SUM(VLOOKUP($A67,test!$A$3:$F$32,2,FALSE),VLOOKUP(M$1,test!$A$3:$F$32,2,FALSE))&lt;test!$K$16,$A67&lt;&gt;M$1,Recharged_Feasible_mat!N36=1),(VLOOKUP(M$1,test!$A$3:$I$32,8,FALSE))-(VLOOKUP($A67,test!$A$3:$I$32,9,FALSE))-test!$B$34,0)</f>
        <v>0</v>
      </c>
      <c r="N67">
        <f>IF(AND(SUM(VLOOKUP($A67,test!$A$3:$F$32,2,FALSE),VLOOKUP(N$1,test!$A$3:$F$32,2,FALSE))&lt;test!$K$16,$A67&lt;&gt;N$1,Recharged_Feasible_mat!O36=1),(VLOOKUP(N$1,test!$A$3:$I$32,8,FALSE))-(VLOOKUP($A67,test!$A$3:$I$32,9,FALSE))-test!$B$34,0)</f>
        <v>115</v>
      </c>
      <c r="O67">
        <f>IF(AND(SUM(VLOOKUP($A67,test!$A$3:$F$32,2,FALSE),VLOOKUP(O$1,test!$A$3:$F$32,2,FALSE))&lt;test!$K$16,$A67&lt;&gt;O$1,Recharged_Feasible_mat!P36=1),(VLOOKUP(O$1,test!$A$3:$I$32,8,FALSE))-(VLOOKUP($A67,test!$A$3:$I$32,9,FALSE))-test!$B$34,0)</f>
        <v>175</v>
      </c>
      <c r="P67">
        <f>IF(AND(SUM(VLOOKUP($A67,test!$A$3:$F$32,2,FALSE),VLOOKUP(P$1,test!$A$3:$F$32,2,FALSE))&lt;test!$K$16,$A67&lt;&gt;P$1,Recharged_Feasible_mat!Q36=1),(VLOOKUP(P$1,test!$A$3:$I$32,8,FALSE))-(VLOOKUP($A67,test!$A$3:$I$32,9,FALSE))-test!$B$34,0)</f>
        <v>0</v>
      </c>
      <c r="Q67">
        <f>IF(AND(SUM(VLOOKUP($A67,test!$A$3:$F$32,2,FALSE),VLOOKUP(Q$1,test!$A$3:$F$32,2,FALSE))&lt;test!$K$16,$A67&lt;&gt;Q$1,Recharged_Feasible_mat!R36=1),(VLOOKUP(Q$1,test!$A$3:$I$32,8,FALSE))-(VLOOKUP($A67,test!$A$3:$I$32,9,FALSE))-test!$B$34,0)</f>
        <v>0</v>
      </c>
      <c r="R67">
        <f>IF(AND(SUM(VLOOKUP($A67,test!$A$3:$F$32,2,FALSE),VLOOKUP(R$1,test!$A$3:$F$32,2,FALSE))&lt;test!$K$16,$A67&lt;&gt;R$1,Recharged_Feasible_mat!S36=1),(VLOOKUP(R$1,test!$A$3:$I$32,8,FALSE))-(VLOOKUP($A67,test!$A$3:$I$32,9,FALSE))-test!$B$34,0)</f>
        <v>0</v>
      </c>
      <c r="S67">
        <f>IF(AND(SUM(VLOOKUP($A67,test!$A$3:$F$32,2,FALSE),VLOOKUP(S$1,test!$A$3:$F$32,2,FALSE))&lt;test!$K$16,$A67&lt;&gt;S$1,Recharged_Feasible_mat!T36=1),(VLOOKUP(S$1,test!$A$3:$I$32,8,FALSE))-(VLOOKUP($A67,test!$A$3:$I$32,9,FALSE))-test!$B$34,0)</f>
        <v>0</v>
      </c>
      <c r="T67">
        <f>IF(AND(SUM(VLOOKUP($A67,test!$A$3:$F$32,2,FALSE),VLOOKUP(T$1,test!$A$3:$F$32,2,FALSE))&lt;test!$K$16,$A67&lt;&gt;T$1,Recharged_Feasible_mat!U36=1),(VLOOKUP(T$1,test!$A$3:$I$32,8,FALSE))-(VLOOKUP($A67,test!$A$3:$I$32,9,FALSE))-test!$B$34,0)</f>
        <v>0</v>
      </c>
      <c r="U67">
        <f>IF(AND(SUM(VLOOKUP($A67,test!$A$3:$F$32,2,FALSE),VLOOKUP(U$1,test!$A$3:$F$32,2,FALSE))&lt;test!$K$16,$A67&lt;&gt;U$1,Recharged_Feasible_mat!V36=1),(VLOOKUP(U$1,test!$A$3:$I$32,8,FALSE))-(VLOOKUP($A67,test!$A$3:$I$32,9,FALSE))-test!$B$34,0)</f>
        <v>0</v>
      </c>
      <c r="V67">
        <f>IF(AND(SUM(VLOOKUP($A67,test!$A$3:$F$32,2,FALSE),VLOOKUP(V$1,test!$A$3:$F$32,2,FALSE))&lt;test!$K$16,$A67&lt;&gt;V$1,Recharged_Feasible_mat!W36=1),(VLOOKUP(V$1,test!$A$3:$I$32,8,FALSE))-(VLOOKUP($A67,test!$A$3:$I$32,9,FALSE))-test!$B$34,0)</f>
        <v>0</v>
      </c>
      <c r="W67">
        <f>IF(AND(SUM(VLOOKUP($A67,test!$A$3:$F$32,2,FALSE),VLOOKUP(W$1,test!$A$3:$F$32,2,FALSE))&lt;test!$K$16,$A67&lt;&gt;W$1,Recharged_Feasible_mat!X36=1),(VLOOKUP(W$1,test!$A$3:$I$32,8,FALSE))-(VLOOKUP($A67,test!$A$3:$I$32,9,FALSE))-test!$B$34,0)</f>
        <v>40</v>
      </c>
      <c r="X67">
        <f>IF(AND(SUM(VLOOKUP($A67,test!$A$3:$F$32,2,FALSE),VLOOKUP(X$1,test!$A$3:$F$32,2,FALSE))&lt;test!$K$16,$A67&lt;&gt;X$1,Recharged_Feasible_mat!Y36=1),(VLOOKUP(X$1,test!$A$3:$I$32,8,FALSE))-(VLOOKUP($A67,test!$A$3:$I$32,9,FALSE))-test!$B$34,0)</f>
        <v>100</v>
      </c>
      <c r="Y67">
        <f>IF(AND(SUM(VLOOKUP($A67,test!$A$3:$F$32,2,FALSE),VLOOKUP(Y$1,test!$A$3:$F$32,2,FALSE))&lt;test!$K$16,$A67&lt;&gt;Y$1,Recharged_Feasible_mat!Z36=1),(VLOOKUP(Y$1,test!$A$3:$I$32,8,FALSE))-(VLOOKUP($A67,test!$A$3:$I$32,9,FALSE))-test!$B$34,0)</f>
        <v>0</v>
      </c>
      <c r="Z67">
        <f>IF(AND(SUM(VLOOKUP($A67,test!$A$3:$F$32,2,FALSE),VLOOKUP(Z$1,test!$A$3:$F$32,2,FALSE))&lt;test!$K$16,$A67&lt;&gt;Z$1,Recharged_Feasible_mat!AA36=1),(VLOOKUP(Z$1,test!$A$3:$I$32,8,FALSE))-(VLOOKUP($A67,test!$A$3:$I$32,9,FALSE))-test!$B$34,0)</f>
        <v>0</v>
      </c>
      <c r="AA67">
        <f>IF(AND(SUM(VLOOKUP($A67,test!$A$3:$F$32,2,FALSE),VLOOKUP(AA$1,test!$A$3:$F$32,2,FALSE))&lt;test!$K$16,$A67&lt;&gt;AA$1,Recharged_Feasible_mat!AB36=1),(VLOOKUP(AA$1,test!$A$3:$I$32,8,FALSE))-(VLOOKUP($A67,test!$A$3:$I$32,9,FALSE))-test!$B$34,0)</f>
        <v>0</v>
      </c>
      <c r="AB67">
        <f>IF(AND(SUM(VLOOKUP($A67,test!$A$3:$F$32,2,FALSE),VLOOKUP(AB$1,test!$A$3:$F$32,2,FALSE))&lt;test!$K$16,$A67&lt;&gt;AB$1,Recharged_Feasible_mat!AC36=1),(VLOOKUP(AB$1,test!$A$3:$I$32,8,FALSE))-(VLOOKUP($A67,test!$A$3:$I$32,9,FALSE))-test!$B$34,0)</f>
        <v>0</v>
      </c>
      <c r="AC67">
        <f>IF(AND(SUM(VLOOKUP($A67,test!$A$3:$F$32,2,FALSE),VLOOKUP(AC$1,test!$A$3:$F$32,2,FALSE))&lt;test!$K$16,$A67&lt;&gt;AC$1,Recharged_Feasible_mat!AD36=1),(VLOOKUP(AC$1,test!$A$3:$I$32,8,FALSE))-(VLOOKUP($A67,test!$A$3:$I$32,9,FALSE))-test!$B$34,0)</f>
        <v>0</v>
      </c>
      <c r="AD67">
        <f>IF(AND(SUM(VLOOKUP($A67,test!$A$3:$F$32,2,FALSE),VLOOKUP(AD$1,test!$A$3:$F$32,2,FALSE))&lt;test!$K$16,$A67&lt;&gt;AD$1,Recharged_Feasible_mat!AE36=1),(VLOOKUP(AD$1,test!$A$3:$I$32,8,FALSE))-(VLOOKUP($A67,test!$A$3:$I$32,9,FALSE))-test!$B$34,0)</f>
        <v>0</v>
      </c>
      <c r="AE67">
        <f>IF(AND(SUM(VLOOKUP($A67,test!$A$3:$F$32,2,FALSE),VLOOKUP(AE$1,test!$A$3:$F$32,2,FALSE))&lt;test!$K$16,$A67&lt;&gt;AE$1,Recharged_Feasible_mat!AF36=1),(VLOOKUP(AE$1,test!$A$3:$I$32,8,FALSE))-(VLOOKUP($A67,test!$A$3:$I$32,9,FALSE))-test!$B$34,0)</f>
        <v>0</v>
      </c>
      <c r="AF67">
        <f>IF(AND(SUM(VLOOKUP($A67,test!$A$3:$F$32,2,FALSE),VLOOKUP(AF$1,test!$A$3:$F$32,2,FALSE))&lt;test!$K$16,$A67&lt;&gt;AF$1,Recharged_Feasible_mat!AG36=1),(VLOOKUP(AF$1,test!$A$3:$I$32,8,FALSE))-(VLOOKUP($A67,test!$A$3:$I$32,9,FALSE))-test!$B$34,0)</f>
        <v>0</v>
      </c>
    </row>
    <row r="68" spans="1:32" x14ac:dyDescent="0.25">
      <c r="A68" t="s">
        <v>11</v>
      </c>
      <c r="B68">
        <v>0</v>
      </c>
      <c r="C68">
        <f>IF(AND(SUM(VLOOKUP($A68,test!$A$3:$F$32,2,FALSE),VLOOKUP(C$1,test!$A$3:$F$32,2,FALSE))&lt;test!$K$16,$A68&lt;&gt;C$1,Recharged_Feasible_mat!D37=1),(VLOOKUP(C$1,test!$A$3:$I$32,8,FALSE))-(VLOOKUP($A68,test!$A$3:$I$32,9,FALSE))-test!$B$34,0)</f>
        <v>0</v>
      </c>
      <c r="D68">
        <f>IF(AND(SUM(VLOOKUP($A68,test!$A$3:$F$32,2,FALSE),VLOOKUP(D$1,test!$A$3:$F$32,2,FALSE))&lt;test!$K$16,$A68&lt;&gt;D$1,Recharged_Feasible_mat!E37=1),(VLOOKUP(D$1,test!$A$3:$I$32,8,FALSE))-(VLOOKUP($A68,test!$A$3:$I$32,9,FALSE))-test!$B$34,0)</f>
        <v>0</v>
      </c>
      <c r="E68">
        <f>IF(AND(SUM(VLOOKUP($A68,test!$A$3:$F$32,2,FALSE),VLOOKUP(E$1,test!$A$3:$F$32,2,FALSE))&lt;test!$K$16,$A68&lt;&gt;E$1,Recharged_Feasible_mat!F37=1),(VLOOKUP(E$1,test!$A$3:$I$32,8,FALSE))-(VLOOKUP($A68,test!$A$3:$I$32,9,FALSE))-test!$B$34,0)</f>
        <v>0</v>
      </c>
      <c r="F68">
        <f>IF(AND(SUM(VLOOKUP($A68,test!$A$3:$F$32,2,FALSE),VLOOKUP(F$1,test!$A$3:$F$32,2,FALSE))&lt;test!$K$16,$A68&lt;&gt;F$1,Recharged_Feasible_mat!G37=1),(VLOOKUP(F$1,test!$A$3:$I$32,8,FALSE))-(VLOOKUP($A68,test!$A$3:$I$32,9,FALSE))-test!$B$34,0)</f>
        <v>0</v>
      </c>
      <c r="G68">
        <f>IF(AND(SUM(VLOOKUP($A68,test!$A$3:$F$32,2,FALSE),VLOOKUP(G$1,test!$A$3:$F$32,2,FALSE))&lt;test!$K$16,$A68&lt;&gt;G$1,Recharged_Feasible_mat!H37=1),(VLOOKUP(G$1,test!$A$3:$I$32,8,FALSE))-(VLOOKUP($A68,test!$A$3:$I$32,9,FALSE))-test!$B$34,0)</f>
        <v>0</v>
      </c>
      <c r="H68">
        <f>IF(AND(SUM(VLOOKUP($A68,test!$A$3:$F$32,2,FALSE),VLOOKUP(H$1,test!$A$3:$F$32,2,FALSE))&lt;test!$K$16,$A68&lt;&gt;H$1,Recharged_Feasible_mat!I37=1),(VLOOKUP(H$1,test!$A$3:$I$32,8,FALSE))-(VLOOKUP($A68,test!$A$3:$I$32,9,FALSE))-test!$B$34,0)</f>
        <v>0</v>
      </c>
      <c r="I68">
        <f>IF(AND(SUM(VLOOKUP($A68,test!$A$3:$F$32,2,FALSE),VLOOKUP(I$1,test!$A$3:$F$32,2,FALSE))&lt;test!$K$16,$A68&lt;&gt;I$1,Recharged_Feasible_mat!J37=1),(VLOOKUP(I$1,test!$A$3:$I$32,8,FALSE))-(VLOOKUP($A68,test!$A$3:$I$32,9,FALSE))-test!$B$34,0)</f>
        <v>0</v>
      </c>
      <c r="J68">
        <f>IF(AND(SUM(VLOOKUP($A68,test!$A$3:$F$32,2,FALSE),VLOOKUP(J$1,test!$A$3:$F$32,2,FALSE))&lt;test!$K$16,$A68&lt;&gt;J$1,Recharged_Feasible_mat!K37=1),(VLOOKUP(J$1,test!$A$3:$I$32,8,FALSE))-(VLOOKUP($A68,test!$A$3:$I$32,9,FALSE))-test!$B$34,0)</f>
        <v>60</v>
      </c>
      <c r="K68">
        <f>IF(AND(SUM(VLOOKUP($A68,test!$A$3:$F$32,2,FALSE),VLOOKUP(K$1,test!$A$3:$F$32,2,FALSE))&lt;test!$K$16,$A68&lt;&gt;K$1,Recharged_Feasible_mat!L37=1),(VLOOKUP(K$1,test!$A$3:$I$32,8,FALSE))-(VLOOKUP($A68,test!$A$3:$I$32,9,FALSE))-test!$B$34,0)</f>
        <v>0</v>
      </c>
      <c r="L68">
        <f>IF(AND(SUM(VLOOKUP($A68,test!$A$3:$F$32,2,FALSE),VLOOKUP(L$1,test!$A$3:$F$32,2,FALSE))&lt;test!$K$16,$A68&lt;&gt;L$1,Recharged_Feasible_mat!M37=1),(VLOOKUP(L$1,test!$A$3:$I$32,8,FALSE))-(VLOOKUP($A68,test!$A$3:$I$32,9,FALSE))-test!$B$34,0)</f>
        <v>0</v>
      </c>
      <c r="M68">
        <f>IF(AND(SUM(VLOOKUP($A68,test!$A$3:$F$32,2,FALSE),VLOOKUP(M$1,test!$A$3:$F$32,2,FALSE))&lt;test!$K$16,$A68&lt;&gt;M$1,Recharged_Feasible_mat!N37=1),(VLOOKUP(M$1,test!$A$3:$I$32,8,FALSE))-(VLOOKUP($A68,test!$A$3:$I$32,9,FALSE))-test!$B$34,0)</f>
        <v>0</v>
      </c>
      <c r="N68">
        <f>IF(AND(SUM(VLOOKUP($A68,test!$A$3:$F$32,2,FALSE),VLOOKUP(N$1,test!$A$3:$F$32,2,FALSE))&lt;test!$K$16,$A68&lt;&gt;N$1,Recharged_Feasible_mat!O37=1),(VLOOKUP(N$1,test!$A$3:$I$32,8,FALSE))-(VLOOKUP($A68,test!$A$3:$I$32,9,FALSE))-test!$B$34,0)</f>
        <v>25</v>
      </c>
      <c r="O68">
        <f>IF(AND(SUM(VLOOKUP($A68,test!$A$3:$F$32,2,FALSE),VLOOKUP(O$1,test!$A$3:$F$32,2,FALSE))&lt;test!$K$16,$A68&lt;&gt;O$1,Recharged_Feasible_mat!P37=1),(VLOOKUP(O$1,test!$A$3:$I$32,8,FALSE))-(VLOOKUP($A68,test!$A$3:$I$32,9,FALSE))-test!$B$34,0)</f>
        <v>85</v>
      </c>
      <c r="P68">
        <f>IF(AND(SUM(VLOOKUP($A68,test!$A$3:$F$32,2,FALSE),VLOOKUP(P$1,test!$A$3:$F$32,2,FALSE))&lt;test!$K$16,$A68&lt;&gt;P$1,Recharged_Feasible_mat!Q37=1),(VLOOKUP(P$1,test!$A$3:$I$32,8,FALSE))-(VLOOKUP($A68,test!$A$3:$I$32,9,FALSE))-test!$B$34,0)</f>
        <v>0</v>
      </c>
      <c r="Q68">
        <f>IF(AND(SUM(VLOOKUP($A68,test!$A$3:$F$32,2,FALSE),VLOOKUP(Q$1,test!$A$3:$F$32,2,FALSE))&lt;test!$K$16,$A68&lt;&gt;Q$1,Recharged_Feasible_mat!R37=1),(VLOOKUP(Q$1,test!$A$3:$I$32,8,FALSE))-(VLOOKUP($A68,test!$A$3:$I$32,9,FALSE))-test!$B$34,0)</f>
        <v>0</v>
      </c>
      <c r="R68">
        <f>IF(AND(SUM(VLOOKUP($A68,test!$A$3:$F$32,2,FALSE),VLOOKUP(R$1,test!$A$3:$F$32,2,FALSE))&lt;test!$K$16,$A68&lt;&gt;R$1,Recharged_Feasible_mat!S37=1),(VLOOKUP(R$1,test!$A$3:$I$32,8,FALSE))-(VLOOKUP($A68,test!$A$3:$I$32,9,FALSE))-test!$B$34,0)</f>
        <v>0</v>
      </c>
      <c r="S68">
        <f>IF(AND(SUM(VLOOKUP($A68,test!$A$3:$F$32,2,FALSE),VLOOKUP(S$1,test!$A$3:$F$32,2,FALSE))&lt;test!$K$16,$A68&lt;&gt;S$1,Recharged_Feasible_mat!T37=1),(VLOOKUP(S$1,test!$A$3:$I$32,8,FALSE))-(VLOOKUP($A68,test!$A$3:$I$32,9,FALSE))-test!$B$34,0)</f>
        <v>0</v>
      </c>
      <c r="T68">
        <f>IF(AND(SUM(VLOOKUP($A68,test!$A$3:$F$32,2,FALSE),VLOOKUP(T$1,test!$A$3:$F$32,2,FALSE))&lt;test!$K$16,$A68&lt;&gt;T$1,Recharged_Feasible_mat!U37=1),(VLOOKUP(T$1,test!$A$3:$I$32,8,FALSE))-(VLOOKUP($A68,test!$A$3:$I$32,9,FALSE))-test!$B$34,0)</f>
        <v>0</v>
      </c>
      <c r="U68">
        <f>IF(AND(SUM(VLOOKUP($A68,test!$A$3:$F$32,2,FALSE),VLOOKUP(U$1,test!$A$3:$F$32,2,FALSE))&lt;test!$K$16,$A68&lt;&gt;U$1,Recharged_Feasible_mat!V37=1),(VLOOKUP(U$1,test!$A$3:$I$32,8,FALSE))-(VLOOKUP($A68,test!$A$3:$I$32,9,FALSE))-test!$B$34,0)</f>
        <v>0</v>
      </c>
      <c r="V68">
        <f>IF(AND(SUM(VLOOKUP($A68,test!$A$3:$F$32,2,FALSE),VLOOKUP(V$1,test!$A$3:$F$32,2,FALSE))&lt;test!$K$16,$A68&lt;&gt;V$1,Recharged_Feasible_mat!W37=1),(VLOOKUP(V$1,test!$A$3:$I$32,8,FALSE))-(VLOOKUP($A68,test!$A$3:$I$32,9,FALSE))-test!$B$34,0)</f>
        <v>0</v>
      </c>
      <c r="W68">
        <f>IF(AND(SUM(VLOOKUP($A68,test!$A$3:$F$32,2,FALSE),VLOOKUP(W$1,test!$A$3:$F$32,2,FALSE))&lt;test!$K$16,$A68&lt;&gt;W$1,Recharged_Feasible_mat!X37=1),(VLOOKUP(W$1,test!$A$3:$I$32,8,FALSE))-(VLOOKUP($A68,test!$A$3:$I$32,9,FALSE))-test!$B$34,0)</f>
        <v>0</v>
      </c>
      <c r="X68">
        <f>IF(AND(SUM(VLOOKUP($A68,test!$A$3:$F$32,2,FALSE),VLOOKUP(X$1,test!$A$3:$F$32,2,FALSE))&lt;test!$K$16,$A68&lt;&gt;X$1,Recharged_Feasible_mat!Y37=1),(VLOOKUP(X$1,test!$A$3:$I$32,8,FALSE))-(VLOOKUP($A68,test!$A$3:$I$32,9,FALSE))-test!$B$34,0)</f>
        <v>10</v>
      </c>
      <c r="Y68">
        <f>IF(AND(SUM(VLOOKUP($A68,test!$A$3:$F$32,2,FALSE),VLOOKUP(Y$1,test!$A$3:$F$32,2,FALSE))&lt;test!$K$16,$A68&lt;&gt;Y$1,Recharged_Feasible_mat!Z37=1),(VLOOKUP(Y$1,test!$A$3:$I$32,8,FALSE))-(VLOOKUP($A68,test!$A$3:$I$32,9,FALSE))-test!$B$34,0)</f>
        <v>0</v>
      </c>
      <c r="Z68">
        <f>IF(AND(SUM(VLOOKUP($A68,test!$A$3:$F$32,2,FALSE),VLOOKUP(Z$1,test!$A$3:$F$32,2,FALSE))&lt;test!$K$16,$A68&lt;&gt;Z$1,Recharged_Feasible_mat!AA37=1),(VLOOKUP(Z$1,test!$A$3:$I$32,8,FALSE))-(VLOOKUP($A68,test!$A$3:$I$32,9,FALSE))-test!$B$34,0)</f>
        <v>0</v>
      </c>
      <c r="AA68">
        <f>IF(AND(SUM(VLOOKUP($A68,test!$A$3:$F$32,2,FALSE),VLOOKUP(AA$1,test!$A$3:$F$32,2,FALSE))&lt;test!$K$16,$A68&lt;&gt;AA$1,Recharged_Feasible_mat!AB37=1),(VLOOKUP(AA$1,test!$A$3:$I$32,8,FALSE))-(VLOOKUP($A68,test!$A$3:$I$32,9,FALSE))-test!$B$34,0)</f>
        <v>0</v>
      </c>
      <c r="AB68">
        <f>IF(AND(SUM(VLOOKUP($A68,test!$A$3:$F$32,2,FALSE),VLOOKUP(AB$1,test!$A$3:$F$32,2,FALSE))&lt;test!$K$16,$A68&lt;&gt;AB$1,Recharged_Feasible_mat!AC37=1),(VLOOKUP(AB$1,test!$A$3:$I$32,8,FALSE))-(VLOOKUP($A68,test!$A$3:$I$32,9,FALSE))-test!$B$34,0)</f>
        <v>0</v>
      </c>
      <c r="AC68">
        <f>IF(AND(SUM(VLOOKUP($A68,test!$A$3:$F$32,2,FALSE),VLOOKUP(AC$1,test!$A$3:$F$32,2,FALSE))&lt;test!$K$16,$A68&lt;&gt;AC$1,Recharged_Feasible_mat!AD37=1),(VLOOKUP(AC$1,test!$A$3:$I$32,8,FALSE))-(VLOOKUP($A68,test!$A$3:$I$32,9,FALSE))-test!$B$34,0)</f>
        <v>0</v>
      </c>
      <c r="AD68">
        <f>IF(AND(SUM(VLOOKUP($A68,test!$A$3:$F$32,2,FALSE),VLOOKUP(AD$1,test!$A$3:$F$32,2,FALSE))&lt;test!$K$16,$A68&lt;&gt;AD$1,Recharged_Feasible_mat!AE37=1),(VLOOKUP(AD$1,test!$A$3:$I$32,8,FALSE))-(VLOOKUP($A68,test!$A$3:$I$32,9,FALSE))-test!$B$34,0)</f>
        <v>0</v>
      </c>
      <c r="AE68">
        <f>IF(AND(SUM(VLOOKUP($A68,test!$A$3:$F$32,2,FALSE),VLOOKUP(AE$1,test!$A$3:$F$32,2,FALSE))&lt;test!$K$16,$A68&lt;&gt;AE$1,Recharged_Feasible_mat!AF37=1),(VLOOKUP(AE$1,test!$A$3:$I$32,8,FALSE))-(VLOOKUP($A68,test!$A$3:$I$32,9,FALSE))-test!$B$34,0)</f>
        <v>0</v>
      </c>
      <c r="AF68">
        <f>IF(AND(SUM(VLOOKUP($A68,test!$A$3:$F$32,2,FALSE),VLOOKUP(AF$1,test!$A$3:$F$32,2,FALSE))&lt;test!$K$16,$A68&lt;&gt;AF$1,Recharged_Feasible_mat!AG37=1),(VLOOKUP(AF$1,test!$A$3:$I$32,8,FALSE))-(VLOOKUP($A68,test!$A$3:$I$32,9,FALSE))-test!$B$34,0)</f>
        <v>0</v>
      </c>
    </row>
    <row r="69" spans="1:32" x14ac:dyDescent="0.25">
      <c r="A69" t="s">
        <v>12</v>
      </c>
      <c r="B69">
        <v>0</v>
      </c>
      <c r="C69">
        <f>IF(AND(SUM(VLOOKUP($A69,test!$A$3:$F$32,2,FALSE),VLOOKUP(C$1,test!$A$3:$F$32,2,FALSE))&lt;test!$K$16,$A69&lt;&gt;C$1,Recharged_Feasible_mat!D38=1),(VLOOKUP(C$1,test!$A$3:$I$32,8,FALSE))-(VLOOKUP($A69,test!$A$3:$I$32,9,FALSE))-test!$B$34,0)</f>
        <v>0</v>
      </c>
      <c r="D69">
        <f>IF(AND(SUM(VLOOKUP($A69,test!$A$3:$F$32,2,FALSE),VLOOKUP(D$1,test!$A$3:$F$32,2,FALSE))&lt;test!$K$16,$A69&lt;&gt;D$1,Recharged_Feasible_mat!E38=1),(VLOOKUP(D$1,test!$A$3:$I$32,8,FALSE))-(VLOOKUP($A69,test!$A$3:$I$32,9,FALSE))-test!$B$34,0)</f>
        <v>0</v>
      </c>
      <c r="E69">
        <f>IF(AND(SUM(VLOOKUP($A69,test!$A$3:$F$32,2,FALSE),VLOOKUP(E$1,test!$A$3:$F$32,2,FALSE))&lt;test!$K$16,$A69&lt;&gt;E$1,Recharged_Feasible_mat!F38=1),(VLOOKUP(E$1,test!$A$3:$I$32,8,FALSE))-(VLOOKUP($A69,test!$A$3:$I$32,9,FALSE))-test!$B$34,0)</f>
        <v>0</v>
      </c>
      <c r="F69">
        <f>IF(AND(SUM(VLOOKUP($A69,test!$A$3:$F$32,2,FALSE),VLOOKUP(F$1,test!$A$3:$F$32,2,FALSE))&lt;test!$K$16,$A69&lt;&gt;F$1,Recharged_Feasible_mat!G38=1),(VLOOKUP(F$1,test!$A$3:$I$32,8,FALSE))-(VLOOKUP($A69,test!$A$3:$I$32,9,FALSE))-test!$B$34,0)</f>
        <v>0</v>
      </c>
      <c r="G69">
        <f>IF(AND(SUM(VLOOKUP($A69,test!$A$3:$F$32,2,FALSE),VLOOKUP(G$1,test!$A$3:$F$32,2,FALSE))&lt;test!$K$16,$A69&lt;&gt;G$1,Recharged_Feasible_mat!H38=1),(VLOOKUP(G$1,test!$A$3:$I$32,8,FALSE))-(VLOOKUP($A69,test!$A$3:$I$32,9,FALSE))-test!$B$34,0)</f>
        <v>0</v>
      </c>
      <c r="H69">
        <f>IF(AND(SUM(VLOOKUP($A69,test!$A$3:$F$32,2,FALSE),VLOOKUP(H$1,test!$A$3:$F$32,2,FALSE))&lt;test!$K$16,$A69&lt;&gt;H$1,Recharged_Feasible_mat!I38=1),(VLOOKUP(H$1,test!$A$3:$I$32,8,FALSE))-(VLOOKUP($A69,test!$A$3:$I$32,9,FALSE))-test!$B$34,0)</f>
        <v>0</v>
      </c>
      <c r="I69">
        <f>IF(AND(SUM(VLOOKUP($A69,test!$A$3:$F$32,2,FALSE),VLOOKUP(I$1,test!$A$3:$F$32,2,FALSE))&lt;test!$K$16,$A69&lt;&gt;I$1,Recharged_Feasible_mat!J38=1),(VLOOKUP(I$1,test!$A$3:$I$32,8,FALSE))-(VLOOKUP($A69,test!$A$3:$I$32,9,FALSE))-test!$B$34,0)</f>
        <v>0</v>
      </c>
      <c r="J69">
        <f>IF(AND(SUM(VLOOKUP($A69,test!$A$3:$F$32,2,FALSE),VLOOKUP(J$1,test!$A$3:$F$32,2,FALSE))&lt;test!$K$16,$A69&lt;&gt;J$1,Recharged_Feasible_mat!K38=1),(VLOOKUP(J$1,test!$A$3:$I$32,8,FALSE))-(VLOOKUP($A69,test!$A$3:$I$32,9,FALSE))-test!$B$34,0)</f>
        <v>0</v>
      </c>
      <c r="K69">
        <f>IF(AND(SUM(VLOOKUP($A69,test!$A$3:$F$32,2,FALSE),VLOOKUP(K$1,test!$A$3:$F$32,2,FALSE))&lt;test!$K$16,$A69&lt;&gt;K$1,Recharged_Feasible_mat!L38=1),(VLOOKUP(K$1,test!$A$3:$I$32,8,FALSE))-(VLOOKUP($A69,test!$A$3:$I$32,9,FALSE))-test!$B$34,0)</f>
        <v>0</v>
      </c>
      <c r="L69">
        <f>IF(AND(SUM(VLOOKUP($A69,test!$A$3:$F$32,2,FALSE),VLOOKUP(L$1,test!$A$3:$F$32,2,FALSE))&lt;test!$K$16,$A69&lt;&gt;L$1,Recharged_Feasible_mat!M38=1),(VLOOKUP(L$1,test!$A$3:$I$32,8,FALSE))-(VLOOKUP($A69,test!$A$3:$I$32,9,FALSE))-test!$B$34,0)</f>
        <v>0</v>
      </c>
      <c r="M69">
        <f>IF(AND(SUM(VLOOKUP($A69,test!$A$3:$F$32,2,FALSE),VLOOKUP(M$1,test!$A$3:$F$32,2,FALSE))&lt;test!$K$16,$A69&lt;&gt;M$1,Recharged_Feasible_mat!N38=1),(VLOOKUP(M$1,test!$A$3:$I$32,8,FALSE))-(VLOOKUP($A69,test!$A$3:$I$32,9,FALSE))-test!$B$34,0)</f>
        <v>0</v>
      </c>
      <c r="N69">
        <f>IF(AND(SUM(VLOOKUP($A69,test!$A$3:$F$32,2,FALSE),VLOOKUP(N$1,test!$A$3:$F$32,2,FALSE))&lt;test!$K$16,$A69&lt;&gt;N$1,Recharged_Feasible_mat!O38=1),(VLOOKUP(N$1,test!$A$3:$I$32,8,FALSE))-(VLOOKUP($A69,test!$A$3:$I$32,9,FALSE))-test!$B$34,0)</f>
        <v>0</v>
      </c>
      <c r="O69">
        <f>IF(AND(SUM(VLOOKUP($A69,test!$A$3:$F$32,2,FALSE),VLOOKUP(O$1,test!$A$3:$F$32,2,FALSE))&lt;test!$K$16,$A69&lt;&gt;O$1,Recharged_Feasible_mat!P38=1),(VLOOKUP(O$1,test!$A$3:$I$32,8,FALSE))-(VLOOKUP($A69,test!$A$3:$I$32,9,FALSE))-test!$B$34,0)</f>
        <v>25</v>
      </c>
      <c r="P69">
        <f>IF(AND(SUM(VLOOKUP($A69,test!$A$3:$F$32,2,FALSE),VLOOKUP(P$1,test!$A$3:$F$32,2,FALSE))&lt;test!$K$16,$A69&lt;&gt;P$1,Recharged_Feasible_mat!Q38=1),(VLOOKUP(P$1,test!$A$3:$I$32,8,FALSE))-(VLOOKUP($A69,test!$A$3:$I$32,9,FALSE))-test!$B$34,0)</f>
        <v>0</v>
      </c>
      <c r="Q69">
        <f>IF(AND(SUM(VLOOKUP($A69,test!$A$3:$F$32,2,FALSE),VLOOKUP(Q$1,test!$A$3:$F$32,2,FALSE))&lt;test!$K$16,$A69&lt;&gt;Q$1,Recharged_Feasible_mat!R38=1),(VLOOKUP(Q$1,test!$A$3:$I$32,8,FALSE))-(VLOOKUP($A69,test!$A$3:$I$32,9,FALSE))-test!$B$34,0)</f>
        <v>0</v>
      </c>
      <c r="R69">
        <f>IF(AND(SUM(VLOOKUP($A69,test!$A$3:$F$32,2,FALSE),VLOOKUP(R$1,test!$A$3:$F$32,2,FALSE))&lt;test!$K$16,$A69&lt;&gt;R$1,Recharged_Feasible_mat!S38=1),(VLOOKUP(R$1,test!$A$3:$I$32,8,FALSE))-(VLOOKUP($A69,test!$A$3:$I$32,9,FALSE))-test!$B$34,0)</f>
        <v>0</v>
      </c>
      <c r="S69">
        <f>IF(AND(SUM(VLOOKUP($A69,test!$A$3:$F$32,2,FALSE),VLOOKUP(S$1,test!$A$3:$F$32,2,FALSE))&lt;test!$K$16,$A69&lt;&gt;S$1,Recharged_Feasible_mat!T38=1),(VLOOKUP(S$1,test!$A$3:$I$32,8,FALSE))-(VLOOKUP($A69,test!$A$3:$I$32,9,FALSE))-test!$B$34,0)</f>
        <v>0</v>
      </c>
      <c r="T69">
        <f>IF(AND(SUM(VLOOKUP($A69,test!$A$3:$F$32,2,FALSE),VLOOKUP(T$1,test!$A$3:$F$32,2,FALSE))&lt;test!$K$16,$A69&lt;&gt;T$1,Recharged_Feasible_mat!U38=1),(VLOOKUP(T$1,test!$A$3:$I$32,8,FALSE))-(VLOOKUP($A69,test!$A$3:$I$32,9,FALSE))-test!$B$34,0)</f>
        <v>0</v>
      </c>
      <c r="U69">
        <f>IF(AND(SUM(VLOOKUP($A69,test!$A$3:$F$32,2,FALSE),VLOOKUP(U$1,test!$A$3:$F$32,2,FALSE))&lt;test!$K$16,$A69&lt;&gt;U$1,Recharged_Feasible_mat!V38=1),(VLOOKUP(U$1,test!$A$3:$I$32,8,FALSE))-(VLOOKUP($A69,test!$A$3:$I$32,9,FALSE))-test!$B$34,0)</f>
        <v>0</v>
      </c>
      <c r="V69">
        <f>IF(AND(SUM(VLOOKUP($A69,test!$A$3:$F$32,2,FALSE),VLOOKUP(V$1,test!$A$3:$F$32,2,FALSE))&lt;test!$K$16,$A69&lt;&gt;V$1,Recharged_Feasible_mat!W38=1),(VLOOKUP(V$1,test!$A$3:$I$32,8,FALSE))-(VLOOKUP($A69,test!$A$3:$I$32,9,FALSE))-test!$B$34,0)</f>
        <v>0</v>
      </c>
      <c r="W69">
        <f>IF(AND(SUM(VLOOKUP($A69,test!$A$3:$F$32,2,FALSE),VLOOKUP(W$1,test!$A$3:$F$32,2,FALSE))&lt;test!$K$16,$A69&lt;&gt;W$1,Recharged_Feasible_mat!X38=1),(VLOOKUP(W$1,test!$A$3:$I$32,8,FALSE))-(VLOOKUP($A69,test!$A$3:$I$32,9,FALSE))-test!$B$34,0)</f>
        <v>0</v>
      </c>
      <c r="X69">
        <f>IF(AND(SUM(VLOOKUP($A69,test!$A$3:$F$32,2,FALSE),VLOOKUP(X$1,test!$A$3:$F$32,2,FALSE))&lt;test!$K$16,$A69&lt;&gt;X$1,Recharged_Feasible_mat!Y38=1),(VLOOKUP(X$1,test!$A$3:$I$32,8,FALSE))-(VLOOKUP($A69,test!$A$3:$I$32,9,FALSE))-test!$B$34,0)</f>
        <v>0</v>
      </c>
      <c r="Y69">
        <f>IF(AND(SUM(VLOOKUP($A69,test!$A$3:$F$32,2,FALSE),VLOOKUP(Y$1,test!$A$3:$F$32,2,FALSE))&lt;test!$K$16,$A69&lt;&gt;Y$1,Recharged_Feasible_mat!Z38=1),(VLOOKUP(Y$1,test!$A$3:$I$32,8,FALSE))-(VLOOKUP($A69,test!$A$3:$I$32,9,FALSE))-test!$B$34,0)</f>
        <v>0</v>
      </c>
      <c r="Z69">
        <f>IF(AND(SUM(VLOOKUP($A69,test!$A$3:$F$32,2,FALSE),VLOOKUP(Z$1,test!$A$3:$F$32,2,FALSE))&lt;test!$K$16,$A69&lt;&gt;Z$1,Recharged_Feasible_mat!AA38=1),(VLOOKUP(Z$1,test!$A$3:$I$32,8,FALSE))-(VLOOKUP($A69,test!$A$3:$I$32,9,FALSE))-test!$B$34,0)</f>
        <v>0</v>
      </c>
      <c r="AA69">
        <f>IF(AND(SUM(VLOOKUP($A69,test!$A$3:$F$32,2,FALSE),VLOOKUP(AA$1,test!$A$3:$F$32,2,FALSE))&lt;test!$K$16,$A69&lt;&gt;AA$1,Recharged_Feasible_mat!AB38=1),(VLOOKUP(AA$1,test!$A$3:$I$32,8,FALSE))-(VLOOKUP($A69,test!$A$3:$I$32,9,FALSE))-test!$B$34,0)</f>
        <v>0</v>
      </c>
      <c r="AB69">
        <f>IF(AND(SUM(VLOOKUP($A69,test!$A$3:$F$32,2,FALSE),VLOOKUP(AB$1,test!$A$3:$F$32,2,FALSE))&lt;test!$K$16,$A69&lt;&gt;AB$1,Recharged_Feasible_mat!AC38=1),(VLOOKUP(AB$1,test!$A$3:$I$32,8,FALSE))-(VLOOKUP($A69,test!$A$3:$I$32,9,FALSE))-test!$B$34,0)</f>
        <v>0</v>
      </c>
      <c r="AC69">
        <f>IF(AND(SUM(VLOOKUP($A69,test!$A$3:$F$32,2,FALSE),VLOOKUP(AC$1,test!$A$3:$F$32,2,FALSE))&lt;test!$K$16,$A69&lt;&gt;AC$1,Recharged_Feasible_mat!AD38=1),(VLOOKUP(AC$1,test!$A$3:$I$32,8,FALSE))-(VLOOKUP($A69,test!$A$3:$I$32,9,FALSE))-test!$B$34,0)</f>
        <v>0</v>
      </c>
      <c r="AD69">
        <f>IF(AND(SUM(VLOOKUP($A69,test!$A$3:$F$32,2,FALSE),VLOOKUP(AD$1,test!$A$3:$F$32,2,FALSE))&lt;test!$K$16,$A69&lt;&gt;AD$1,Recharged_Feasible_mat!AE38=1),(VLOOKUP(AD$1,test!$A$3:$I$32,8,FALSE))-(VLOOKUP($A69,test!$A$3:$I$32,9,FALSE))-test!$B$34,0)</f>
        <v>0</v>
      </c>
      <c r="AE69">
        <f>IF(AND(SUM(VLOOKUP($A69,test!$A$3:$F$32,2,FALSE),VLOOKUP(AE$1,test!$A$3:$F$32,2,FALSE))&lt;test!$K$16,$A69&lt;&gt;AE$1,Recharged_Feasible_mat!AF38=1),(VLOOKUP(AE$1,test!$A$3:$I$32,8,FALSE))-(VLOOKUP($A69,test!$A$3:$I$32,9,FALSE))-test!$B$34,0)</f>
        <v>0</v>
      </c>
      <c r="AF69">
        <f>IF(AND(SUM(VLOOKUP($A69,test!$A$3:$F$32,2,FALSE),VLOOKUP(AF$1,test!$A$3:$F$32,2,FALSE))&lt;test!$K$16,$A69&lt;&gt;AF$1,Recharged_Feasible_mat!AG38=1),(VLOOKUP(AF$1,test!$A$3:$I$32,8,FALSE))-(VLOOKUP($A69,test!$A$3:$I$32,9,FALSE))-test!$B$34,0)</f>
        <v>0</v>
      </c>
    </row>
    <row r="70" spans="1:32" x14ac:dyDescent="0.25">
      <c r="A70" t="s">
        <v>13</v>
      </c>
      <c r="B70">
        <v>0</v>
      </c>
      <c r="C70">
        <f>IF(AND(SUM(VLOOKUP($A70,test!$A$3:$F$32,2,FALSE),VLOOKUP(C$1,test!$A$3:$F$32,2,FALSE))&lt;test!$K$16,$A70&lt;&gt;C$1,Recharged_Feasible_mat!D39=1),(VLOOKUP(C$1,test!$A$3:$I$32,8,FALSE))-(VLOOKUP($A70,test!$A$3:$I$32,9,FALSE))-test!$B$34,0)</f>
        <v>0</v>
      </c>
      <c r="D70">
        <f>IF(AND(SUM(VLOOKUP($A70,test!$A$3:$F$32,2,FALSE),VLOOKUP(D$1,test!$A$3:$F$32,2,FALSE))&lt;test!$K$16,$A70&lt;&gt;D$1,Recharged_Feasible_mat!E39=1),(VLOOKUP(D$1,test!$A$3:$I$32,8,FALSE))-(VLOOKUP($A70,test!$A$3:$I$32,9,FALSE))-test!$B$34,0)</f>
        <v>0</v>
      </c>
      <c r="E70">
        <f>IF(AND(SUM(VLOOKUP($A70,test!$A$3:$F$32,2,FALSE),VLOOKUP(E$1,test!$A$3:$F$32,2,FALSE))&lt;test!$K$16,$A70&lt;&gt;E$1,Recharged_Feasible_mat!F39=1),(VLOOKUP(E$1,test!$A$3:$I$32,8,FALSE))-(VLOOKUP($A70,test!$A$3:$I$32,9,FALSE))-test!$B$34,0)</f>
        <v>0</v>
      </c>
      <c r="F70">
        <f>IF(AND(SUM(VLOOKUP($A70,test!$A$3:$F$32,2,FALSE),VLOOKUP(F$1,test!$A$3:$F$32,2,FALSE))&lt;test!$K$16,$A70&lt;&gt;F$1,Recharged_Feasible_mat!G39=1),(VLOOKUP(F$1,test!$A$3:$I$32,8,FALSE))-(VLOOKUP($A70,test!$A$3:$I$32,9,FALSE))-test!$B$34,0)</f>
        <v>0</v>
      </c>
      <c r="G70">
        <f>IF(AND(SUM(VLOOKUP($A70,test!$A$3:$F$32,2,FALSE),VLOOKUP(G$1,test!$A$3:$F$32,2,FALSE))&lt;test!$K$16,$A70&lt;&gt;G$1,Recharged_Feasible_mat!H39=1),(VLOOKUP(G$1,test!$A$3:$I$32,8,FALSE))-(VLOOKUP($A70,test!$A$3:$I$32,9,FALSE))-test!$B$34,0)</f>
        <v>0</v>
      </c>
      <c r="H70">
        <f>IF(AND(SUM(VLOOKUP($A70,test!$A$3:$F$32,2,FALSE),VLOOKUP(H$1,test!$A$3:$F$32,2,FALSE))&lt;test!$K$16,$A70&lt;&gt;H$1,Recharged_Feasible_mat!I39=1),(VLOOKUP(H$1,test!$A$3:$I$32,8,FALSE))-(VLOOKUP($A70,test!$A$3:$I$32,9,FALSE))-test!$B$34,0)</f>
        <v>0</v>
      </c>
      <c r="I70">
        <f>IF(AND(SUM(VLOOKUP($A70,test!$A$3:$F$32,2,FALSE),VLOOKUP(I$1,test!$A$3:$F$32,2,FALSE))&lt;test!$K$16,$A70&lt;&gt;I$1,Recharged_Feasible_mat!J39=1),(VLOOKUP(I$1,test!$A$3:$I$32,8,FALSE))-(VLOOKUP($A70,test!$A$3:$I$32,9,FALSE))-test!$B$34,0)</f>
        <v>0</v>
      </c>
      <c r="J70">
        <f>IF(AND(SUM(VLOOKUP($A70,test!$A$3:$F$32,2,FALSE),VLOOKUP(J$1,test!$A$3:$F$32,2,FALSE))&lt;test!$K$16,$A70&lt;&gt;J$1,Recharged_Feasible_mat!K39=1),(VLOOKUP(J$1,test!$A$3:$I$32,8,FALSE))-(VLOOKUP($A70,test!$A$3:$I$32,9,FALSE))-test!$B$34,0)</f>
        <v>0</v>
      </c>
      <c r="K70">
        <f>IF(AND(SUM(VLOOKUP($A70,test!$A$3:$F$32,2,FALSE),VLOOKUP(K$1,test!$A$3:$F$32,2,FALSE))&lt;test!$K$16,$A70&lt;&gt;K$1,Recharged_Feasible_mat!L39=1),(VLOOKUP(K$1,test!$A$3:$I$32,8,FALSE))-(VLOOKUP($A70,test!$A$3:$I$32,9,FALSE))-test!$B$34,0)</f>
        <v>0</v>
      </c>
      <c r="L70">
        <f>IF(AND(SUM(VLOOKUP($A70,test!$A$3:$F$32,2,FALSE),VLOOKUP(L$1,test!$A$3:$F$32,2,FALSE))&lt;test!$K$16,$A70&lt;&gt;L$1,Recharged_Feasible_mat!M39=1),(VLOOKUP(L$1,test!$A$3:$I$32,8,FALSE))-(VLOOKUP($A70,test!$A$3:$I$32,9,FALSE))-test!$B$34,0)</f>
        <v>0</v>
      </c>
      <c r="M70">
        <f>IF(AND(SUM(VLOOKUP($A70,test!$A$3:$F$32,2,FALSE),VLOOKUP(M$1,test!$A$3:$F$32,2,FALSE))&lt;test!$K$16,$A70&lt;&gt;M$1,Recharged_Feasible_mat!N39=1),(VLOOKUP(M$1,test!$A$3:$I$32,8,FALSE))-(VLOOKUP($A70,test!$A$3:$I$32,9,FALSE))-test!$B$34,0)</f>
        <v>0</v>
      </c>
      <c r="N70">
        <f>IF(AND(SUM(VLOOKUP($A70,test!$A$3:$F$32,2,FALSE),VLOOKUP(N$1,test!$A$3:$F$32,2,FALSE))&lt;test!$K$16,$A70&lt;&gt;N$1,Recharged_Feasible_mat!O39=1),(VLOOKUP(N$1,test!$A$3:$I$32,8,FALSE))-(VLOOKUP($A70,test!$A$3:$I$32,9,FALSE))-test!$B$34,0)</f>
        <v>0</v>
      </c>
      <c r="O70">
        <f>IF(AND(SUM(VLOOKUP($A70,test!$A$3:$F$32,2,FALSE),VLOOKUP(O$1,test!$A$3:$F$32,2,FALSE))&lt;test!$K$16,$A70&lt;&gt;O$1,Recharged_Feasible_mat!P39=1),(VLOOKUP(O$1,test!$A$3:$I$32,8,FALSE))-(VLOOKUP($A70,test!$A$3:$I$32,9,FALSE))-test!$B$34,0)</f>
        <v>0</v>
      </c>
      <c r="P70">
        <f>IF(AND(SUM(VLOOKUP($A70,test!$A$3:$F$32,2,FALSE),VLOOKUP(P$1,test!$A$3:$F$32,2,FALSE))&lt;test!$K$16,$A70&lt;&gt;P$1,Recharged_Feasible_mat!Q39=1),(VLOOKUP(P$1,test!$A$3:$I$32,8,FALSE))-(VLOOKUP($A70,test!$A$3:$I$32,9,FALSE))-test!$B$34,0)</f>
        <v>0</v>
      </c>
      <c r="Q70">
        <f>IF(AND(SUM(VLOOKUP($A70,test!$A$3:$F$32,2,FALSE),VLOOKUP(Q$1,test!$A$3:$F$32,2,FALSE))&lt;test!$K$16,$A70&lt;&gt;Q$1,Recharged_Feasible_mat!R39=1),(VLOOKUP(Q$1,test!$A$3:$I$32,8,FALSE))-(VLOOKUP($A70,test!$A$3:$I$32,9,FALSE))-test!$B$34,0)</f>
        <v>0</v>
      </c>
      <c r="R70">
        <f>IF(AND(SUM(VLOOKUP($A70,test!$A$3:$F$32,2,FALSE),VLOOKUP(R$1,test!$A$3:$F$32,2,FALSE))&lt;test!$K$16,$A70&lt;&gt;R$1,Recharged_Feasible_mat!S39=1),(VLOOKUP(R$1,test!$A$3:$I$32,8,FALSE))-(VLOOKUP($A70,test!$A$3:$I$32,9,FALSE))-test!$B$34,0)</f>
        <v>0</v>
      </c>
      <c r="S70">
        <f>IF(AND(SUM(VLOOKUP($A70,test!$A$3:$F$32,2,FALSE),VLOOKUP(S$1,test!$A$3:$F$32,2,FALSE))&lt;test!$K$16,$A70&lt;&gt;S$1,Recharged_Feasible_mat!T39=1),(VLOOKUP(S$1,test!$A$3:$I$32,8,FALSE))-(VLOOKUP($A70,test!$A$3:$I$32,9,FALSE))-test!$B$34,0)</f>
        <v>0</v>
      </c>
      <c r="T70">
        <f>IF(AND(SUM(VLOOKUP($A70,test!$A$3:$F$32,2,FALSE),VLOOKUP(T$1,test!$A$3:$F$32,2,FALSE))&lt;test!$K$16,$A70&lt;&gt;T$1,Recharged_Feasible_mat!U39=1),(VLOOKUP(T$1,test!$A$3:$I$32,8,FALSE))-(VLOOKUP($A70,test!$A$3:$I$32,9,FALSE))-test!$B$34,0)</f>
        <v>0</v>
      </c>
      <c r="U70">
        <f>IF(AND(SUM(VLOOKUP($A70,test!$A$3:$F$32,2,FALSE),VLOOKUP(U$1,test!$A$3:$F$32,2,FALSE))&lt;test!$K$16,$A70&lt;&gt;U$1,Recharged_Feasible_mat!V39=1),(VLOOKUP(U$1,test!$A$3:$I$32,8,FALSE))-(VLOOKUP($A70,test!$A$3:$I$32,9,FALSE))-test!$B$34,0)</f>
        <v>0</v>
      </c>
      <c r="V70">
        <f>IF(AND(SUM(VLOOKUP($A70,test!$A$3:$F$32,2,FALSE),VLOOKUP(V$1,test!$A$3:$F$32,2,FALSE))&lt;test!$K$16,$A70&lt;&gt;V$1,Recharged_Feasible_mat!W39=1),(VLOOKUP(V$1,test!$A$3:$I$32,8,FALSE))-(VLOOKUP($A70,test!$A$3:$I$32,9,FALSE))-test!$B$34,0)</f>
        <v>0</v>
      </c>
      <c r="W70">
        <f>IF(AND(SUM(VLOOKUP($A70,test!$A$3:$F$32,2,FALSE),VLOOKUP(W$1,test!$A$3:$F$32,2,FALSE))&lt;test!$K$16,$A70&lt;&gt;W$1,Recharged_Feasible_mat!X39=1),(VLOOKUP(W$1,test!$A$3:$I$32,8,FALSE))-(VLOOKUP($A70,test!$A$3:$I$32,9,FALSE))-test!$B$34,0)</f>
        <v>0</v>
      </c>
      <c r="X70">
        <f>IF(AND(SUM(VLOOKUP($A70,test!$A$3:$F$32,2,FALSE),VLOOKUP(X$1,test!$A$3:$F$32,2,FALSE))&lt;test!$K$16,$A70&lt;&gt;X$1,Recharged_Feasible_mat!Y39=1),(VLOOKUP(X$1,test!$A$3:$I$32,8,FALSE))-(VLOOKUP($A70,test!$A$3:$I$32,9,FALSE))-test!$B$34,0)</f>
        <v>0</v>
      </c>
      <c r="Y70">
        <f>IF(AND(SUM(VLOOKUP($A70,test!$A$3:$F$32,2,FALSE),VLOOKUP(Y$1,test!$A$3:$F$32,2,FALSE))&lt;test!$K$16,$A70&lt;&gt;Y$1,Recharged_Feasible_mat!Z39=1),(VLOOKUP(Y$1,test!$A$3:$I$32,8,FALSE))-(VLOOKUP($A70,test!$A$3:$I$32,9,FALSE))-test!$B$34,0)</f>
        <v>0</v>
      </c>
      <c r="Z70">
        <f>IF(AND(SUM(VLOOKUP($A70,test!$A$3:$F$32,2,FALSE),VLOOKUP(Z$1,test!$A$3:$F$32,2,FALSE))&lt;test!$K$16,$A70&lt;&gt;Z$1,Recharged_Feasible_mat!AA39=1),(VLOOKUP(Z$1,test!$A$3:$I$32,8,FALSE))-(VLOOKUP($A70,test!$A$3:$I$32,9,FALSE))-test!$B$34,0)</f>
        <v>0</v>
      </c>
      <c r="AA70">
        <f>IF(AND(SUM(VLOOKUP($A70,test!$A$3:$F$32,2,FALSE),VLOOKUP(AA$1,test!$A$3:$F$32,2,FALSE))&lt;test!$K$16,$A70&lt;&gt;AA$1,Recharged_Feasible_mat!AB39=1),(VLOOKUP(AA$1,test!$A$3:$I$32,8,FALSE))-(VLOOKUP($A70,test!$A$3:$I$32,9,FALSE))-test!$B$34,0)</f>
        <v>0</v>
      </c>
      <c r="AB70">
        <f>IF(AND(SUM(VLOOKUP($A70,test!$A$3:$F$32,2,FALSE),VLOOKUP(AB$1,test!$A$3:$F$32,2,FALSE))&lt;test!$K$16,$A70&lt;&gt;AB$1,Recharged_Feasible_mat!AC39=1),(VLOOKUP(AB$1,test!$A$3:$I$32,8,FALSE))-(VLOOKUP($A70,test!$A$3:$I$32,9,FALSE))-test!$B$34,0)</f>
        <v>0</v>
      </c>
      <c r="AC70">
        <f>IF(AND(SUM(VLOOKUP($A70,test!$A$3:$F$32,2,FALSE),VLOOKUP(AC$1,test!$A$3:$F$32,2,FALSE))&lt;test!$K$16,$A70&lt;&gt;AC$1,Recharged_Feasible_mat!AD39=1),(VLOOKUP(AC$1,test!$A$3:$I$32,8,FALSE))-(VLOOKUP($A70,test!$A$3:$I$32,9,FALSE))-test!$B$34,0)</f>
        <v>0</v>
      </c>
      <c r="AD70">
        <f>IF(AND(SUM(VLOOKUP($A70,test!$A$3:$F$32,2,FALSE),VLOOKUP(AD$1,test!$A$3:$F$32,2,FALSE))&lt;test!$K$16,$A70&lt;&gt;AD$1,Recharged_Feasible_mat!AE39=1),(VLOOKUP(AD$1,test!$A$3:$I$32,8,FALSE))-(VLOOKUP($A70,test!$A$3:$I$32,9,FALSE))-test!$B$34,0)</f>
        <v>0</v>
      </c>
      <c r="AE70">
        <f>IF(AND(SUM(VLOOKUP($A70,test!$A$3:$F$32,2,FALSE),VLOOKUP(AE$1,test!$A$3:$F$32,2,FALSE))&lt;test!$K$16,$A70&lt;&gt;AE$1,Recharged_Feasible_mat!AF39=1),(VLOOKUP(AE$1,test!$A$3:$I$32,8,FALSE))-(VLOOKUP($A70,test!$A$3:$I$32,9,FALSE))-test!$B$34,0)</f>
        <v>0</v>
      </c>
      <c r="AF70">
        <f>IF(AND(SUM(VLOOKUP($A70,test!$A$3:$F$32,2,FALSE),VLOOKUP(AF$1,test!$A$3:$F$32,2,FALSE))&lt;test!$K$16,$A70&lt;&gt;AF$1,Recharged_Feasible_mat!AG39=1),(VLOOKUP(AF$1,test!$A$3:$I$32,8,FALSE))-(VLOOKUP($A70,test!$A$3:$I$32,9,FALSE))-test!$B$34,0)</f>
        <v>0</v>
      </c>
    </row>
    <row r="71" spans="1:32" x14ac:dyDescent="0.25">
      <c r="A71" t="s">
        <v>14</v>
      </c>
      <c r="B71">
        <v>0</v>
      </c>
      <c r="C71">
        <f>IF(AND(SUM(VLOOKUP($A71,test!$A$3:$F$32,2,FALSE),VLOOKUP(C$1,test!$A$3:$F$32,2,FALSE))&lt;test!$K$16,$A71&lt;&gt;C$1,Recharged_Feasible_mat!D40=1),(VLOOKUP(C$1,test!$A$3:$I$32,8,FALSE))-(VLOOKUP($A71,test!$A$3:$I$32,9,FALSE))-test!$B$34,0)</f>
        <v>0</v>
      </c>
      <c r="D71">
        <f>IF(AND(SUM(VLOOKUP($A71,test!$A$3:$F$32,2,FALSE),VLOOKUP(D$1,test!$A$3:$F$32,2,FALSE))&lt;test!$K$16,$A71&lt;&gt;D$1,Recharged_Feasible_mat!E40=1),(VLOOKUP(D$1,test!$A$3:$I$32,8,FALSE))-(VLOOKUP($A71,test!$A$3:$I$32,9,FALSE))-test!$B$34,0)</f>
        <v>0</v>
      </c>
      <c r="E71">
        <f>IF(AND(SUM(VLOOKUP($A71,test!$A$3:$F$32,2,FALSE),VLOOKUP(E$1,test!$A$3:$F$32,2,FALSE))&lt;test!$K$16,$A71&lt;&gt;E$1,Recharged_Feasible_mat!F40=1),(VLOOKUP(E$1,test!$A$3:$I$32,8,FALSE))-(VLOOKUP($A71,test!$A$3:$I$32,9,FALSE))-test!$B$34,0)</f>
        <v>0</v>
      </c>
      <c r="F71">
        <f>IF(AND(SUM(VLOOKUP($A71,test!$A$3:$F$32,2,FALSE),VLOOKUP(F$1,test!$A$3:$F$32,2,FALSE))&lt;test!$K$16,$A71&lt;&gt;F$1,Recharged_Feasible_mat!G40=1),(VLOOKUP(F$1,test!$A$3:$I$32,8,FALSE))-(VLOOKUP($A71,test!$A$3:$I$32,9,FALSE))-test!$B$34,0)</f>
        <v>0</v>
      </c>
      <c r="G71">
        <f>IF(AND(SUM(VLOOKUP($A71,test!$A$3:$F$32,2,FALSE),VLOOKUP(G$1,test!$A$3:$F$32,2,FALSE))&lt;test!$K$16,$A71&lt;&gt;G$1,Recharged_Feasible_mat!H40=1),(VLOOKUP(G$1,test!$A$3:$I$32,8,FALSE))-(VLOOKUP($A71,test!$A$3:$I$32,9,FALSE))-test!$B$34,0)</f>
        <v>0</v>
      </c>
      <c r="H71">
        <f>IF(AND(SUM(VLOOKUP($A71,test!$A$3:$F$32,2,FALSE),VLOOKUP(H$1,test!$A$3:$F$32,2,FALSE))&lt;test!$K$16,$A71&lt;&gt;H$1,Recharged_Feasible_mat!I40=1),(VLOOKUP(H$1,test!$A$3:$I$32,8,FALSE))-(VLOOKUP($A71,test!$A$3:$I$32,9,FALSE))-test!$B$34,0)</f>
        <v>0</v>
      </c>
      <c r="I71">
        <f>IF(AND(SUM(VLOOKUP($A71,test!$A$3:$F$32,2,FALSE),VLOOKUP(I$1,test!$A$3:$F$32,2,FALSE))&lt;test!$K$16,$A71&lt;&gt;I$1,Recharged_Feasible_mat!J40=1),(VLOOKUP(I$1,test!$A$3:$I$32,8,FALSE))-(VLOOKUP($A71,test!$A$3:$I$32,9,FALSE))-test!$B$34,0)</f>
        <v>0</v>
      </c>
      <c r="J71">
        <f>IF(AND(SUM(VLOOKUP($A71,test!$A$3:$F$32,2,FALSE),VLOOKUP(J$1,test!$A$3:$F$32,2,FALSE))&lt;test!$K$16,$A71&lt;&gt;J$1,Recharged_Feasible_mat!K40=1),(VLOOKUP(J$1,test!$A$3:$I$32,8,FALSE))-(VLOOKUP($A71,test!$A$3:$I$32,9,FALSE))-test!$B$34,0)</f>
        <v>0</v>
      </c>
      <c r="K71">
        <f>IF(AND(SUM(VLOOKUP($A71,test!$A$3:$F$32,2,FALSE),VLOOKUP(K$1,test!$A$3:$F$32,2,FALSE))&lt;test!$K$16,$A71&lt;&gt;K$1,Recharged_Feasible_mat!L40=1),(VLOOKUP(K$1,test!$A$3:$I$32,8,FALSE))-(VLOOKUP($A71,test!$A$3:$I$32,9,FALSE))-test!$B$34,0)</f>
        <v>0</v>
      </c>
      <c r="L71">
        <f>IF(AND(SUM(VLOOKUP($A71,test!$A$3:$F$32,2,FALSE),VLOOKUP(L$1,test!$A$3:$F$32,2,FALSE))&lt;test!$K$16,$A71&lt;&gt;L$1,Recharged_Feasible_mat!M40=1),(VLOOKUP(L$1,test!$A$3:$I$32,8,FALSE))-(VLOOKUP($A71,test!$A$3:$I$32,9,FALSE))-test!$B$34,0)</f>
        <v>0</v>
      </c>
      <c r="M71">
        <f>IF(AND(SUM(VLOOKUP($A71,test!$A$3:$F$32,2,FALSE),VLOOKUP(M$1,test!$A$3:$F$32,2,FALSE))&lt;test!$K$16,$A71&lt;&gt;M$1,Recharged_Feasible_mat!N40=1),(VLOOKUP(M$1,test!$A$3:$I$32,8,FALSE))-(VLOOKUP($A71,test!$A$3:$I$32,9,FALSE))-test!$B$34,0)</f>
        <v>0</v>
      </c>
      <c r="N71">
        <f>IF(AND(SUM(VLOOKUP($A71,test!$A$3:$F$32,2,FALSE),VLOOKUP(N$1,test!$A$3:$F$32,2,FALSE))&lt;test!$K$16,$A71&lt;&gt;N$1,Recharged_Feasible_mat!O40=1),(VLOOKUP(N$1,test!$A$3:$I$32,8,FALSE))-(VLOOKUP($A71,test!$A$3:$I$32,9,FALSE))-test!$B$34,0)</f>
        <v>0</v>
      </c>
      <c r="O71">
        <f>IF(AND(SUM(VLOOKUP($A71,test!$A$3:$F$32,2,FALSE),VLOOKUP(O$1,test!$A$3:$F$32,2,FALSE))&lt;test!$K$16,$A71&lt;&gt;O$1,Recharged_Feasible_mat!P40=1),(VLOOKUP(O$1,test!$A$3:$I$32,8,FALSE))-(VLOOKUP($A71,test!$A$3:$I$32,9,FALSE))-test!$B$34,0)</f>
        <v>0</v>
      </c>
      <c r="P71">
        <f>IF(AND(SUM(VLOOKUP($A71,test!$A$3:$F$32,2,FALSE),VLOOKUP(P$1,test!$A$3:$F$32,2,FALSE))&lt;test!$K$16,$A71&lt;&gt;P$1,Recharged_Feasible_mat!Q40=1),(VLOOKUP(P$1,test!$A$3:$I$32,8,FALSE))-(VLOOKUP($A71,test!$A$3:$I$32,9,FALSE))-test!$B$34,0)</f>
        <v>0</v>
      </c>
      <c r="Q71">
        <f>IF(AND(SUM(VLOOKUP($A71,test!$A$3:$F$32,2,FALSE),VLOOKUP(Q$1,test!$A$3:$F$32,2,FALSE))&lt;test!$K$16,$A71&lt;&gt;Q$1,Recharged_Feasible_mat!R40=1),(VLOOKUP(Q$1,test!$A$3:$I$32,8,FALSE))-(VLOOKUP($A71,test!$A$3:$I$32,9,FALSE))-test!$B$34,0)</f>
        <v>0</v>
      </c>
      <c r="R71">
        <f>IF(AND(SUM(VLOOKUP($A71,test!$A$3:$F$32,2,FALSE),VLOOKUP(R$1,test!$A$3:$F$32,2,FALSE))&lt;test!$K$16,$A71&lt;&gt;R$1,Recharged_Feasible_mat!S40=1),(VLOOKUP(R$1,test!$A$3:$I$32,8,FALSE))-(VLOOKUP($A71,test!$A$3:$I$32,9,FALSE))-test!$B$34,0)</f>
        <v>0</v>
      </c>
      <c r="S71">
        <f>IF(AND(SUM(VLOOKUP($A71,test!$A$3:$F$32,2,FALSE),VLOOKUP(S$1,test!$A$3:$F$32,2,FALSE))&lt;test!$K$16,$A71&lt;&gt;S$1,Recharged_Feasible_mat!T40=1),(VLOOKUP(S$1,test!$A$3:$I$32,8,FALSE))-(VLOOKUP($A71,test!$A$3:$I$32,9,FALSE))-test!$B$34,0)</f>
        <v>0</v>
      </c>
      <c r="T71">
        <f>IF(AND(SUM(VLOOKUP($A71,test!$A$3:$F$32,2,FALSE),VLOOKUP(T$1,test!$A$3:$F$32,2,FALSE))&lt;test!$K$16,$A71&lt;&gt;T$1,Recharged_Feasible_mat!U40=1),(VLOOKUP(T$1,test!$A$3:$I$32,8,FALSE))-(VLOOKUP($A71,test!$A$3:$I$32,9,FALSE))-test!$B$34,0)</f>
        <v>0</v>
      </c>
      <c r="U71">
        <f>IF(AND(SUM(VLOOKUP($A71,test!$A$3:$F$32,2,FALSE),VLOOKUP(U$1,test!$A$3:$F$32,2,FALSE))&lt;test!$K$16,$A71&lt;&gt;U$1,Recharged_Feasible_mat!V40=1),(VLOOKUP(U$1,test!$A$3:$I$32,8,FALSE))-(VLOOKUP($A71,test!$A$3:$I$32,9,FALSE))-test!$B$34,0)</f>
        <v>0</v>
      </c>
      <c r="V71">
        <f>IF(AND(SUM(VLOOKUP($A71,test!$A$3:$F$32,2,FALSE),VLOOKUP(V$1,test!$A$3:$F$32,2,FALSE))&lt;test!$K$16,$A71&lt;&gt;V$1,Recharged_Feasible_mat!W40=1),(VLOOKUP(V$1,test!$A$3:$I$32,8,FALSE))-(VLOOKUP($A71,test!$A$3:$I$32,9,FALSE))-test!$B$34,0)</f>
        <v>0</v>
      </c>
      <c r="W71">
        <f>IF(AND(SUM(VLOOKUP($A71,test!$A$3:$F$32,2,FALSE),VLOOKUP(W$1,test!$A$3:$F$32,2,FALSE))&lt;test!$K$16,$A71&lt;&gt;W$1,Recharged_Feasible_mat!X40=1),(VLOOKUP(W$1,test!$A$3:$I$32,8,FALSE))-(VLOOKUP($A71,test!$A$3:$I$32,9,FALSE))-test!$B$34,0)</f>
        <v>0</v>
      </c>
      <c r="X71">
        <f>IF(AND(SUM(VLOOKUP($A71,test!$A$3:$F$32,2,FALSE),VLOOKUP(X$1,test!$A$3:$F$32,2,FALSE))&lt;test!$K$16,$A71&lt;&gt;X$1,Recharged_Feasible_mat!Y40=1),(VLOOKUP(X$1,test!$A$3:$I$32,8,FALSE))-(VLOOKUP($A71,test!$A$3:$I$32,9,FALSE))-test!$B$34,0)</f>
        <v>0</v>
      </c>
      <c r="Y71">
        <f>IF(AND(SUM(VLOOKUP($A71,test!$A$3:$F$32,2,FALSE),VLOOKUP(Y$1,test!$A$3:$F$32,2,FALSE))&lt;test!$K$16,$A71&lt;&gt;Y$1,Recharged_Feasible_mat!Z40=1),(VLOOKUP(Y$1,test!$A$3:$I$32,8,FALSE))-(VLOOKUP($A71,test!$A$3:$I$32,9,FALSE))-test!$B$34,0)</f>
        <v>0</v>
      </c>
      <c r="Z71">
        <f>IF(AND(SUM(VLOOKUP($A71,test!$A$3:$F$32,2,FALSE),VLOOKUP(Z$1,test!$A$3:$F$32,2,FALSE))&lt;test!$K$16,$A71&lt;&gt;Z$1,Recharged_Feasible_mat!AA40=1),(VLOOKUP(Z$1,test!$A$3:$I$32,8,FALSE))-(VLOOKUP($A71,test!$A$3:$I$32,9,FALSE))-test!$B$34,0)</f>
        <v>0</v>
      </c>
      <c r="AA71">
        <f>IF(AND(SUM(VLOOKUP($A71,test!$A$3:$F$32,2,FALSE),VLOOKUP(AA$1,test!$A$3:$F$32,2,FALSE))&lt;test!$K$16,$A71&lt;&gt;AA$1,Recharged_Feasible_mat!AB40=1),(VLOOKUP(AA$1,test!$A$3:$I$32,8,FALSE))-(VLOOKUP($A71,test!$A$3:$I$32,9,FALSE))-test!$B$34,0)</f>
        <v>0</v>
      </c>
      <c r="AB71">
        <f>IF(AND(SUM(VLOOKUP($A71,test!$A$3:$F$32,2,FALSE),VLOOKUP(AB$1,test!$A$3:$F$32,2,FALSE))&lt;test!$K$16,$A71&lt;&gt;AB$1,Recharged_Feasible_mat!AC40=1),(VLOOKUP(AB$1,test!$A$3:$I$32,8,FALSE))-(VLOOKUP($A71,test!$A$3:$I$32,9,FALSE))-test!$B$34,0)</f>
        <v>0</v>
      </c>
      <c r="AC71">
        <f>IF(AND(SUM(VLOOKUP($A71,test!$A$3:$F$32,2,FALSE),VLOOKUP(AC$1,test!$A$3:$F$32,2,FALSE))&lt;test!$K$16,$A71&lt;&gt;AC$1,Recharged_Feasible_mat!AD40=1),(VLOOKUP(AC$1,test!$A$3:$I$32,8,FALSE))-(VLOOKUP($A71,test!$A$3:$I$32,9,FALSE))-test!$B$34,0)</f>
        <v>0</v>
      </c>
      <c r="AD71">
        <f>IF(AND(SUM(VLOOKUP($A71,test!$A$3:$F$32,2,FALSE),VLOOKUP(AD$1,test!$A$3:$F$32,2,FALSE))&lt;test!$K$16,$A71&lt;&gt;AD$1,Recharged_Feasible_mat!AE40=1),(VLOOKUP(AD$1,test!$A$3:$I$32,8,FALSE))-(VLOOKUP($A71,test!$A$3:$I$32,9,FALSE))-test!$B$34,0)</f>
        <v>0</v>
      </c>
      <c r="AE71">
        <f>IF(AND(SUM(VLOOKUP($A71,test!$A$3:$F$32,2,FALSE),VLOOKUP(AE$1,test!$A$3:$F$32,2,FALSE))&lt;test!$K$16,$A71&lt;&gt;AE$1,Recharged_Feasible_mat!AF40=1),(VLOOKUP(AE$1,test!$A$3:$I$32,8,FALSE))-(VLOOKUP($A71,test!$A$3:$I$32,9,FALSE))-test!$B$34,0)</f>
        <v>0</v>
      </c>
      <c r="AF71">
        <f>IF(AND(SUM(VLOOKUP($A71,test!$A$3:$F$32,2,FALSE),VLOOKUP(AF$1,test!$A$3:$F$32,2,FALSE))&lt;test!$K$16,$A71&lt;&gt;AF$1,Recharged_Feasible_mat!AG40=1),(VLOOKUP(AF$1,test!$A$3:$I$32,8,FALSE))-(VLOOKUP($A71,test!$A$3:$I$32,9,FALSE))-test!$B$34,0)</f>
        <v>0</v>
      </c>
    </row>
    <row r="72" spans="1:32" x14ac:dyDescent="0.25">
      <c r="A72" t="s">
        <v>15</v>
      </c>
      <c r="B72">
        <v>0</v>
      </c>
      <c r="C72">
        <f>IF(AND(SUM(VLOOKUP($A72,test!$A$3:$F$32,2,FALSE),VLOOKUP(C$1,test!$A$3:$F$32,2,FALSE))&lt;test!$K$16,$A72&lt;&gt;C$1,Recharged_Feasible_mat!D41=1),(VLOOKUP(C$1,test!$A$3:$I$32,8,FALSE))-(VLOOKUP($A72,test!$A$3:$I$32,9,FALSE))-test!$B$34,0)</f>
        <v>0</v>
      </c>
      <c r="D72">
        <f>IF(AND(SUM(VLOOKUP($A72,test!$A$3:$F$32,2,FALSE),VLOOKUP(D$1,test!$A$3:$F$32,2,FALSE))&lt;test!$K$16,$A72&lt;&gt;D$1,Recharged_Feasible_mat!E41=1),(VLOOKUP(D$1,test!$A$3:$I$32,8,FALSE))-(VLOOKUP($A72,test!$A$3:$I$32,9,FALSE))-test!$B$34,0)</f>
        <v>0</v>
      </c>
      <c r="E72">
        <f>IF(AND(SUM(VLOOKUP($A72,test!$A$3:$F$32,2,FALSE),VLOOKUP(E$1,test!$A$3:$F$32,2,FALSE))&lt;test!$K$16,$A72&lt;&gt;E$1,Recharged_Feasible_mat!F41=1),(VLOOKUP(E$1,test!$A$3:$I$32,8,FALSE))-(VLOOKUP($A72,test!$A$3:$I$32,9,FALSE))-test!$B$34,0)</f>
        <v>0</v>
      </c>
      <c r="F72">
        <f>IF(AND(SUM(VLOOKUP($A72,test!$A$3:$F$32,2,FALSE),VLOOKUP(F$1,test!$A$3:$F$32,2,FALSE))&lt;test!$K$16,$A72&lt;&gt;F$1,Recharged_Feasible_mat!G41=1),(VLOOKUP(F$1,test!$A$3:$I$32,8,FALSE))-(VLOOKUP($A72,test!$A$3:$I$32,9,FALSE))-test!$B$34,0)</f>
        <v>0</v>
      </c>
      <c r="G72">
        <f>IF(AND(SUM(VLOOKUP($A72,test!$A$3:$F$32,2,FALSE),VLOOKUP(G$1,test!$A$3:$F$32,2,FALSE))&lt;test!$K$16,$A72&lt;&gt;G$1,Recharged_Feasible_mat!H41=1),(VLOOKUP(G$1,test!$A$3:$I$32,8,FALSE))-(VLOOKUP($A72,test!$A$3:$I$32,9,FALSE))-test!$B$34,0)</f>
        <v>0</v>
      </c>
      <c r="H72">
        <f>IF(AND(SUM(VLOOKUP($A72,test!$A$3:$F$32,2,FALSE),VLOOKUP(H$1,test!$A$3:$F$32,2,FALSE))&lt;test!$K$16,$A72&lt;&gt;H$1,Recharged_Feasible_mat!I41=1),(VLOOKUP(H$1,test!$A$3:$I$32,8,FALSE))-(VLOOKUP($A72,test!$A$3:$I$32,9,FALSE))-test!$B$34,0)</f>
        <v>0</v>
      </c>
      <c r="I72">
        <f>IF(AND(SUM(VLOOKUP($A72,test!$A$3:$F$32,2,FALSE),VLOOKUP(I$1,test!$A$3:$F$32,2,FALSE))&lt;test!$K$16,$A72&lt;&gt;I$1,Recharged_Feasible_mat!J41=1),(VLOOKUP(I$1,test!$A$3:$I$32,8,FALSE))-(VLOOKUP($A72,test!$A$3:$I$32,9,FALSE))-test!$B$34,0)</f>
        <v>0</v>
      </c>
      <c r="J72">
        <f>IF(AND(SUM(VLOOKUP($A72,test!$A$3:$F$32,2,FALSE),VLOOKUP(J$1,test!$A$3:$F$32,2,FALSE))&lt;test!$K$16,$A72&lt;&gt;J$1,Recharged_Feasible_mat!K41=1),(VLOOKUP(J$1,test!$A$3:$I$32,8,FALSE))-(VLOOKUP($A72,test!$A$3:$I$32,9,FALSE))-test!$B$34,0)</f>
        <v>0</v>
      </c>
      <c r="K72">
        <f>IF(AND(SUM(VLOOKUP($A72,test!$A$3:$F$32,2,FALSE),VLOOKUP(K$1,test!$A$3:$F$32,2,FALSE))&lt;test!$K$16,$A72&lt;&gt;K$1,Recharged_Feasible_mat!L41=1),(VLOOKUP(K$1,test!$A$3:$I$32,8,FALSE))-(VLOOKUP($A72,test!$A$3:$I$32,9,FALSE))-test!$B$34,0)</f>
        <v>0</v>
      </c>
      <c r="L72">
        <f>IF(AND(SUM(VLOOKUP($A72,test!$A$3:$F$32,2,FALSE),VLOOKUP(L$1,test!$A$3:$F$32,2,FALSE))&lt;test!$K$16,$A72&lt;&gt;L$1,Recharged_Feasible_mat!M41=1),(VLOOKUP(L$1,test!$A$3:$I$32,8,FALSE))-(VLOOKUP($A72,test!$A$3:$I$32,9,FALSE))-test!$B$34,0)</f>
        <v>0</v>
      </c>
      <c r="M72">
        <f>IF(AND(SUM(VLOOKUP($A72,test!$A$3:$F$32,2,FALSE),VLOOKUP(M$1,test!$A$3:$F$32,2,FALSE))&lt;test!$K$16,$A72&lt;&gt;M$1,Recharged_Feasible_mat!N41=1),(VLOOKUP(M$1,test!$A$3:$I$32,8,FALSE))-(VLOOKUP($A72,test!$A$3:$I$32,9,FALSE))-test!$B$34,0)</f>
        <v>0</v>
      </c>
      <c r="N72">
        <f>IF(AND(SUM(VLOOKUP($A72,test!$A$3:$F$32,2,FALSE),VLOOKUP(N$1,test!$A$3:$F$32,2,FALSE))&lt;test!$K$16,$A72&lt;&gt;N$1,Recharged_Feasible_mat!O41=1),(VLOOKUP(N$1,test!$A$3:$I$32,8,FALSE))-(VLOOKUP($A72,test!$A$3:$I$32,9,FALSE))-test!$B$34,0)</f>
        <v>0</v>
      </c>
      <c r="O72">
        <f>IF(AND(SUM(VLOOKUP($A72,test!$A$3:$F$32,2,FALSE),VLOOKUP(O$1,test!$A$3:$F$32,2,FALSE))&lt;test!$K$16,$A72&lt;&gt;O$1,Recharged_Feasible_mat!P41=1),(VLOOKUP(O$1,test!$A$3:$I$32,8,FALSE))-(VLOOKUP($A72,test!$A$3:$I$32,9,FALSE))-test!$B$34,0)</f>
        <v>0</v>
      </c>
      <c r="P72">
        <f>IF(AND(SUM(VLOOKUP($A72,test!$A$3:$F$32,2,FALSE),VLOOKUP(P$1,test!$A$3:$F$32,2,FALSE))&lt;test!$K$16,$A72&lt;&gt;P$1,Recharged_Feasible_mat!Q41=1),(VLOOKUP(P$1,test!$A$3:$I$32,8,FALSE))-(VLOOKUP($A72,test!$A$3:$I$32,9,FALSE))-test!$B$34,0)</f>
        <v>0</v>
      </c>
      <c r="Q72">
        <f>IF(AND(SUM(VLOOKUP($A72,test!$A$3:$F$32,2,FALSE),VLOOKUP(Q$1,test!$A$3:$F$32,2,FALSE))&lt;test!$K$16,$A72&lt;&gt;Q$1,Recharged_Feasible_mat!R41=1),(VLOOKUP(Q$1,test!$A$3:$I$32,8,FALSE))-(VLOOKUP($A72,test!$A$3:$I$32,9,FALSE))-test!$B$34,0)</f>
        <v>0</v>
      </c>
      <c r="R72">
        <f>IF(AND(SUM(VLOOKUP($A72,test!$A$3:$F$32,2,FALSE),VLOOKUP(R$1,test!$A$3:$F$32,2,FALSE))&lt;test!$K$16,$A72&lt;&gt;R$1,Recharged_Feasible_mat!S41=1),(VLOOKUP(R$1,test!$A$3:$I$32,8,FALSE))-(VLOOKUP($A72,test!$A$3:$I$32,9,FALSE))-test!$B$34,0)</f>
        <v>0</v>
      </c>
      <c r="S72">
        <f>IF(AND(SUM(VLOOKUP($A72,test!$A$3:$F$32,2,FALSE),VLOOKUP(S$1,test!$A$3:$F$32,2,FALSE))&lt;test!$K$16,$A72&lt;&gt;S$1,Recharged_Feasible_mat!T41=1),(VLOOKUP(S$1,test!$A$3:$I$32,8,FALSE))-(VLOOKUP($A72,test!$A$3:$I$32,9,FALSE))-test!$B$34,0)</f>
        <v>0</v>
      </c>
      <c r="T72">
        <f>IF(AND(SUM(VLOOKUP($A72,test!$A$3:$F$32,2,FALSE),VLOOKUP(T$1,test!$A$3:$F$32,2,FALSE))&lt;test!$K$16,$A72&lt;&gt;T$1,Recharged_Feasible_mat!U41=1),(VLOOKUP(T$1,test!$A$3:$I$32,8,FALSE))-(VLOOKUP($A72,test!$A$3:$I$32,9,FALSE))-test!$B$34,0)</f>
        <v>0</v>
      </c>
      <c r="U72">
        <f>IF(AND(SUM(VLOOKUP($A72,test!$A$3:$F$32,2,FALSE),VLOOKUP(U$1,test!$A$3:$F$32,2,FALSE))&lt;test!$K$16,$A72&lt;&gt;U$1,Recharged_Feasible_mat!V41=1),(VLOOKUP(U$1,test!$A$3:$I$32,8,FALSE))-(VLOOKUP($A72,test!$A$3:$I$32,9,FALSE))-test!$B$34,0)</f>
        <v>0</v>
      </c>
      <c r="V72">
        <f>IF(AND(SUM(VLOOKUP($A72,test!$A$3:$F$32,2,FALSE),VLOOKUP(V$1,test!$A$3:$F$32,2,FALSE))&lt;test!$K$16,$A72&lt;&gt;V$1,Recharged_Feasible_mat!W41=1),(VLOOKUP(V$1,test!$A$3:$I$32,8,FALSE))-(VLOOKUP($A72,test!$A$3:$I$32,9,FALSE))-test!$B$34,0)</f>
        <v>0</v>
      </c>
      <c r="W72">
        <f>IF(AND(SUM(VLOOKUP($A72,test!$A$3:$F$32,2,FALSE),VLOOKUP(W$1,test!$A$3:$F$32,2,FALSE))&lt;test!$K$16,$A72&lt;&gt;W$1,Recharged_Feasible_mat!X41=1),(VLOOKUP(W$1,test!$A$3:$I$32,8,FALSE))-(VLOOKUP($A72,test!$A$3:$I$32,9,FALSE))-test!$B$34,0)</f>
        <v>0</v>
      </c>
      <c r="X72">
        <f>IF(AND(SUM(VLOOKUP($A72,test!$A$3:$F$32,2,FALSE),VLOOKUP(X$1,test!$A$3:$F$32,2,FALSE))&lt;test!$K$16,$A72&lt;&gt;X$1,Recharged_Feasible_mat!Y41=1),(VLOOKUP(X$1,test!$A$3:$I$32,8,FALSE))-(VLOOKUP($A72,test!$A$3:$I$32,9,FALSE))-test!$B$34,0)</f>
        <v>0</v>
      </c>
      <c r="Y72">
        <f>IF(AND(SUM(VLOOKUP($A72,test!$A$3:$F$32,2,FALSE),VLOOKUP(Y$1,test!$A$3:$F$32,2,FALSE))&lt;test!$K$16,$A72&lt;&gt;Y$1,Recharged_Feasible_mat!Z41=1),(VLOOKUP(Y$1,test!$A$3:$I$32,8,FALSE))-(VLOOKUP($A72,test!$A$3:$I$32,9,FALSE))-test!$B$34,0)</f>
        <v>0</v>
      </c>
      <c r="Z72">
        <f>IF(AND(SUM(VLOOKUP($A72,test!$A$3:$F$32,2,FALSE),VLOOKUP(Z$1,test!$A$3:$F$32,2,FALSE))&lt;test!$K$16,$A72&lt;&gt;Z$1,Recharged_Feasible_mat!AA41=1),(VLOOKUP(Z$1,test!$A$3:$I$32,8,FALSE))-(VLOOKUP($A72,test!$A$3:$I$32,9,FALSE))-test!$B$34,0)</f>
        <v>0</v>
      </c>
      <c r="AA72">
        <f>IF(AND(SUM(VLOOKUP($A72,test!$A$3:$F$32,2,FALSE),VLOOKUP(AA$1,test!$A$3:$F$32,2,FALSE))&lt;test!$K$16,$A72&lt;&gt;AA$1,Recharged_Feasible_mat!AB41=1),(VLOOKUP(AA$1,test!$A$3:$I$32,8,FALSE))-(VLOOKUP($A72,test!$A$3:$I$32,9,FALSE))-test!$B$34,0)</f>
        <v>0</v>
      </c>
      <c r="AB72">
        <f>IF(AND(SUM(VLOOKUP($A72,test!$A$3:$F$32,2,FALSE),VLOOKUP(AB$1,test!$A$3:$F$32,2,FALSE))&lt;test!$K$16,$A72&lt;&gt;AB$1,Recharged_Feasible_mat!AC41=1),(VLOOKUP(AB$1,test!$A$3:$I$32,8,FALSE))-(VLOOKUP($A72,test!$A$3:$I$32,9,FALSE))-test!$B$34,0)</f>
        <v>0</v>
      </c>
      <c r="AC72">
        <f>IF(AND(SUM(VLOOKUP($A72,test!$A$3:$F$32,2,FALSE),VLOOKUP(AC$1,test!$A$3:$F$32,2,FALSE))&lt;test!$K$16,$A72&lt;&gt;AC$1,Recharged_Feasible_mat!AD41=1),(VLOOKUP(AC$1,test!$A$3:$I$32,8,FALSE))-(VLOOKUP($A72,test!$A$3:$I$32,9,FALSE))-test!$B$34,0)</f>
        <v>0</v>
      </c>
      <c r="AD72">
        <f>IF(AND(SUM(VLOOKUP($A72,test!$A$3:$F$32,2,FALSE),VLOOKUP(AD$1,test!$A$3:$F$32,2,FALSE))&lt;test!$K$16,$A72&lt;&gt;AD$1,Recharged_Feasible_mat!AE41=1),(VLOOKUP(AD$1,test!$A$3:$I$32,8,FALSE))-(VLOOKUP($A72,test!$A$3:$I$32,9,FALSE))-test!$B$34,0)</f>
        <v>0</v>
      </c>
      <c r="AE72">
        <f>IF(AND(SUM(VLOOKUP($A72,test!$A$3:$F$32,2,FALSE),VLOOKUP(AE$1,test!$A$3:$F$32,2,FALSE))&lt;test!$K$16,$A72&lt;&gt;AE$1,Recharged_Feasible_mat!AF41=1),(VLOOKUP(AE$1,test!$A$3:$I$32,8,FALSE))-(VLOOKUP($A72,test!$A$3:$I$32,9,FALSE))-test!$B$34,0)</f>
        <v>0</v>
      </c>
      <c r="AF72">
        <f>IF(AND(SUM(VLOOKUP($A72,test!$A$3:$F$32,2,FALSE),VLOOKUP(AF$1,test!$A$3:$F$32,2,FALSE))&lt;test!$K$16,$A72&lt;&gt;AF$1,Recharged_Feasible_mat!AG41=1),(VLOOKUP(AF$1,test!$A$3:$I$32,8,FALSE))-(VLOOKUP($A72,test!$A$3:$I$32,9,FALSE))-test!$B$34,0)</f>
        <v>0</v>
      </c>
    </row>
    <row r="73" spans="1:32" x14ac:dyDescent="0.25">
      <c r="A73" t="s">
        <v>18</v>
      </c>
      <c r="B73">
        <v>0</v>
      </c>
      <c r="C73">
        <f>IF(AND(SUM(VLOOKUP($A73,test!$A$3:$F$32,2,FALSE),VLOOKUP(C$1,test!$A$3:$F$32,2,FALSE))&lt;test!$K$16,$A73&lt;&gt;C$1,Recharged_Feasible_mat!D42=1),(VLOOKUP(C$1,test!$A$3:$I$32,8,FALSE))-(VLOOKUP($A73,test!$A$3:$I$32,9,FALSE))-test!$B$34,0)</f>
        <v>0</v>
      </c>
      <c r="D73">
        <f>IF(AND(SUM(VLOOKUP($A73,test!$A$3:$F$32,2,FALSE),VLOOKUP(D$1,test!$A$3:$F$32,2,FALSE))&lt;test!$K$16,$A73&lt;&gt;D$1,Recharged_Feasible_mat!E42=1),(VLOOKUP(D$1,test!$A$3:$I$32,8,FALSE))-(VLOOKUP($A73,test!$A$3:$I$32,9,FALSE))-test!$B$34,0)</f>
        <v>0</v>
      </c>
      <c r="E73">
        <f>IF(AND(SUM(VLOOKUP($A73,test!$A$3:$F$32,2,FALSE),VLOOKUP(E$1,test!$A$3:$F$32,2,FALSE))&lt;test!$K$16,$A73&lt;&gt;E$1,Recharged_Feasible_mat!F42=1),(VLOOKUP(E$1,test!$A$3:$I$32,8,FALSE))-(VLOOKUP($A73,test!$A$3:$I$32,9,FALSE))-test!$B$34,0)</f>
        <v>60</v>
      </c>
      <c r="F73">
        <f>IF(AND(SUM(VLOOKUP($A73,test!$A$3:$F$32,2,FALSE),VLOOKUP(F$1,test!$A$3:$F$32,2,FALSE))&lt;test!$K$16,$A73&lt;&gt;F$1,Recharged_Feasible_mat!G42=1),(VLOOKUP(F$1,test!$A$3:$I$32,8,FALSE))-(VLOOKUP($A73,test!$A$3:$I$32,9,FALSE))-test!$B$34,0)</f>
        <v>150</v>
      </c>
      <c r="G73">
        <f>IF(AND(SUM(VLOOKUP($A73,test!$A$3:$F$32,2,FALSE),VLOOKUP(G$1,test!$A$3:$F$32,2,FALSE))&lt;test!$K$16,$A73&lt;&gt;G$1,Recharged_Feasible_mat!H42=1),(VLOOKUP(G$1,test!$A$3:$I$32,8,FALSE))-(VLOOKUP($A73,test!$A$3:$I$32,9,FALSE))-test!$B$34,0)</f>
        <v>210</v>
      </c>
      <c r="H73">
        <f>IF(AND(SUM(VLOOKUP($A73,test!$A$3:$F$32,2,FALSE),VLOOKUP(H$1,test!$A$3:$F$32,2,FALSE))&lt;test!$K$16,$A73&lt;&gt;H$1,Recharged_Feasible_mat!I42=1),(VLOOKUP(H$1,test!$A$3:$I$32,8,FALSE))-(VLOOKUP($A73,test!$A$3:$I$32,9,FALSE))-test!$B$34,0)</f>
        <v>270</v>
      </c>
      <c r="I73">
        <f>IF(AND(SUM(VLOOKUP($A73,test!$A$3:$F$32,2,FALSE),VLOOKUP(I$1,test!$A$3:$F$32,2,FALSE))&lt;test!$K$16,$A73&lt;&gt;I$1,Recharged_Feasible_mat!J42=1),(VLOOKUP(I$1,test!$A$3:$I$32,8,FALSE))-(VLOOKUP($A73,test!$A$3:$I$32,9,FALSE))-test!$B$34,0)</f>
        <v>330</v>
      </c>
      <c r="J73">
        <f>IF(AND(SUM(VLOOKUP($A73,test!$A$3:$F$32,2,FALSE),VLOOKUP(J$1,test!$A$3:$F$32,2,FALSE))&lt;test!$K$16,$A73&lt;&gt;J$1,Recharged_Feasible_mat!K42=1),(VLOOKUP(J$1,test!$A$3:$I$32,8,FALSE))-(VLOOKUP($A73,test!$A$3:$I$32,9,FALSE))-test!$B$34,0)</f>
        <v>420</v>
      </c>
      <c r="K73">
        <f>IF(AND(SUM(VLOOKUP($A73,test!$A$3:$F$32,2,FALSE),VLOOKUP(K$1,test!$A$3:$F$32,2,FALSE))&lt;test!$K$16,$A73&lt;&gt;K$1,Recharged_Feasible_mat!L42=1),(VLOOKUP(K$1,test!$A$3:$I$32,8,FALSE))-(VLOOKUP($A73,test!$A$3:$I$32,9,FALSE))-test!$B$34,0)</f>
        <v>0</v>
      </c>
      <c r="L73">
        <f>IF(AND(SUM(VLOOKUP($A73,test!$A$3:$F$32,2,FALSE),VLOOKUP(L$1,test!$A$3:$F$32,2,FALSE))&lt;test!$K$16,$A73&lt;&gt;L$1,Recharged_Feasible_mat!M42=1),(VLOOKUP(L$1,test!$A$3:$I$32,8,FALSE))-(VLOOKUP($A73,test!$A$3:$I$32,9,FALSE))-test!$B$34,0)</f>
        <v>0</v>
      </c>
      <c r="M73">
        <f>IF(AND(SUM(VLOOKUP($A73,test!$A$3:$F$32,2,FALSE),VLOOKUP(M$1,test!$A$3:$F$32,2,FALSE))&lt;test!$K$16,$A73&lt;&gt;M$1,Recharged_Feasible_mat!N42=1),(VLOOKUP(M$1,test!$A$3:$I$32,8,FALSE))-(VLOOKUP($A73,test!$A$3:$I$32,9,FALSE))-test!$B$34,0)</f>
        <v>25</v>
      </c>
      <c r="N73">
        <f>IF(AND(SUM(VLOOKUP($A73,test!$A$3:$F$32,2,FALSE),VLOOKUP(N$1,test!$A$3:$F$32,2,FALSE))&lt;test!$K$16,$A73&lt;&gt;N$1,Recharged_Feasible_mat!O42=1),(VLOOKUP(N$1,test!$A$3:$I$32,8,FALSE))-(VLOOKUP($A73,test!$A$3:$I$32,9,FALSE))-test!$B$34,0)</f>
        <v>385</v>
      </c>
      <c r="O73">
        <f>IF(AND(SUM(VLOOKUP($A73,test!$A$3:$F$32,2,FALSE),VLOOKUP(O$1,test!$A$3:$F$32,2,FALSE))&lt;test!$K$16,$A73&lt;&gt;O$1,Recharged_Feasible_mat!P42=1),(VLOOKUP(O$1,test!$A$3:$I$32,8,FALSE))-(VLOOKUP($A73,test!$A$3:$I$32,9,FALSE))-test!$B$34,0)</f>
        <v>445</v>
      </c>
      <c r="P73">
        <f>IF(AND(SUM(VLOOKUP($A73,test!$A$3:$F$32,2,FALSE),VLOOKUP(P$1,test!$A$3:$F$32,2,FALSE))&lt;test!$K$16,$A73&lt;&gt;P$1,Recharged_Feasible_mat!Q42=1),(VLOOKUP(P$1,test!$A$3:$I$32,8,FALSE))-(VLOOKUP($A73,test!$A$3:$I$32,9,FALSE))-test!$B$34,0)</f>
        <v>0</v>
      </c>
      <c r="Q73">
        <f>IF(AND(SUM(VLOOKUP($A73,test!$A$3:$F$32,2,FALSE),VLOOKUP(Q$1,test!$A$3:$F$32,2,FALSE))&lt;test!$K$16,$A73&lt;&gt;Q$1,Recharged_Feasible_mat!R42=1),(VLOOKUP(Q$1,test!$A$3:$I$32,8,FALSE))-(VLOOKUP($A73,test!$A$3:$I$32,9,FALSE))-test!$B$34,0)</f>
        <v>0</v>
      </c>
      <c r="R73">
        <f>IF(AND(SUM(VLOOKUP($A73,test!$A$3:$F$32,2,FALSE),VLOOKUP(R$1,test!$A$3:$F$32,2,FALSE))&lt;test!$K$16,$A73&lt;&gt;R$1,Recharged_Feasible_mat!S42=1),(VLOOKUP(R$1,test!$A$3:$I$32,8,FALSE))-(VLOOKUP($A73,test!$A$3:$I$32,9,FALSE))-test!$B$34,0)</f>
        <v>0</v>
      </c>
      <c r="S73">
        <f>IF(AND(SUM(VLOOKUP($A73,test!$A$3:$F$32,2,FALSE),VLOOKUP(S$1,test!$A$3:$F$32,2,FALSE))&lt;test!$K$16,$A73&lt;&gt;S$1,Recharged_Feasible_mat!T42=1),(VLOOKUP(S$1,test!$A$3:$I$32,8,FALSE))-(VLOOKUP($A73,test!$A$3:$I$32,9,FALSE))-test!$B$34,0)</f>
        <v>0</v>
      </c>
      <c r="T73">
        <f>IF(AND(SUM(VLOOKUP($A73,test!$A$3:$F$32,2,FALSE),VLOOKUP(T$1,test!$A$3:$F$32,2,FALSE))&lt;test!$K$16,$A73&lt;&gt;T$1,Recharged_Feasible_mat!U42=1),(VLOOKUP(T$1,test!$A$3:$I$32,8,FALSE))-(VLOOKUP($A73,test!$A$3:$I$32,9,FALSE))-test!$B$34,0)</f>
        <v>40</v>
      </c>
      <c r="U73">
        <f>IF(AND(SUM(VLOOKUP($A73,test!$A$3:$F$32,2,FALSE),VLOOKUP(U$1,test!$A$3:$F$32,2,FALSE))&lt;test!$K$16,$A73&lt;&gt;U$1,Recharged_Feasible_mat!V42=1),(VLOOKUP(U$1,test!$A$3:$I$32,8,FALSE))-(VLOOKUP($A73,test!$A$3:$I$32,9,FALSE))-test!$B$34,0)</f>
        <v>130</v>
      </c>
      <c r="V73">
        <f>IF(AND(SUM(VLOOKUP($A73,test!$A$3:$F$32,2,FALSE),VLOOKUP(V$1,test!$A$3:$F$32,2,FALSE))&lt;test!$K$16,$A73&lt;&gt;V$1,Recharged_Feasible_mat!W42=1),(VLOOKUP(V$1,test!$A$3:$I$32,8,FALSE))-(VLOOKUP($A73,test!$A$3:$I$32,9,FALSE))-test!$B$34,0)</f>
        <v>220</v>
      </c>
      <c r="W73">
        <f>IF(AND(SUM(VLOOKUP($A73,test!$A$3:$F$32,2,FALSE),VLOOKUP(W$1,test!$A$3:$F$32,2,FALSE))&lt;test!$K$16,$A73&lt;&gt;W$1,Recharged_Feasible_mat!X42=1),(VLOOKUP(W$1,test!$A$3:$I$32,8,FALSE))-(VLOOKUP($A73,test!$A$3:$I$32,9,FALSE))-test!$B$34,0)</f>
        <v>310</v>
      </c>
      <c r="X73">
        <f>IF(AND(SUM(VLOOKUP($A73,test!$A$3:$F$32,2,FALSE),VLOOKUP(X$1,test!$A$3:$F$32,2,FALSE))&lt;test!$K$16,$A73&lt;&gt;X$1,Recharged_Feasible_mat!Y42=1),(VLOOKUP(X$1,test!$A$3:$I$32,8,FALSE))-(VLOOKUP($A73,test!$A$3:$I$32,9,FALSE))-test!$B$34,0)</f>
        <v>370</v>
      </c>
      <c r="Y73">
        <f>IF(AND(SUM(VLOOKUP($A73,test!$A$3:$F$32,2,FALSE),VLOOKUP(Y$1,test!$A$3:$F$32,2,FALSE))&lt;test!$K$16,$A73&lt;&gt;Y$1,Recharged_Feasible_mat!Z42=1),(VLOOKUP(Y$1,test!$A$3:$I$32,8,FALSE))-(VLOOKUP($A73,test!$A$3:$I$32,9,FALSE))-test!$B$34,0)</f>
        <v>0</v>
      </c>
      <c r="Z73">
        <f>IF(AND(SUM(VLOOKUP($A73,test!$A$3:$F$32,2,FALSE),VLOOKUP(Z$1,test!$A$3:$F$32,2,FALSE))&lt;test!$K$16,$A73&lt;&gt;Z$1,Recharged_Feasible_mat!AA42=1),(VLOOKUP(Z$1,test!$A$3:$I$32,8,FALSE))-(VLOOKUP($A73,test!$A$3:$I$32,9,FALSE))-test!$B$34,0)</f>
        <v>0</v>
      </c>
      <c r="AA73">
        <f>IF(AND(SUM(VLOOKUP($A73,test!$A$3:$F$32,2,FALSE),VLOOKUP(AA$1,test!$A$3:$F$32,2,FALSE))&lt;test!$K$16,$A73&lt;&gt;AA$1,Recharged_Feasible_mat!AB42=1),(VLOOKUP(AA$1,test!$A$3:$I$32,8,FALSE))-(VLOOKUP($A73,test!$A$3:$I$32,9,FALSE))-test!$B$34,0)</f>
        <v>90</v>
      </c>
      <c r="AB73">
        <f>IF(AND(SUM(VLOOKUP($A73,test!$A$3:$F$32,2,FALSE),VLOOKUP(AB$1,test!$A$3:$F$32,2,FALSE))&lt;test!$K$16,$A73&lt;&gt;AB$1,Recharged_Feasible_mat!AC42=1),(VLOOKUP(AB$1,test!$A$3:$I$32,8,FALSE))-(VLOOKUP($A73,test!$A$3:$I$32,9,FALSE))-test!$B$34,0)</f>
        <v>150</v>
      </c>
      <c r="AC73">
        <f>IF(AND(SUM(VLOOKUP($A73,test!$A$3:$F$32,2,FALSE),VLOOKUP(AC$1,test!$A$3:$F$32,2,FALSE))&lt;test!$K$16,$A73&lt;&gt;AC$1,Recharged_Feasible_mat!AD42=1),(VLOOKUP(AC$1,test!$A$3:$I$32,8,FALSE))-(VLOOKUP($A73,test!$A$3:$I$32,9,FALSE))-test!$B$34,0)</f>
        <v>270</v>
      </c>
      <c r="AD73">
        <f>IF(AND(SUM(VLOOKUP($A73,test!$A$3:$F$32,2,FALSE),VLOOKUP(AD$1,test!$A$3:$F$32,2,FALSE))&lt;test!$K$16,$A73&lt;&gt;AD$1,Recharged_Feasible_mat!AE42=1),(VLOOKUP(AD$1,test!$A$3:$I$32,8,FALSE))-(VLOOKUP($A73,test!$A$3:$I$32,9,FALSE))-test!$B$34,0)</f>
        <v>0</v>
      </c>
      <c r="AE73">
        <f>IF(AND(SUM(VLOOKUP($A73,test!$A$3:$F$32,2,FALSE),VLOOKUP(AE$1,test!$A$3:$F$32,2,FALSE))&lt;test!$K$16,$A73&lt;&gt;AE$1,Recharged_Feasible_mat!AF42=1),(VLOOKUP(AE$1,test!$A$3:$I$32,8,FALSE))-(VLOOKUP($A73,test!$A$3:$I$32,9,FALSE))-test!$B$34,0)</f>
        <v>0</v>
      </c>
      <c r="AF73">
        <f>IF(AND(SUM(VLOOKUP($A73,test!$A$3:$F$32,2,FALSE),VLOOKUP(AF$1,test!$A$3:$F$32,2,FALSE))&lt;test!$K$16,$A73&lt;&gt;AF$1,Recharged_Feasible_mat!AG42=1),(VLOOKUP(AF$1,test!$A$3:$I$32,8,FALSE))-(VLOOKUP($A73,test!$A$3:$I$32,9,FALSE))-test!$B$34,0)</f>
        <v>0</v>
      </c>
    </row>
    <row r="74" spans="1:32" x14ac:dyDescent="0.25">
      <c r="A74" t="s">
        <v>20</v>
      </c>
      <c r="B74">
        <v>0</v>
      </c>
      <c r="C74">
        <f>IF(AND(SUM(VLOOKUP($A74,test!$A$3:$F$32,2,FALSE),VLOOKUP(C$1,test!$A$3:$F$32,2,FALSE))&lt;test!$K$16,$A74&lt;&gt;C$1,Recharged_Feasible_mat!D43=1),(VLOOKUP(C$1,test!$A$3:$I$32,8,FALSE))-(VLOOKUP($A74,test!$A$3:$I$32,9,FALSE))-test!$B$34,0)</f>
        <v>0</v>
      </c>
      <c r="D74">
        <f>IF(AND(SUM(VLOOKUP($A74,test!$A$3:$F$32,2,FALSE),VLOOKUP(D$1,test!$A$3:$F$32,2,FALSE))&lt;test!$K$16,$A74&lt;&gt;D$1,Recharged_Feasible_mat!E43=1),(VLOOKUP(D$1,test!$A$3:$I$32,8,FALSE))-(VLOOKUP($A74,test!$A$3:$I$32,9,FALSE))-test!$B$34,0)</f>
        <v>0</v>
      </c>
      <c r="E74">
        <f>IF(AND(SUM(VLOOKUP($A74,test!$A$3:$F$32,2,FALSE),VLOOKUP(E$1,test!$A$3:$F$32,2,FALSE))&lt;test!$K$16,$A74&lt;&gt;E$1,Recharged_Feasible_mat!F43=1),(VLOOKUP(E$1,test!$A$3:$I$32,8,FALSE))-(VLOOKUP($A74,test!$A$3:$I$32,9,FALSE))-test!$B$34,0)</f>
        <v>0</v>
      </c>
      <c r="F74">
        <f>IF(AND(SUM(VLOOKUP($A74,test!$A$3:$F$32,2,FALSE),VLOOKUP(F$1,test!$A$3:$F$32,2,FALSE))&lt;test!$K$16,$A74&lt;&gt;F$1,Recharged_Feasible_mat!G43=1),(VLOOKUP(F$1,test!$A$3:$I$32,8,FALSE))-(VLOOKUP($A74,test!$A$3:$I$32,9,FALSE))-test!$B$34,0)</f>
        <v>30</v>
      </c>
      <c r="G74">
        <f>IF(AND(SUM(VLOOKUP($A74,test!$A$3:$F$32,2,FALSE),VLOOKUP(G$1,test!$A$3:$F$32,2,FALSE))&lt;test!$K$16,$A74&lt;&gt;G$1,Recharged_Feasible_mat!H43=1),(VLOOKUP(G$1,test!$A$3:$I$32,8,FALSE))-(VLOOKUP($A74,test!$A$3:$I$32,9,FALSE))-test!$B$34,0)</f>
        <v>90</v>
      </c>
      <c r="H74">
        <f>IF(AND(SUM(VLOOKUP($A74,test!$A$3:$F$32,2,FALSE),VLOOKUP(H$1,test!$A$3:$F$32,2,FALSE))&lt;test!$K$16,$A74&lt;&gt;H$1,Recharged_Feasible_mat!I43=1),(VLOOKUP(H$1,test!$A$3:$I$32,8,FALSE))-(VLOOKUP($A74,test!$A$3:$I$32,9,FALSE))-test!$B$34,0)</f>
        <v>150</v>
      </c>
      <c r="I74">
        <f>IF(AND(SUM(VLOOKUP($A74,test!$A$3:$F$32,2,FALSE),VLOOKUP(I$1,test!$A$3:$F$32,2,FALSE))&lt;test!$K$16,$A74&lt;&gt;I$1,Recharged_Feasible_mat!J43=1),(VLOOKUP(I$1,test!$A$3:$I$32,8,FALSE))-(VLOOKUP($A74,test!$A$3:$I$32,9,FALSE))-test!$B$34,0)</f>
        <v>210</v>
      </c>
      <c r="J74">
        <f>IF(AND(SUM(VLOOKUP($A74,test!$A$3:$F$32,2,FALSE),VLOOKUP(J$1,test!$A$3:$F$32,2,FALSE))&lt;test!$K$16,$A74&lt;&gt;J$1,Recharged_Feasible_mat!K43=1),(VLOOKUP(J$1,test!$A$3:$I$32,8,FALSE))-(VLOOKUP($A74,test!$A$3:$I$32,9,FALSE))-test!$B$34,0)</f>
        <v>300</v>
      </c>
      <c r="K74">
        <f>IF(AND(SUM(VLOOKUP($A74,test!$A$3:$F$32,2,FALSE),VLOOKUP(K$1,test!$A$3:$F$32,2,FALSE))&lt;test!$K$16,$A74&lt;&gt;K$1,Recharged_Feasible_mat!L43=1),(VLOOKUP(K$1,test!$A$3:$I$32,8,FALSE))-(VLOOKUP($A74,test!$A$3:$I$32,9,FALSE))-test!$B$34,0)</f>
        <v>0</v>
      </c>
      <c r="L74">
        <f>IF(AND(SUM(VLOOKUP($A74,test!$A$3:$F$32,2,FALSE),VLOOKUP(L$1,test!$A$3:$F$32,2,FALSE))&lt;test!$K$16,$A74&lt;&gt;L$1,Recharged_Feasible_mat!M43=1),(VLOOKUP(L$1,test!$A$3:$I$32,8,FALSE))-(VLOOKUP($A74,test!$A$3:$I$32,9,FALSE))-test!$B$34,0)</f>
        <v>0</v>
      </c>
      <c r="M74">
        <f>IF(AND(SUM(VLOOKUP($A74,test!$A$3:$F$32,2,FALSE),VLOOKUP(M$1,test!$A$3:$F$32,2,FALSE))&lt;test!$K$16,$A74&lt;&gt;M$1,Recharged_Feasible_mat!N43=1),(VLOOKUP(M$1,test!$A$3:$I$32,8,FALSE))-(VLOOKUP($A74,test!$A$3:$I$32,9,FALSE))-test!$B$34,0)</f>
        <v>0</v>
      </c>
      <c r="N74">
        <f>IF(AND(SUM(VLOOKUP($A74,test!$A$3:$F$32,2,FALSE),VLOOKUP(N$1,test!$A$3:$F$32,2,FALSE))&lt;test!$K$16,$A74&lt;&gt;N$1,Recharged_Feasible_mat!O43=1),(VLOOKUP(N$1,test!$A$3:$I$32,8,FALSE))-(VLOOKUP($A74,test!$A$3:$I$32,9,FALSE))-test!$B$34,0)</f>
        <v>265</v>
      </c>
      <c r="O74">
        <f>IF(AND(SUM(VLOOKUP($A74,test!$A$3:$F$32,2,FALSE),VLOOKUP(O$1,test!$A$3:$F$32,2,FALSE))&lt;test!$K$16,$A74&lt;&gt;O$1,Recharged_Feasible_mat!P43=1),(VLOOKUP(O$1,test!$A$3:$I$32,8,FALSE))-(VLOOKUP($A74,test!$A$3:$I$32,9,FALSE))-test!$B$34,0)</f>
        <v>325</v>
      </c>
      <c r="P74">
        <f>IF(AND(SUM(VLOOKUP($A74,test!$A$3:$F$32,2,FALSE),VLOOKUP(P$1,test!$A$3:$F$32,2,FALSE))&lt;test!$K$16,$A74&lt;&gt;P$1,Recharged_Feasible_mat!Q43=1),(VLOOKUP(P$1,test!$A$3:$I$32,8,FALSE))-(VLOOKUP($A74,test!$A$3:$I$32,9,FALSE))-test!$B$34,0)</f>
        <v>0</v>
      </c>
      <c r="Q74">
        <f>IF(AND(SUM(VLOOKUP($A74,test!$A$3:$F$32,2,FALSE),VLOOKUP(Q$1,test!$A$3:$F$32,2,FALSE))&lt;test!$K$16,$A74&lt;&gt;Q$1,Recharged_Feasible_mat!R43=1),(VLOOKUP(Q$1,test!$A$3:$I$32,8,FALSE))-(VLOOKUP($A74,test!$A$3:$I$32,9,FALSE))-test!$B$34,0)</f>
        <v>0</v>
      </c>
      <c r="R74">
        <f>IF(AND(SUM(VLOOKUP($A74,test!$A$3:$F$32,2,FALSE),VLOOKUP(R$1,test!$A$3:$F$32,2,FALSE))&lt;test!$K$16,$A74&lt;&gt;R$1,Recharged_Feasible_mat!S43=1),(VLOOKUP(R$1,test!$A$3:$I$32,8,FALSE))-(VLOOKUP($A74,test!$A$3:$I$32,9,FALSE))-test!$B$34,0)</f>
        <v>0</v>
      </c>
      <c r="S74">
        <f>IF(AND(SUM(VLOOKUP($A74,test!$A$3:$F$32,2,FALSE),VLOOKUP(S$1,test!$A$3:$F$32,2,FALSE))&lt;test!$K$16,$A74&lt;&gt;S$1,Recharged_Feasible_mat!T43=1),(VLOOKUP(S$1,test!$A$3:$I$32,8,FALSE))-(VLOOKUP($A74,test!$A$3:$I$32,9,FALSE))-test!$B$34,0)</f>
        <v>0</v>
      </c>
      <c r="T74">
        <f>IF(AND(SUM(VLOOKUP($A74,test!$A$3:$F$32,2,FALSE),VLOOKUP(T$1,test!$A$3:$F$32,2,FALSE))&lt;test!$K$16,$A74&lt;&gt;T$1,Recharged_Feasible_mat!U43=1),(VLOOKUP(T$1,test!$A$3:$I$32,8,FALSE))-(VLOOKUP($A74,test!$A$3:$I$32,9,FALSE))-test!$B$34,0)</f>
        <v>0</v>
      </c>
      <c r="U74">
        <f>IF(AND(SUM(VLOOKUP($A74,test!$A$3:$F$32,2,FALSE),VLOOKUP(U$1,test!$A$3:$F$32,2,FALSE))&lt;test!$K$16,$A74&lt;&gt;U$1,Recharged_Feasible_mat!V43=1),(VLOOKUP(U$1,test!$A$3:$I$32,8,FALSE))-(VLOOKUP($A74,test!$A$3:$I$32,9,FALSE))-test!$B$34,0)</f>
        <v>10</v>
      </c>
      <c r="V74">
        <f>IF(AND(SUM(VLOOKUP($A74,test!$A$3:$F$32,2,FALSE),VLOOKUP(V$1,test!$A$3:$F$32,2,FALSE))&lt;test!$K$16,$A74&lt;&gt;V$1,Recharged_Feasible_mat!W43=1),(VLOOKUP(V$1,test!$A$3:$I$32,8,FALSE))-(VLOOKUP($A74,test!$A$3:$I$32,9,FALSE))-test!$B$34,0)</f>
        <v>100</v>
      </c>
      <c r="W74">
        <f>IF(AND(SUM(VLOOKUP($A74,test!$A$3:$F$32,2,FALSE),VLOOKUP(W$1,test!$A$3:$F$32,2,FALSE))&lt;test!$K$16,$A74&lt;&gt;W$1,Recharged_Feasible_mat!X43=1),(VLOOKUP(W$1,test!$A$3:$I$32,8,FALSE))-(VLOOKUP($A74,test!$A$3:$I$32,9,FALSE))-test!$B$34,0)</f>
        <v>190</v>
      </c>
      <c r="X74">
        <f>IF(AND(SUM(VLOOKUP($A74,test!$A$3:$F$32,2,FALSE),VLOOKUP(X$1,test!$A$3:$F$32,2,FALSE))&lt;test!$K$16,$A74&lt;&gt;X$1,Recharged_Feasible_mat!Y43=1),(VLOOKUP(X$1,test!$A$3:$I$32,8,FALSE))-(VLOOKUP($A74,test!$A$3:$I$32,9,FALSE))-test!$B$34,0)</f>
        <v>250</v>
      </c>
      <c r="Y74">
        <f>IF(AND(SUM(VLOOKUP($A74,test!$A$3:$F$32,2,FALSE),VLOOKUP(Y$1,test!$A$3:$F$32,2,FALSE))&lt;test!$K$16,$A74&lt;&gt;Y$1,Recharged_Feasible_mat!Z43=1),(VLOOKUP(Y$1,test!$A$3:$I$32,8,FALSE))-(VLOOKUP($A74,test!$A$3:$I$32,9,FALSE))-test!$B$34,0)</f>
        <v>0</v>
      </c>
      <c r="Z74">
        <f>IF(AND(SUM(VLOOKUP($A74,test!$A$3:$F$32,2,FALSE),VLOOKUP(Z$1,test!$A$3:$F$32,2,FALSE))&lt;test!$K$16,$A74&lt;&gt;Z$1,Recharged_Feasible_mat!AA43=1),(VLOOKUP(Z$1,test!$A$3:$I$32,8,FALSE))-(VLOOKUP($A74,test!$A$3:$I$32,9,FALSE))-test!$B$34,0)</f>
        <v>0</v>
      </c>
      <c r="AA74">
        <f>IF(AND(SUM(VLOOKUP($A74,test!$A$3:$F$32,2,FALSE),VLOOKUP(AA$1,test!$A$3:$F$32,2,FALSE))&lt;test!$K$16,$A74&lt;&gt;AA$1,Recharged_Feasible_mat!AB43=1),(VLOOKUP(AA$1,test!$A$3:$I$32,8,FALSE))-(VLOOKUP($A74,test!$A$3:$I$32,9,FALSE))-test!$B$34,0)</f>
        <v>0</v>
      </c>
      <c r="AB74">
        <f>IF(AND(SUM(VLOOKUP($A74,test!$A$3:$F$32,2,FALSE),VLOOKUP(AB$1,test!$A$3:$F$32,2,FALSE))&lt;test!$K$16,$A74&lt;&gt;AB$1,Recharged_Feasible_mat!AC43=1),(VLOOKUP(AB$1,test!$A$3:$I$32,8,FALSE))-(VLOOKUP($A74,test!$A$3:$I$32,9,FALSE))-test!$B$34,0)</f>
        <v>30</v>
      </c>
      <c r="AC74">
        <f>IF(AND(SUM(VLOOKUP($A74,test!$A$3:$F$32,2,FALSE),VLOOKUP(AC$1,test!$A$3:$F$32,2,FALSE))&lt;test!$K$16,$A74&lt;&gt;AC$1,Recharged_Feasible_mat!AD43=1),(VLOOKUP(AC$1,test!$A$3:$I$32,8,FALSE))-(VLOOKUP($A74,test!$A$3:$I$32,9,FALSE))-test!$B$34,0)</f>
        <v>150</v>
      </c>
      <c r="AD74">
        <f>IF(AND(SUM(VLOOKUP($A74,test!$A$3:$F$32,2,FALSE),VLOOKUP(AD$1,test!$A$3:$F$32,2,FALSE))&lt;test!$K$16,$A74&lt;&gt;AD$1,Recharged_Feasible_mat!AE43=1),(VLOOKUP(AD$1,test!$A$3:$I$32,8,FALSE))-(VLOOKUP($A74,test!$A$3:$I$32,9,FALSE))-test!$B$34,0)</f>
        <v>0</v>
      </c>
      <c r="AE74">
        <f>IF(AND(SUM(VLOOKUP($A74,test!$A$3:$F$32,2,FALSE),VLOOKUP(AE$1,test!$A$3:$F$32,2,FALSE))&lt;test!$K$16,$A74&lt;&gt;AE$1,Recharged_Feasible_mat!AF43=1),(VLOOKUP(AE$1,test!$A$3:$I$32,8,FALSE))-(VLOOKUP($A74,test!$A$3:$I$32,9,FALSE))-test!$B$34,0)</f>
        <v>0</v>
      </c>
      <c r="AF74">
        <f>IF(AND(SUM(VLOOKUP($A74,test!$A$3:$F$32,2,FALSE),VLOOKUP(AF$1,test!$A$3:$F$32,2,FALSE))&lt;test!$K$16,$A74&lt;&gt;AF$1,Recharged_Feasible_mat!AG43=1),(VLOOKUP(AF$1,test!$A$3:$I$32,8,FALSE))-(VLOOKUP($A74,test!$A$3:$I$32,9,FALSE))-test!$B$34,0)</f>
        <v>0</v>
      </c>
    </row>
    <row r="75" spans="1:32" x14ac:dyDescent="0.25">
      <c r="A75" t="s">
        <v>21</v>
      </c>
      <c r="B75">
        <v>0</v>
      </c>
      <c r="C75">
        <f>IF(AND(SUM(VLOOKUP($A75,test!$A$3:$F$32,2,FALSE),VLOOKUP(C$1,test!$A$3:$F$32,2,FALSE))&lt;test!$K$16,$A75&lt;&gt;C$1,Recharged_Feasible_mat!D44=1),(VLOOKUP(C$1,test!$A$3:$I$32,8,FALSE))-(VLOOKUP($A75,test!$A$3:$I$32,9,FALSE))-test!$B$34,0)</f>
        <v>0</v>
      </c>
      <c r="D75">
        <f>IF(AND(SUM(VLOOKUP($A75,test!$A$3:$F$32,2,FALSE),VLOOKUP(D$1,test!$A$3:$F$32,2,FALSE))&lt;test!$K$16,$A75&lt;&gt;D$1,Recharged_Feasible_mat!E44=1),(VLOOKUP(D$1,test!$A$3:$I$32,8,FALSE))-(VLOOKUP($A75,test!$A$3:$I$32,9,FALSE))-test!$B$34,0)</f>
        <v>0</v>
      </c>
      <c r="E75">
        <f>IF(AND(SUM(VLOOKUP($A75,test!$A$3:$F$32,2,FALSE),VLOOKUP(E$1,test!$A$3:$F$32,2,FALSE))&lt;test!$K$16,$A75&lt;&gt;E$1,Recharged_Feasible_mat!F44=1),(VLOOKUP(E$1,test!$A$3:$I$32,8,FALSE))-(VLOOKUP($A75,test!$A$3:$I$32,9,FALSE))-test!$B$34,0)</f>
        <v>0</v>
      </c>
      <c r="F75">
        <f>IF(AND(SUM(VLOOKUP($A75,test!$A$3:$F$32,2,FALSE),VLOOKUP(F$1,test!$A$3:$F$32,2,FALSE))&lt;test!$K$16,$A75&lt;&gt;F$1,Recharged_Feasible_mat!G44=1),(VLOOKUP(F$1,test!$A$3:$I$32,8,FALSE))-(VLOOKUP($A75,test!$A$3:$I$32,9,FALSE))-test!$B$34,0)</f>
        <v>0</v>
      </c>
      <c r="G75">
        <f>IF(AND(SUM(VLOOKUP($A75,test!$A$3:$F$32,2,FALSE),VLOOKUP(G$1,test!$A$3:$F$32,2,FALSE))&lt;test!$K$16,$A75&lt;&gt;G$1,Recharged_Feasible_mat!H44=1),(VLOOKUP(G$1,test!$A$3:$I$32,8,FALSE))-(VLOOKUP($A75,test!$A$3:$I$32,9,FALSE))-test!$B$34,0)</f>
        <v>0</v>
      </c>
      <c r="H75">
        <f>IF(AND(SUM(VLOOKUP($A75,test!$A$3:$F$32,2,FALSE),VLOOKUP(H$1,test!$A$3:$F$32,2,FALSE))&lt;test!$K$16,$A75&lt;&gt;H$1,Recharged_Feasible_mat!I44=1),(VLOOKUP(H$1,test!$A$3:$I$32,8,FALSE))-(VLOOKUP($A75,test!$A$3:$I$32,9,FALSE))-test!$B$34,0)</f>
        <v>30</v>
      </c>
      <c r="I75">
        <f>IF(AND(SUM(VLOOKUP($A75,test!$A$3:$F$32,2,FALSE),VLOOKUP(I$1,test!$A$3:$F$32,2,FALSE))&lt;test!$K$16,$A75&lt;&gt;I$1,Recharged_Feasible_mat!J44=1),(VLOOKUP(I$1,test!$A$3:$I$32,8,FALSE))-(VLOOKUP($A75,test!$A$3:$I$32,9,FALSE))-test!$B$34,0)</f>
        <v>90</v>
      </c>
      <c r="J75">
        <f>IF(AND(SUM(VLOOKUP($A75,test!$A$3:$F$32,2,FALSE),VLOOKUP(J$1,test!$A$3:$F$32,2,FALSE))&lt;test!$K$16,$A75&lt;&gt;J$1,Recharged_Feasible_mat!K44=1),(VLOOKUP(J$1,test!$A$3:$I$32,8,FALSE))-(VLOOKUP($A75,test!$A$3:$I$32,9,FALSE))-test!$B$34,0)</f>
        <v>180</v>
      </c>
      <c r="K75">
        <f>IF(AND(SUM(VLOOKUP($A75,test!$A$3:$F$32,2,FALSE),VLOOKUP(K$1,test!$A$3:$F$32,2,FALSE))&lt;test!$K$16,$A75&lt;&gt;K$1,Recharged_Feasible_mat!L44=1),(VLOOKUP(K$1,test!$A$3:$I$32,8,FALSE))-(VLOOKUP($A75,test!$A$3:$I$32,9,FALSE))-test!$B$34,0)</f>
        <v>0</v>
      </c>
      <c r="L75">
        <f>IF(AND(SUM(VLOOKUP($A75,test!$A$3:$F$32,2,FALSE),VLOOKUP(L$1,test!$A$3:$F$32,2,FALSE))&lt;test!$K$16,$A75&lt;&gt;L$1,Recharged_Feasible_mat!M44=1),(VLOOKUP(L$1,test!$A$3:$I$32,8,FALSE))-(VLOOKUP($A75,test!$A$3:$I$32,9,FALSE))-test!$B$34,0)</f>
        <v>0</v>
      </c>
      <c r="M75">
        <f>IF(AND(SUM(VLOOKUP($A75,test!$A$3:$F$32,2,FALSE),VLOOKUP(M$1,test!$A$3:$F$32,2,FALSE))&lt;test!$K$16,$A75&lt;&gt;M$1,Recharged_Feasible_mat!N44=1),(VLOOKUP(M$1,test!$A$3:$I$32,8,FALSE))-(VLOOKUP($A75,test!$A$3:$I$32,9,FALSE))-test!$B$34,0)</f>
        <v>0</v>
      </c>
      <c r="N75">
        <f>IF(AND(SUM(VLOOKUP($A75,test!$A$3:$F$32,2,FALSE),VLOOKUP(N$1,test!$A$3:$F$32,2,FALSE))&lt;test!$K$16,$A75&lt;&gt;N$1,Recharged_Feasible_mat!O44=1),(VLOOKUP(N$1,test!$A$3:$I$32,8,FALSE))-(VLOOKUP($A75,test!$A$3:$I$32,9,FALSE))-test!$B$34,0)</f>
        <v>145</v>
      </c>
      <c r="O75">
        <f>IF(AND(SUM(VLOOKUP($A75,test!$A$3:$F$32,2,FALSE),VLOOKUP(O$1,test!$A$3:$F$32,2,FALSE))&lt;test!$K$16,$A75&lt;&gt;O$1,Recharged_Feasible_mat!P44=1),(VLOOKUP(O$1,test!$A$3:$I$32,8,FALSE))-(VLOOKUP($A75,test!$A$3:$I$32,9,FALSE))-test!$B$34,0)</f>
        <v>205</v>
      </c>
      <c r="P75">
        <f>IF(AND(SUM(VLOOKUP($A75,test!$A$3:$F$32,2,FALSE),VLOOKUP(P$1,test!$A$3:$F$32,2,FALSE))&lt;test!$K$16,$A75&lt;&gt;P$1,Recharged_Feasible_mat!Q44=1),(VLOOKUP(P$1,test!$A$3:$I$32,8,FALSE))-(VLOOKUP($A75,test!$A$3:$I$32,9,FALSE))-test!$B$34,0)</f>
        <v>0</v>
      </c>
      <c r="Q75">
        <f>IF(AND(SUM(VLOOKUP($A75,test!$A$3:$F$32,2,FALSE),VLOOKUP(Q$1,test!$A$3:$F$32,2,FALSE))&lt;test!$K$16,$A75&lt;&gt;Q$1,Recharged_Feasible_mat!R44=1),(VLOOKUP(Q$1,test!$A$3:$I$32,8,FALSE))-(VLOOKUP($A75,test!$A$3:$I$32,9,FALSE))-test!$B$34,0)</f>
        <v>0</v>
      </c>
      <c r="R75">
        <f>IF(AND(SUM(VLOOKUP($A75,test!$A$3:$F$32,2,FALSE),VLOOKUP(R$1,test!$A$3:$F$32,2,FALSE))&lt;test!$K$16,$A75&lt;&gt;R$1,Recharged_Feasible_mat!S44=1),(VLOOKUP(R$1,test!$A$3:$I$32,8,FALSE))-(VLOOKUP($A75,test!$A$3:$I$32,9,FALSE))-test!$B$34,0)</f>
        <v>0</v>
      </c>
      <c r="S75">
        <f>IF(AND(SUM(VLOOKUP($A75,test!$A$3:$F$32,2,FALSE),VLOOKUP(S$1,test!$A$3:$F$32,2,FALSE))&lt;test!$K$16,$A75&lt;&gt;S$1,Recharged_Feasible_mat!T44=1),(VLOOKUP(S$1,test!$A$3:$I$32,8,FALSE))-(VLOOKUP($A75,test!$A$3:$I$32,9,FALSE))-test!$B$34,0)</f>
        <v>0</v>
      </c>
      <c r="T75">
        <f>IF(AND(SUM(VLOOKUP($A75,test!$A$3:$F$32,2,FALSE),VLOOKUP(T$1,test!$A$3:$F$32,2,FALSE))&lt;test!$K$16,$A75&lt;&gt;T$1,Recharged_Feasible_mat!U44=1),(VLOOKUP(T$1,test!$A$3:$I$32,8,FALSE))-(VLOOKUP($A75,test!$A$3:$I$32,9,FALSE))-test!$B$34,0)</f>
        <v>0</v>
      </c>
      <c r="U75">
        <f>IF(AND(SUM(VLOOKUP($A75,test!$A$3:$F$32,2,FALSE),VLOOKUP(U$1,test!$A$3:$F$32,2,FALSE))&lt;test!$K$16,$A75&lt;&gt;U$1,Recharged_Feasible_mat!V44=1),(VLOOKUP(U$1,test!$A$3:$I$32,8,FALSE))-(VLOOKUP($A75,test!$A$3:$I$32,9,FALSE))-test!$B$34,0)</f>
        <v>0</v>
      </c>
      <c r="V75">
        <f>IF(AND(SUM(VLOOKUP($A75,test!$A$3:$F$32,2,FALSE),VLOOKUP(V$1,test!$A$3:$F$32,2,FALSE))&lt;test!$K$16,$A75&lt;&gt;V$1,Recharged_Feasible_mat!W44=1),(VLOOKUP(V$1,test!$A$3:$I$32,8,FALSE))-(VLOOKUP($A75,test!$A$3:$I$32,9,FALSE))-test!$B$34,0)</f>
        <v>0</v>
      </c>
      <c r="W75">
        <f>IF(AND(SUM(VLOOKUP($A75,test!$A$3:$F$32,2,FALSE),VLOOKUP(W$1,test!$A$3:$F$32,2,FALSE))&lt;test!$K$16,$A75&lt;&gt;W$1,Recharged_Feasible_mat!X44=1),(VLOOKUP(W$1,test!$A$3:$I$32,8,FALSE))-(VLOOKUP($A75,test!$A$3:$I$32,9,FALSE))-test!$B$34,0)</f>
        <v>70</v>
      </c>
      <c r="X75">
        <f>IF(AND(SUM(VLOOKUP($A75,test!$A$3:$F$32,2,FALSE),VLOOKUP(X$1,test!$A$3:$F$32,2,FALSE))&lt;test!$K$16,$A75&lt;&gt;X$1,Recharged_Feasible_mat!Y44=1),(VLOOKUP(X$1,test!$A$3:$I$32,8,FALSE))-(VLOOKUP($A75,test!$A$3:$I$32,9,FALSE))-test!$B$34,0)</f>
        <v>130</v>
      </c>
      <c r="Y75">
        <f>IF(AND(SUM(VLOOKUP($A75,test!$A$3:$F$32,2,FALSE),VLOOKUP(Y$1,test!$A$3:$F$32,2,FALSE))&lt;test!$K$16,$A75&lt;&gt;Y$1,Recharged_Feasible_mat!Z44=1),(VLOOKUP(Y$1,test!$A$3:$I$32,8,FALSE))-(VLOOKUP($A75,test!$A$3:$I$32,9,FALSE))-test!$B$34,0)</f>
        <v>0</v>
      </c>
      <c r="Z75">
        <f>IF(AND(SUM(VLOOKUP($A75,test!$A$3:$F$32,2,FALSE),VLOOKUP(Z$1,test!$A$3:$F$32,2,FALSE))&lt;test!$K$16,$A75&lt;&gt;Z$1,Recharged_Feasible_mat!AA44=1),(VLOOKUP(Z$1,test!$A$3:$I$32,8,FALSE))-(VLOOKUP($A75,test!$A$3:$I$32,9,FALSE))-test!$B$34,0)</f>
        <v>0</v>
      </c>
      <c r="AA75">
        <f>IF(AND(SUM(VLOOKUP($A75,test!$A$3:$F$32,2,FALSE),VLOOKUP(AA$1,test!$A$3:$F$32,2,FALSE))&lt;test!$K$16,$A75&lt;&gt;AA$1,Recharged_Feasible_mat!AB44=1),(VLOOKUP(AA$1,test!$A$3:$I$32,8,FALSE))-(VLOOKUP($A75,test!$A$3:$I$32,9,FALSE))-test!$B$34,0)</f>
        <v>0</v>
      </c>
      <c r="AB75">
        <f>IF(AND(SUM(VLOOKUP($A75,test!$A$3:$F$32,2,FALSE),VLOOKUP(AB$1,test!$A$3:$F$32,2,FALSE))&lt;test!$K$16,$A75&lt;&gt;AB$1,Recharged_Feasible_mat!AC44=1),(VLOOKUP(AB$1,test!$A$3:$I$32,8,FALSE))-(VLOOKUP($A75,test!$A$3:$I$32,9,FALSE))-test!$B$34,0)</f>
        <v>0</v>
      </c>
      <c r="AC75">
        <f>IF(AND(SUM(VLOOKUP($A75,test!$A$3:$F$32,2,FALSE),VLOOKUP(AC$1,test!$A$3:$F$32,2,FALSE))&lt;test!$K$16,$A75&lt;&gt;AC$1,Recharged_Feasible_mat!AD44=1),(VLOOKUP(AC$1,test!$A$3:$I$32,8,FALSE))-(VLOOKUP($A75,test!$A$3:$I$32,9,FALSE))-test!$B$34,0)</f>
        <v>30</v>
      </c>
      <c r="AD75">
        <f>IF(AND(SUM(VLOOKUP($A75,test!$A$3:$F$32,2,FALSE),VLOOKUP(AD$1,test!$A$3:$F$32,2,FALSE))&lt;test!$K$16,$A75&lt;&gt;AD$1,Recharged_Feasible_mat!AE44=1),(VLOOKUP(AD$1,test!$A$3:$I$32,8,FALSE))-(VLOOKUP($A75,test!$A$3:$I$32,9,FALSE))-test!$B$34,0)</f>
        <v>0</v>
      </c>
      <c r="AE75">
        <f>IF(AND(SUM(VLOOKUP($A75,test!$A$3:$F$32,2,FALSE),VLOOKUP(AE$1,test!$A$3:$F$32,2,FALSE))&lt;test!$K$16,$A75&lt;&gt;AE$1,Recharged_Feasible_mat!AF44=1),(VLOOKUP(AE$1,test!$A$3:$I$32,8,FALSE))-(VLOOKUP($A75,test!$A$3:$I$32,9,FALSE))-test!$B$34,0)</f>
        <v>0</v>
      </c>
      <c r="AF75">
        <f>IF(AND(SUM(VLOOKUP($A75,test!$A$3:$F$32,2,FALSE),VLOOKUP(AF$1,test!$A$3:$F$32,2,FALSE))&lt;test!$K$16,$A75&lt;&gt;AF$1,Recharged_Feasible_mat!AG44=1),(VLOOKUP(AF$1,test!$A$3:$I$32,8,FALSE))-(VLOOKUP($A75,test!$A$3:$I$32,9,FALSE))-test!$B$34,0)</f>
        <v>0</v>
      </c>
    </row>
    <row r="76" spans="1:32" x14ac:dyDescent="0.25">
      <c r="A76" t="s">
        <v>22</v>
      </c>
      <c r="B76">
        <v>0</v>
      </c>
      <c r="C76">
        <f>IF(AND(SUM(VLOOKUP($A76,test!$A$3:$F$32,2,FALSE),VLOOKUP(C$1,test!$A$3:$F$32,2,FALSE))&lt;test!$K$16,$A76&lt;&gt;C$1,Recharged_Feasible_mat!D45=1),(VLOOKUP(C$1,test!$A$3:$I$32,8,FALSE))-(VLOOKUP($A76,test!$A$3:$I$32,9,FALSE))-test!$B$34,0)</f>
        <v>0</v>
      </c>
      <c r="D76">
        <f>IF(AND(SUM(VLOOKUP($A76,test!$A$3:$F$32,2,FALSE),VLOOKUP(D$1,test!$A$3:$F$32,2,FALSE))&lt;test!$K$16,$A76&lt;&gt;D$1,Recharged_Feasible_mat!E45=1),(VLOOKUP(D$1,test!$A$3:$I$32,8,FALSE))-(VLOOKUP($A76,test!$A$3:$I$32,9,FALSE))-test!$B$34,0)</f>
        <v>0</v>
      </c>
      <c r="E76">
        <f>IF(AND(SUM(VLOOKUP($A76,test!$A$3:$F$32,2,FALSE),VLOOKUP(E$1,test!$A$3:$F$32,2,FALSE))&lt;test!$K$16,$A76&lt;&gt;E$1,Recharged_Feasible_mat!F45=1),(VLOOKUP(E$1,test!$A$3:$I$32,8,FALSE))-(VLOOKUP($A76,test!$A$3:$I$32,9,FALSE))-test!$B$34,0)</f>
        <v>0</v>
      </c>
      <c r="F76">
        <f>IF(AND(SUM(VLOOKUP($A76,test!$A$3:$F$32,2,FALSE),VLOOKUP(F$1,test!$A$3:$F$32,2,FALSE))&lt;test!$K$16,$A76&lt;&gt;F$1,Recharged_Feasible_mat!G45=1),(VLOOKUP(F$1,test!$A$3:$I$32,8,FALSE))-(VLOOKUP($A76,test!$A$3:$I$32,9,FALSE))-test!$B$34,0)</f>
        <v>0</v>
      </c>
      <c r="G76">
        <f>IF(AND(SUM(VLOOKUP($A76,test!$A$3:$F$32,2,FALSE),VLOOKUP(G$1,test!$A$3:$F$32,2,FALSE))&lt;test!$K$16,$A76&lt;&gt;G$1,Recharged_Feasible_mat!H45=1),(VLOOKUP(G$1,test!$A$3:$I$32,8,FALSE))-(VLOOKUP($A76,test!$A$3:$I$32,9,FALSE))-test!$B$34,0)</f>
        <v>0</v>
      </c>
      <c r="H76">
        <f>IF(AND(SUM(VLOOKUP($A76,test!$A$3:$F$32,2,FALSE),VLOOKUP(H$1,test!$A$3:$F$32,2,FALSE))&lt;test!$K$16,$A76&lt;&gt;H$1,Recharged_Feasible_mat!I45=1),(VLOOKUP(H$1,test!$A$3:$I$32,8,FALSE))-(VLOOKUP($A76,test!$A$3:$I$32,9,FALSE))-test!$B$34,0)</f>
        <v>0</v>
      </c>
      <c r="I76">
        <f>IF(AND(SUM(VLOOKUP($A76,test!$A$3:$F$32,2,FALSE),VLOOKUP(I$1,test!$A$3:$F$32,2,FALSE))&lt;test!$K$16,$A76&lt;&gt;I$1,Recharged_Feasible_mat!J45=1),(VLOOKUP(I$1,test!$A$3:$I$32,8,FALSE))-(VLOOKUP($A76,test!$A$3:$I$32,9,FALSE))-test!$B$34,0)</f>
        <v>0</v>
      </c>
      <c r="J76">
        <f>IF(AND(SUM(VLOOKUP($A76,test!$A$3:$F$32,2,FALSE),VLOOKUP(J$1,test!$A$3:$F$32,2,FALSE))&lt;test!$K$16,$A76&lt;&gt;J$1,Recharged_Feasible_mat!K45=1),(VLOOKUP(J$1,test!$A$3:$I$32,8,FALSE))-(VLOOKUP($A76,test!$A$3:$I$32,9,FALSE))-test!$B$34,0)</f>
        <v>0</v>
      </c>
      <c r="K76">
        <f>IF(AND(SUM(VLOOKUP($A76,test!$A$3:$F$32,2,FALSE),VLOOKUP(K$1,test!$A$3:$F$32,2,FALSE))&lt;test!$K$16,$A76&lt;&gt;K$1,Recharged_Feasible_mat!L45=1),(VLOOKUP(K$1,test!$A$3:$I$32,8,FALSE))-(VLOOKUP($A76,test!$A$3:$I$32,9,FALSE))-test!$B$34,0)</f>
        <v>0</v>
      </c>
      <c r="L76">
        <f>IF(AND(SUM(VLOOKUP($A76,test!$A$3:$F$32,2,FALSE),VLOOKUP(L$1,test!$A$3:$F$32,2,FALSE))&lt;test!$K$16,$A76&lt;&gt;L$1,Recharged_Feasible_mat!M45=1),(VLOOKUP(L$1,test!$A$3:$I$32,8,FALSE))-(VLOOKUP($A76,test!$A$3:$I$32,9,FALSE))-test!$B$34,0)</f>
        <v>0</v>
      </c>
      <c r="M76">
        <f>IF(AND(SUM(VLOOKUP($A76,test!$A$3:$F$32,2,FALSE),VLOOKUP(M$1,test!$A$3:$F$32,2,FALSE))&lt;test!$K$16,$A76&lt;&gt;M$1,Recharged_Feasible_mat!N45=1),(VLOOKUP(M$1,test!$A$3:$I$32,8,FALSE))-(VLOOKUP($A76,test!$A$3:$I$32,9,FALSE))-test!$B$34,0)</f>
        <v>0</v>
      </c>
      <c r="N76">
        <f>IF(AND(SUM(VLOOKUP($A76,test!$A$3:$F$32,2,FALSE),VLOOKUP(N$1,test!$A$3:$F$32,2,FALSE))&lt;test!$K$16,$A76&lt;&gt;N$1,Recharged_Feasible_mat!O45=1),(VLOOKUP(N$1,test!$A$3:$I$32,8,FALSE))-(VLOOKUP($A76,test!$A$3:$I$32,9,FALSE))-test!$B$34,0)</f>
        <v>0</v>
      </c>
      <c r="O76">
        <f>IF(AND(SUM(VLOOKUP($A76,test!$A$3:$F$32,2,FALSE),VLOOKUP(O$1,test!$A$3:$F$32,2,FALSE))&lt;test!$K$16,$A76&lt;&gt;O$1,Recharged_Feasible_mat!P45=1),(VLOOKUP(O$1,test!$A$3:$I$32,8,FALSE))-(VLOOKUP($A76,test!$A$3:$I$32,9,FALSE))-test!$B$34,0)</f>
        <v>0</v>
      </c>
      <c r="P76">
        <f>IF(AND(SUM(VLOOKUP($A76,test!$A$3:$F$32,2,FALSE),VLOOKUP(P$1,test!$A$3:$F$32,2,FALSE))&lt;test!$K$16,$A76&lt;&gt;P$1,Recharged_Feasible_mat!Q45=1),(VLOOKUP(P$1,test!$A$3:$I$32,8,FALSE))-(VLOOKUP($A76,test!$A$3:$I$32,9,FALSE))-test!$B$34,0)</f>
        <v>0</v>
      </c>
      <c r="Q76">
        <f>IF(AND(SUM(VLOOKUP($A76,test!$A$3:$F$32,2,FALSE),VLOOKUP(Q$1,test!$A$3:$F$32,2,FALSE))&lt;test!$K$16,$A76&lt;&gt;Q$1,Recharged_Feasible_mat!R45=1),(VLOOKUP(Q$1,test!$A$3:$I$32,8,FALSE))-(VLOOKUP($A76,test!$A$3:$I$32,9,FALSE))-test!$B$34,0)</f>
        <v>0</v>
      </c>
      <c r="R76">
        <f>IF(AND(SUM(VLOOKUP($A76,test!$A$3:$F$32,2,FALSE),VLOOKUP(R$1,test!$A$3:$F$32,2,FALSE))&lt;test!$K$16,$A76&lt;&gt;R$1,Recharged_Feasible_mat!S45=1),(VLOOKUP(R$1,test!$A$3:$I$32,8,FALSE))-(VLOOKUP($A76,test!$A$3:$I$32,9,FALSE))-test!$B$34,0)</f>
        <v>0</v>
      </c>
      <c r="S76">
        <f>IF(AND(SUM(VLOOKUP($A76,test!$A$3:$F$32,2,FALSE),VLOOKUP(S$1,test!$A$3:$F$32,2,FALSE))&lt;test!$K$16,$A76&lt;&gt;S$1,Recharged_Feasible_mat!T45=1),(VLOOKUP(S$1,test!$A$3:$I$32,8,FALSE))-(VLOOKUP($A76,test!$A$3:$I$32,9,FALSE))-test!$B$34,0)</f>
        <v>0</v>
      </c>
      <c r="T76">
        <f>IF(AND(SUM(VLOOKUP($A76,test!$A$3:$F$32,2,FALSE),VLOOKUP(T$1,test!$A$3:$F$32,2,FALSE))&lt;test!$K$16,$A76&lt;&gt;T$1,Recharged_Feasible_mat!U45=1),(VLOOKUP(T$1,test!$A$3:$I$32,8,FALSE))-(VLOOKUP($A76,test!$A$3:$I$32,9,FALSE))-test!$B$34,0)</f>
        <v>0</v>
      </c>
      <c r="U76">
        <f>IF(AND(SUM(VLOOKUP($A76,test!$A$3:$F$32,2,FALSE),VLOOKUP(U$1,test!$A$3:$F$32,2,FALSE))&lt;test!$K$16,$A76&lt;&gt;U$1,Recharged_Feasible_mat!V45=1),(VLOOKUP(U$1,test!$A$3:$I$32,8,FALSE))-(VLOOKUP($A76,test!$A$3:$I$32,9,FALSE))-test!$B$34,0)</f>
        <v>0</v>
      </c>
      <c r="V76">
        <f>IF(AND(SUM(VLOOKUP($A76,test!$A$3:$F$32,2,FALSE),VLOOKUP(V$1,test!$A$3:$F$32,2,FALSE))&lt;test!$K$16,$A76&lt;&gt;V$1,Recharged_Feasible_mat!W45=1),(VLOOKUP(V$1,test!$A$3:$I$32,8,FALSE))-(VLOOKUP($A76,test!$A$3:$I$32,9,FALSE))-test!$B$34,0)</f>
        <v>0</v>
      </c>
      <c r="W76">
        <f>IF(AND(SUM(VLOOKUP($A76,test!$A$3:$F$32,2,FALSE),VLOOKUP(W$1,test!$A$3:$F$32,2,FALSE))&lt;test!$K$16,$A76&lt;&gt;W$1,Recharged_Feasible_mat!X45=1),(VLOOKUP(W$1,test!$A$3:$I$32,8,FALSE))-(VLOOKUP($A76,test!$A$3:$I$32,9,FALSE))-test!$B$34,0)</f>
        <v>0</v>
      </c>
      <c r="X76">
        <f>IF(AND(SUM(VLOOKUP($A76,test!$A$3:$F$32,2,FALSE),VLOOKUP(X$1,test!$A$3:$F$32,2,FALSE))&lt;test!$K$16,$A76&lt;&gt;X$1,Recharged_Feasible_mat!Y45=1),(VLOOKUP(X$1,test!$A$3:$I$32,8,FALSE))-(VLOOKUP($A76,test!$A$3:$I$32,9,FALSE))-test!$B$34,0)</f>
        <v>0</v>
      </c>
      <c r="Y76">
        <f>IF(AND(SUM(VLOOKUP($A76,test!$A$3:$F$32,2,FALSE),VLOOKUP(Y$1,test!$A$3:$F$32,2,FALSE))&lt;test!$K$16,$A76&lt;&gt;Y$1,Recharged_Feasible_mat!Z45=1),(VLOOKUP(Y$1,test!$A$3:$I$32,8,FALSE))-(VLOOKUP($A76,test!$A$3:$I$32,9,FALSE))-test!$B$34,0)</f>
        <v>0</v>
      </c>
      <c r="Z76">
        <f>IF(AND(SUM(VLOOKUP($A76,test!$A$3:$F$32,2,FALSE),VLOOKUP(Z$1,test!$A$3:$F$32,2,FALSE))&lt;test!$K$16,$A76&lt;&gt;Z$1,Recharged_Feasible_mat!AA45=1),(VLOOKUP(Z$1,test!$A$3:$I$32,8,FALSE))-(VLOOKUP($A76,test!$A$3:$I$32,9,FALSE))-test!$B$34,0)</f>
        <v>0</v>
      </c>
      <c r="AA76">
        <f>IF(AND(SUM(VLOOKUP($A76,test!$A$3:$F$32,2,FALSE),VLOOKUP(AA$1,test!$A$3:$F$32,2,FALSE))&lt;test!$K$16,$A76&lt;&gt;AA$1,Recharged_Feasible_mat!AB45=1),(VLOOKUP(AA$1,test!$A$3:$I$32,8,FALSE))-(VLOOKUP($A76,test!$A$3:$I$32,9,FALSE))-test!$B$34,0)</f>
        <v>0</v>
      </c>
      <c r="AB76">
        <f>IF(AND(SUM(VLOOKUP($A76,test!$A$3:$F$32,2,FALSE),VLOOKUP(AB$1,test!$A$3:$F$32,2,FALSE))&lt;test!$K$16,$A76&lt;&gt;AB$1,Recharged_Feasible_mat!AC45=1),(VLOOKUP(AB$1,test!$A$3:$I$32,8,FALSE))-(VLOOKUP($A76,test!$A$3:$I$32,9,FALSE))-test!$B$34,0)</f>
        <v>0</v>
      </c>
      <c r="AC76">
        <f>IF(AND(SUM(VLOOKUP($A76,test!$A$3:$F$32,2,FALSE),VLOOKUP(AC$1,test!$A$3:$F$32,2,FALSE))&lt;test!$K$16,$A76&lt;&gt;AC$1,Recharged_Feasible_mat!AD45=1),(VLOOKUP(AC$1,test!$A$3:$I$32,8,FALSE))-(VLOOKUP($A76,test!$A$3:$I$32,9,FALSE))-test!$B$34,0)</f>
        <v>0</v>
      </c>
      <c r="AD76">
        <f>IF(AND(SUM(VLOOKUP($A76,test!$A$3:$F$32,2,FALSE),VLOOKUP(AD$1,test!$A$3:$F$32,2,FALSE))&lt;test!$K$16,$A76&lt;&gt;AD$1,Recharged_Feasible_mat!AE45=1),(VLOOKUP(AD$1,test!$A$3:$I$32,8,FALSE))-(VLOOKUP($A76,test!$A$3:$I$32,9,FALSE))-test!$B$34,0)</f>
        <v>0</v>
      </c>
      <c r="AE76">
        <f>IF(AND(SUM(VLOOKUP($A76,test!$A$3:$F$32,2,FALSE),VLOOKUP(AE$1,test!$A$3:$F$32,2,FALSE))&lt;test!$K$16,$A76&lt;&gt;AE$1,Recharged_Feasible_mat!AF45=1),(VLOOKUP(AE$1,test!$A$3:$I$32,8,FALSE))-(VLOOKUP($A76,test!$A$3:$I$32,9,FALSE))-test!$B$34,0)</f>
        <v>0</v>
      </c>
      <c r="AF76">
        <f>IF(AND(SUM(VLOOKUP($A76,test!$A$3:$F$32,2,FALSE),VLOOKUP(AF$1,test!$A$3:$F$32,2,FALSE))&lt;test!$K$16,$A76&lt;&gt;AF$1,Recharged_Feasible_mat!AG45=1),(VLOOKUP(AF$1,test!$A$3:$I$32,8,FALSE))-(VLOOKUP($A76,test!$A$3:$I$32,9,FALSE))-test!$B$34,0)</f>
        <v>0</v>
      </c>
    </row>
    <row r="77" spans="1:32" x14ac:dyDescent="0.25">
      <c r="A77" t="s">
        <v>23</v>
      </c>
      <c r="B77">
        <v>0</v>
      </c>
      <c r="C77">
        <f>IF(AND(SUM(VLOOKUP($A77,test!$A$3:$F$32,2,FALSE),VLOOKUP(C$1,test!$A$3:$F$32,2,FALSE))&lt;test!$K$16,$A77&lt;&gt;C$1,Recharged_Feasible_mat!D46=1),(VLOOKUP(C$1,test!$A$3:$I$32,8,FALSE))-(VLOOKUP($A77,test!$A$3:$I$32,9,FALSE))-test!$B$34,0)</f>
        <v>0</v>
      </c>
      <c r="D77">
        <f>IF(AND(SUM(VLOOKUP($A77,test!$A$3:$F$32,2,FALSE),VLOOKUP(D$1,test!$A$3:$F$32,2,FALSE))&lt;test!$K$16,$A77&lt;&gt;D$1,Recharged_Feasible_mat!E46=1),(VLOOKUP(D$1,test!$A$3:$I$32,8,FALSE))-(VLOOKUP($A77,test!$A$3:$I$32,9,FALSE))-test!$B$34,0)</f>
        <v>0</v>
      </c>
      <c r="E77">
        <f>IF(AND(SUM(VLOOKUP($A77,test!$A$3:$F$32,2,FALSE),VLOOKUP(E$1,test!$A$3:$F$32,2,FALSE))&lt;test!$K$16,$A77&lt;&gt;E$1,Recharged_Feasible_mat!F46=1),(VLOOKUP(E$1,test!$A$3:$I$32,8,FALSE))-(VLOOKUP($A77,test!$A$3:$I$32,9,FALSE))-test!$B$34,0)</f>
        <v>0</v>
      </c>
      <c r="F77">
        <f>IF(AND(SUM(VLOOKUP($A77,test!$A$3:$F$32,2,FALSE),VLOOKUP(F$1,test!$A$3:$F$32,2,FALSE))&lt;test!$K$16,$A77&lt;&gt;F$1,Recharged_Feasible_mat!G46=1),(VLOOKUP(F$1,test!$A$3:$I$32,8,FALSE))-(VLOOKUP($A77,test!$A$3:$I$32,9,FALSE))-test!$B$34,0)</f>
        <v>0</v>
      </c>
      <c r="G77">
        <f>IF(AND(SUM(VLOOKUP($A77,test!$A$3:$F$32,2,FALSE),VLOOKUP(G$1,test!$A$3:$F$32,2,FALSE))&lt;test!$K$16,$A77&lt;&gt;G$1,Recharged_Feasible_mat!H46=1),(VLOOKUP(G$1,test!$A$3:$I$32,8,FALSE))-(VLOOKUP($A77,test!$A$3:$I$32,9,FALSE))-test!$B$34,0)</f>
        <v>0</v>
      </c>
      <c r="H77">
        <f>IF(AND(SUM(VLOOKUP($A77,test!$A$3:$F$32,2,FALSE),VLOOKUP(H$1,test!$A$3:$F$32,2,FALSE))&lt;test!$K$16,$A77&lt;&gt;H$1,Recharged_Feasible_mat!I46=1),(VLOOKUP(H$1,test!$A$3:$I$32,8,FALSE))-(VLOOKUP($A77,test!$A$3:$I$32,9,FALSE))-test!$B$34,0)</f>
        <v>0</v>
      </c>
      <c r="I77">
        <f>IF(AND(SUM(VLOOKUP($A77,test!$A$3:$F$32,2,FALSE),VLOOKUP(I$1,test!$A$3:$F$32,2,FALSE))&lt;test!$K$16,$A77&lt;&gt;I$1,Recharged_Feasible_mat!J46=1),(VLOOKUP(I$1,test!$A$3:$I$32,8,FALSE))-(VLOOKUP($A77,test!$A$3:$I$32,9,FALSE))-test!$B$34,0)</f>
        <v>0</v>
      </c>
      <c r="J77">
        <f>IF(AND(SUM(VLOOKUP($A77,test!$A$3:$F$32,2,FALSE),VLOOKUP(J$1,test!$A$3:$F$32,2,FALSE))&lt;test!$K$16,$A77&lt;&gt;J$1,Recharged_Feasible_mat!K46=1),(VLOOKUP(J$1,test!$A$3:$I$32,8,FALSE))-(VLOOKUP($A77,test!$A$3:$I$32,9,FALSE))-test!$B$34,0)</f>
        <v>0</v>
      </c>
      <c r="K77">
        <f>IF(AND(SUM(VLOOKUP($A77,test!$A$3:$F$32,2,FALSE),VLOOKUP(K$1,test!$A$3:$F$32,2,FALSE))&lt;test!$K$16,$A77&lt;&gt;K$1,Recharged_Feasible_mat!L46=1),(VLOOKUP(K$1,test!$A$3:$I$32,8,FALSE))-(VLOOKUP($A77,test!$A$3:$I$32,9,FALSE))-test!$B$34,0)</f>
        <v>0</v>
      </c>
      <c r="L77">
        <f>IF(AND(SUM(VLOOKUP($A77,test!$A$3:$F$32,2,FALSE),VLOOKUP(L$1,test!$A$3:$F$32,2,FALSE))&lt;test!$K$16,$A77&lt;&gt;L$1,Recharged_Feasible_mat!M46=1),(VLOOKUP(L$1,test!$A$3:$I$32,8,FALSE))-(VLOOKUP($A77,test!$A$3:$I$32,9,FALSE))-test!$B$34,0)</f>
        <v>0</v>
      </c>
      <c r="M77">
        <f>IF(AND(SUM(VLOOKUP($A77,test!$A$3:$F$32,2,FALSE),VLOOKUP(M$1,test!$A$3:$F$32,2,FALSE))&lt;test!$K$16,$A77&lt;&gt;M$1,Recharged_Feasible_mat!N46=1),(VLOOKUP(M$1,test!$A$3:$I$32,8,FALSE))-(VLOOKUP($A77,test!$A$3:$I$32,9,FALSE))-test!$B$34,0)</f>
        <v>0</v>
      </c>
      <c r="N77">
        <f>IF(AND(SUM(VLOOKUP($A77,test!$A$3:$F$32,2,FALSE),VLOOKUP(N$1,test!$A$3:$F$32,2,FALSE))&lt;test!$K$16,$A77&lt;&gt;N$1,Recharged_Feasible_mat!O46=1),(VLOOKUP(N$1,test!$A$3:$I$32,8,FALSE))-(VLOOKUP($A77,test!$A$3:$I$32,9,FALSE))-test!$B$34,0)</f>
        <v>0</v>
      </c>
      <c r="O77">
        <f>IF(AND(SUM(VLOOKUP($A77,test!$A$3:$F$32,2,FALSE),VLOOKUP(O$1,test!$A$3:$F$32,2,FALSE))&lt;test!$K$16,$A77&lt;&gt;O$1,Recharged_Feasible_mat!P46=1),(VLOOKUP(O$1,test!$A$3:$I$32,8,FALSE))-(VLOOKUP($A77,test!$A$3:$I$32,9,FALSE))-test!$B$34,0)</f>
        <v>0</v>
      </c>
      <c r="P77">
        <f>IF(AND(SUM(VLOOKUP($A77,test!$A$3:$F$32,2,FALSE),VLOOKUP(P$1,test!$A$3:$F$32,2,FALSE))&lt;test!$K$16,$A77&lt;&gt;P$1,Recharged_Feasible_mat!Q46=1),(VLOOKUP(P$1,test!$A$3:$I$32,8,FALSE))-(VLOOKUP($A77,test!$A$3:$I$32,9,FALSE))-test!$B$34,0)</f>
        <v>0</v>
      </c>
      <c r="Q77">
        <f>IF(AND(SUM(VLOOKUP($A77,test!$A$3:$F$32,2,FALSE),VLOOKUP(Q$1,test!$A$3:$F$32,2,FALSE))&lt;test!$K$16,$A77&lt;&gt;Q$1,Recharged_Feasible_mat!R46=1),(VLOOKUP(Q$1,test!$A$3:$I$32,8,FALSE))-(VLOOKUP($A77,test!$A$3:$I$32,9,FALSE))-test!$B$34,0)</f>
        <v>0</v>
      </c>
      <c r="R77">
        <f>IF(AND(SUM(VLOOKUP($A77,test!$A$3:$F$32,2,FALSE),VLOOKUP(R$1,test!$A$3:$F$32,2,FALSE))&lt;test!$K$16,$A77&lt;&gt;R$1,Recharged_Feasible_mat!S46=1),(VLOOKUP(R$1,test!$A$3:$I$32,8,FALSE))-(VLOOKUP($A77,test!$A$3:$I$32,9,FALSE))-test!$B$34,0)</f>
        <v>0</v>
      </c>
      <c r="S77">
        <f>IF(AND(SUM(VLOOKUP($A77,test!$A$3:$F$32,2,FALSE),VLOOKUP(S$1,test!$A$3:$F$32,2,FALSE))&lt;test!$K$16,$A77&lt;&gt;S$1,Recharged_Feasible_mat!T46=1),(VLOOKUP(S$1,test!$A$3:$I$32,8,FALSE))-(VLOOKUP($A77,test!$A$3:$I$32,9,FALSE))-test!$B$34,0)</f>
        <v>0</v>
      </c>
      <c r="T77">
        <f>IF(AND(SUM(VLOOKUP($A77,test!$A$3:$F$32,2,FALSE),VLOOKUP(T$1,test!$A$3:$F$32,2,FALSE))&lt;test!$K$16,$A77&lt;&gt;T$1,Recharged_Feasible_mat!U46=1),(VLOOKUP(T$1,test!$A$3:$I$32,8,FALSE))-(VLOOKUP($A77,test!$A$3:$I$32,9,FALSE))-test!$B$34,0)</f>
        <v>0</v>
      </c>
      <c r="U77">
        <f>IF(AND(SUM(VLOOKUP($A77,test!$A$3:$F$32,2,FALSE),VLOOKUP(U$1,test!$A$3:$F$32,2,FALSE))&lt;test!$K$16,$A77&lt;&gt;U$1,Recharged_Feasible_mat!V46=1),(VLOOKUP(U$1,test!$A$3:$I$32,8,FALSE))-(VLOOKUP($A77,test!$A$3:$I$32,9,FALSE))-test!$B$34,0)</f>
        <v>0</v>
      </c>
      <c r="V77">
        <f>IF(AND(SUM(VLOOKUP($A77,test!$A$3:$F$32,2,FALSE),VLOOKUP(V$1,test!$A$3:$F$32,2,FALSE))&lt;test!$K$16,$A77&lt;&gt;V$1,Recharged_Feasible_mat!W46=1),(VLOOKUP(V$1,test!$A$3:$I$32,8,FALSE))-(VLOOKUP($A77,test!$A$3:$I$32,9,FALSE))-test!$B$34,0)</f>
        <v>0</v>
      </c>
      <c r="W77">
        <f>IF(AND(SUM(VLOOKUP($A77,test!$A$3:$F$32,2,FALSE),VLOOKUP(W$1,test!$A$3:$F$32,2,FALSE))&lt;test!$K$16,$A77&lt;&gt;W$1,Recharged_Feasible_mat!X46=1),(VLOOKUP(W$1,test!$A$3:$I$32,8,FALSE))-(VLOOKUP($A77,test!$A$3:$I$32,9,FALSE))-test!$B$34,0)</f>
        <v>0</v>
      </c>
      <c r="X77">
        <f>IF(AND(SUM(VLOOKUP($A77,test!$A$3:$F$32,2,FALSE),VLOOKUP(X$1,test!$A$3:$F$32,2,FALSE))&lt;test!$K$16,$A77&lt;&gt;X$1,Recharged_Feasible_mat!Y46=1),(VLOOKUP(X$1,test!$A$3:$I$32,8,FALSE))-(VLOOKUP($A77,test!$A$3:$I$32,9,FALSE))-test!$B$34,0)</f>
        <v>0</v>
      </c>
      <c r="Y77">
        <f>IF(AND(SUM(VLOOKUP($A77,test!$A$3:$F$32,2,FALSE),VLOOKUP(Y$1,test!$A$3:$F$32,2,FALSE))&lt;test!$K$16,$A77&lt;&gt;Y$1,Recharged_Feasible_mat!Z46=1),(VLOOKUP(Y$1,test!$A$3:$I$32,8,FALSE))-(VLOOKUP($A77,test!$A$3:$I$32,9,FALSE))-test!$B$34,0)</f>
        <v>0</v>
      </c>
      <c r="Z77">
        <f>IF(AND(SUM(VLOOKUP($A77,test!$A$3:$F$32,2,FALSE),VLOOKUP(Z$1,test!$A$3:$F$32,2,FALSE))&lt;test!$K$16,$A77&lt;&gt;Z$1,Recharged_Feasible_mat!AA46=1),(VLOOKUP(Z$1,test!$A$3:$I$32,8,FALSE))-(VLOOKUP($A77,test!$A$3:$I$32,9,FALSE))-test!$B$34,0)</f>
        <v>0</v>
      </c>
      <c r="AA77">
        <f>IF(AND(SUM(VLOOKUP($A77,test!$A$3:$F$32,2,FALSE),VLOOKUP(AA$1,test!$A$3:$F$32,2,FALSE))&lt;test!$K$16,$A77&lt;&gt;AA$1,Recharged_Feasible_mat!AB46=1),(VLOOKUP(AA$1,test!$A$3:$I$32,8,FALSE))-(VLOOKUP($A77,test!$A$3:$I$32,9,FALSE))-test!$B$34,0)</f>
        <v>0</v>
      </c>
      <c r="AB77">
        <f>IF(AND(SUM(VLOOKUP($A77,test!$A$3:$F$32,2,FALSE),VLOOKUP(AB$1,test!$A$3:$F$32,2,FALSE))&lt;test!$K$16,$A77&lt;&gt;AB$1,Recharged_Feasible_mat!AC46=1),(VLOOKUP(AB$1,test!$A$3:$I$32,8,FALSE))-(VLOOKUP($A77,test!$A$3:$I$32,9,FALSE))-test!$B$34,0)</f>
        <v>0</v>
      </c>
      <c r="AC77">
        <f>IF(AND(SUM(VLOOKUP($A77,test!$A$3:$F$32,2,FALSE),VLOOKUP(AC$1,test!$A$3:$F$32,2,FALSE))&lt;test!$K$16,$A77&lt;&gt;AC$1,Recharged_Feasible_mat!AD46=1),(VLOOKUP(AC$1,test!$A$3:$I$32,8,FALSE))-(VLOOKUP($A77,test!$A$3:$I$32,9,FALSE))-test!$B$34,0)</f>
        <v>0</v>
      </c>
      <c r="AD77">
        <f>IF(AND(SUM(VLOOKUP($A77,test!$A$3:$F$32,2,FALSE),VLOOKUP(AD$1,test!$A$3:$F$32,2,FALSE))&lt;test!$K$16,$A77&lt;&gt;AD$1,Recharged_Feasible_mat!AE46=1),(VLOOKUP(AD$1,test!$A$3:$I$32,8,FALSE))-(VLOOKUP($A77,test!$A$3:$I$32,9,FALSE))-test!$B$34,0)</f>
        <v>0</v>
      </c>
      <c r="AE77">
        <f>IF(AND(SUM(VLOOKUP($A77,test!$A$3:$F$32,2,FALSE),VLOOKUP(AE$1,test!$A$3:$F$32,2,FALSE))&lt;test!$K$16,$A77&lt;&gt;AE$1,Recharged_Feasible_mat!AF46=1),(VLOOKUP(AE$1,test!$A$3:$I$32,8,FALSE))-(VLOOKUP($A77,test!$A$3:$I$32,9,FALSE))-test!$B$34,0)</f>
        <v>0</v>
      </c>
      <c r="AF77">
        <f>IF(AND(SUM(VLOOKUP($A77,test!$A$3:$F$32,2,FALSE),VLOOKUP(AF$1,test!$A$3:$F$32,2,FALSE))&lt;test!$K$16,$A77&lt;&gt;AF$1,Recharged_Feasible_mat!AG46=1),(VLOOKUP(AF$1,test!$A$3:$I$32,8,FALSE))-(VLOOKUP($A77,test!$A$3:$I$32,9,FALSE))-test!$B$34,0)</f>
        <v>0</v>
      </c>
    </row>
    <row r="78" spans="1:32" x14ac:dyDescent="0.25">
      <c r="A78" t="s">
        <v>24</v>
      </c>
      <c r="B78">
        <v>0</v>
      </c>
      <c r="C78">
        <f>IF(AND(SUM(VLOOKUP($A78,test!$A$3:$F$32,2,FALSE),VLOOKUP(C$1,test!$A$3:$F$32,2,FALSE))&lt;test!$K$16,$A78&lt;&gt;C$1,Recharged_Feasible_mat!D47=1),(VLOOKUP(C$1,test!$A$3:$I$32,8,FALSE))-(VLOOKUP($A78,test!$A$3:$I$32,9,FALSE))-test!$B$34,0)</f>
        <v>0</v>
      </c>
      <c r="D78">
        <f>IF(AND(SUM(VLOOKUP($A78,test!$A$3:$F$32,2,FALSE),VLOOKUP(D$1,test!$A$3:$F$32,2,FALSE))&lt;test!$K$16,$A78&lt;&gt;D$1,Recharged_Feasible_mat!E47=1),(VLOOKUP(D$1,test!$A$3:$I$32,8,FALSE))-(VLOOKUP($A78,test!$A$3:$I$32,9,FALSE))-test!$B$34,0)</f>
        <v>0</v>
      </c>
      <c r="E78">
        <f>IF(AND(SUM(VLOOKUP($A78,test!$A$3:$F$32,2,FALSE),VLOOKUP(E$1,test!$A$3:$F$32,2,FALSE))&lt;test!$K$16,$A78&lt;&gt;E$1,Recharged_Feasible_mat!F47=1),(VLOOKUP(E$1,test!$A$3:$I$32,8,FALSE))-(VLOOKUP($A78,test!$A$3:$I$32,9,FALSE))-test!$B$34,0)</f>
        <v>0</v>
      </c>
      <c r="F78">
        <f>IF(AND(SUM(VLOOKUP($A78,test!$A$3:$F$32,2,FALSE),VLOOKUP(F$1,test!$A$3:$F$32,2,FALSE))&lt;test!$K$16,$A78&lt;&gt;F$1,Recharged_Feasible_mat!G47=1),(VLOOKUP(F$1,test!$A$3:$I$32,8,FALSE))-(VLOOKUP($A78,test!$A$3:$I$32,9,FALSE))-test!$B$34,0)</f>
        <v>75</v>
      </c>
      <c r="G78">
        <f>IF(AND(SUM(VLOOKUP($A78,test!$A$3:$F$32,2,FALSE),VLOOKUP(G$1,test!$A$3:$F$32,2,FALSE))&lt;test!$K$16,$A78&lt;&gt;G$1,Recharged_Feasible_mat!H47=1),(VLOOKUP(G$1,test!$A$3:$I$32,8,FALSE))-(VLOOKUP($A78,test!$A$3:$I$32,9,FALSE))-test!$B$34,0)</f>
        <v>135</v>
      </c>
      <c r="H78">
        <f>IF(AND(SUM(VLOOKUP($A78,test!$A$3:$F$32,2,FALSE),VLOOKUP(H$1,test!$A$3:$F$32,2,FALSE))&lt;test!$K$16,$A78&lt;&gt;H$1,Recharged_Feasible_mat!I47=1),(VLOOKUP(H$1,test!$A$3:$I$32,8,FALSE))-(VLOOKUP($A78,test!$A$3:$I$32,9,FALSE))-test!$B$34,0)</f>
        <v>195</v>
      </c>
      <c r="I78">
        <f>IF(AND(SUM(VLOOKUP($A78,test!$A$3:$F$32,2,FALSE),VLOOKUP(I$1,test!$A$3:$F$32,2,FALSE))&lt;test!$K$16,$A78&lt;&gt;I$1,Recharged_Feasible_mat!J47=1),(VLOOKUP(I$1,test!$A$3:$I$32,8,FALSE))-(VLOOKUP($A78,test!$A$3:$I$32,9,FALSE))-test!$B$34,0)</f>
        <v>255</v>
      </c>
      <c r="J78">
        <f>IF(AND(SUM(VLOOKUP($A78,test!$A$3:$F$32,2,FALSE),VLOOKUP(J$1,test!$A$3:$F$32,2,FALSE))&lt;test!$K$16,$A78&lt;&gt;J$1,Recharged_Feasible_mat!K47=1),(VLOOKUP(J$1,test!$A$3:$I$32,8,FALSE))-(VLOOKUP($A78,test!$A$3:$I$32,9,FALSE))-test!$B$34,0)</f>
        <v>345</v>
      </c>
      <c r="K78">
        <f>IF(AND(SUM(VLOOKUP($A78,test!$A$3:$F$32,2,FALSE),VLOOKUP(K$1,test!$A$3:$F$32,2,FALSE))&lt;test!$K$16,$A78&lt;&gt;K$1,Recharged_Feasible_mat!L47=1),(VLOOKUP(K$1,test!$A$3:$I$32,8,FALSE))-(VLOOKUP($A78,test!$A$3:$I$32,9,FALSE))-test!$B$34,0)</f>
        <v>0</v>
      </c>
      <c r="L78">
        <f>IF(AND(SUM(VLOOKUP($A78,test!$A$3:$F$32,2,FALSE),VLOOKUP(L$1,test!$A$3:$F$32,2,FALSE))&lt;test!$K$16,$A78&lt;&gt;L$1,Recharged_Feasible_mat!M47=1),(VLOOKUP(L$1,test!$A$3:$I$32,8,FALSE))-(VLOOKUP($A78,test!$A$3:$I$32,9,FALSE))-test!$B$34,0)</f>
        <v>0</v>
      </c>
      <c r="M78">
        <f>IF(AND(SUM(VLOOKUP($A78,test!$A$3:$F$32,2,FALSE),VLOOKUP(M$1,test!$A$3:$F$32,2,FALSE))&lt;test!$K$16,$A78&lt;&gt;M$1,Recharged_Feasible_mat!N47=1),(VLOOKUP(M$1,test!$A$3:$I$32,8,FALSE))-(VLOOKUP($A78,test!$A$3:$I$32,9,FALSE))-test!$B$34,0)</f>
        <v>0</v>
      </c>
      <c r="N78">
        <f>IF(AND(SUM(VLOOKUP($A78,test!$A$3:$F$32,2,FALSE),VLOOKUP(N$1,test!$A$3:$F$32,2,FALSE))&lt;test!$K$16,$A78&lt;&gt;N$1,Recharged_Feasible_mat!O47=1),(VLOOKUP(N$1,test!$A$3:$I$32,8,FALSE))-(VLOOKUP($A78,test!$A$3:$I$32,9,FALSE))-test!$B$34,0)</f>
        <v>0</v>
      </c>
      <c r="O78">
        <f>IF(AND(SUM(VLOOKUP($A78,test!$A$3:$F$32,2,FALSE),VLOOKUP(O$1,test!$A$3:$F$32,2,FALSE))&lt;test!$K$16,$A78&lt;&gt;O$1,Recharged_Feasible_mat!P47=1),(VLOOKUP(O$1,test!$A$3:$I$32,8,FALSE))-(VLOOKUP($A78,test!$A$3:$I$32,9,FALSE))-test!$B$34,0)</f>
        <v>0</v>
      </c>
      <c r="P78">
        <f>IF(AND(SUM(VLOOKUP($A78,test!$A$3:$F$32,2,FALSE),VLOOKUP(P$1,test!$A$3:$F$32,2,FALSE))&lt;test!$K$16,$A78&lt;&gt;P$1,Recharged_Feasible_mat!Q47=1),(VLOOKUP(P$1,test!$A$3:$I$32,8,FALSE))-(VLOOKUP($A78,test!$A$3:$I$32,9,FALSE))-test!$B$34,0)</f>
        <v>0</v>
      </c>
      <c r="Q78">
        <f>IF(AND(SUM(VLOOKUP($A78,test!$A$3:$F$32,2,FALSE),VLOOKUP(Q$1,test!$A$3:$F$32,2,FALSE))&lt;test!$K$16,$A78&lt;&gt;Q$1,Recharged_Feasible_mat!R47=1),(VLOOKUP(Q$1,test!$A$3:$I$32,8,FALSE))-(VLOOKUP($A78,test!$A$3:$I$32,9,FALSE))-test!$B$34,0)</f>
        <v>0</v>
      </c>
      <c r="R78">
        <f>IF(AND(SUM(VLOOKUP($A78,test!$A$3:$F$32,2,FALSE),VLOOKUP(R$1,test!$A$3:$F$32,2,FALSE))&lt;test!$K$16,$A78&lt;&gt;R$1,Recharged_Feasible_mat!S47=1),(VLOOKUP(R$1,test!$A$3:$I$32,8,FALSE))-(VLOOKUP($A78,test!$A$3:$I$32,9,FALSE))-test!$B$34,0)</f>
        <v>0</v>
      </c>
      <c r="S78">
        <f>IF(AND(SUM(VLOOKUP($A78,test!$A$3:$F$32,2,FALSE),VLOOKUP(S$1,test!$A$3:$F$32,2,FALSE))&lt;test!$K$16,$A78&lt;&gt;S$1,Recharged_Feasible_mat!T47=1),(VLOOKUP(S$1,test!$A$3:$I$32,8,FALSE))-(VLOOKUP($A78,test!$A$3:$I$32,9,FALSE))-test!$B$34,0)</f>
        <v>0</v>
      </c>
      <c r="T78">
        <f>IF(AND(SUM(VLOOKUP($A78,test!$A$3:$F$32,2,FALSE),VLOOKUP(T$1,test!$A$3:$F$32,2,FALSE))&lt;test!$K$16,$A78&lt;&gt;T$1,Recharged_Feasible_mat!U47=1),(VLOOKUP(T$1,test!$A$3:$I$32,8,FALSE))-(VLOOKUP($A78,test!$A$3:$I$32,9,FALSE))-test!$B$34,0)</f>
        <v>0</v>
      </c>
      <c r="U78">
        <f>IF(AND(SUM(VLOOKUP($A78,test!$A$3:$F$32,2,FALSE),VLOOKUP(U$1,test!$A$3:$F$32,2,FALSE))&lt;test!$K$16,$A78&lt;&gt;U$1,Recharged_Feasible_mat!V47=1),(VLOOKUP(U$1,test!$A$3:$I$32,8,FALSE))-(VLOOKUP($A78,test!$A$3:$I$32,9,FALSE))-test!$B$34,0)</f>
        <v>55</v>
      </c>
      <c r="V78">
        <f>IF(AND(SUM(VLOOKUP($A78,test!$A$3:$F$32,2,FALSE),VLOOKUP(V$1,test!$A$3:$F$32,2,FALSE))&lt;test!$K$16,$A78&lt;&gt;V$1,Recharged_Feasible_mat!W47=1),(VLOOKUP(V$1,test!$A$3:$I$32,8,FALSE))-(VLOOKUP($A78,test!$A$3:$I$32,9,FALSE))-test!$B$34,0)</f>
        <v>145</v>
      </c>
      <c r="W78">
        <f>IF(AND(SUM(VLOOKUP($A78,test!$A$3:$F$32,2,FALSE),VLOOKUP(W$1,test!$A$3:$F$32,2,FALSE))&lt;test!$K$16,$A78&lt;&gt;W$1,Recharged_Feasible_mat!X47=1),(VLOOKUP(W$1,test!$A$3:$I$32,8,FALSE))-(VLOOKUP($A78,test!$A$3:$I$32,9,FALSE))-test!$B$34,0)</f>
        <v>235</v>
      </c>
      <c r="X78">
        <f>IF(AND(SUM(VLOOKUP($A78,test!$A$3:$F$32,2,FALSE),VLOOKUP(X$1,test!$A$3:$F$32,2,FALSE))&lt;test!$K$16,$A78&lt;&gt;X$1,Recharged_Feasible_mat!Y47=1),(VLOOKUP(X$1,test!$A$3:$I$32,8,FALSE))-(VLOOKUP($A78,test!$A$3:$I$32,9,FALSE))-test!$B$34,0)</f>
        <v>295</v>
      </c>
      <c r="Y78">
        <f>IF(AND(SUM(VLOOKUP($A78,test!$A$3:$F$32,2,FALSE),VLOOKUP(Y$1,test!$A$3:$F$32,2,FALSE))&lt;test!$K$16,$A78&lt;&gt;Y$1,Recharged_Feasible_mat!Z47=1),(VLOOKUP(Y$1,test!$A$3:$I$32,8,FALSE))-(VLOOKUP($A78,test!$A$3:$I$32,9,FALSE))-test!$B$34,0)</f>
        <v>0</v>
      </c>
      <c r="Z78">
        <f>IF(AND(SUM(VLOOKUP($A78,test!$A$3:$F$32,2,FALSE),VLOOKUP(Z$1,test!$A$3:$F$32,2,FALSE))&lt;test!$K$16,$A78&lt;&gt;Z$1,Recharged_Feasible_mat!AA47=1),(VLOOKUP(Z$1,test!$A$3:$I$32,8,FALSE))-(VLOOKUP($A78,test!$A$3:$I$32,9,FALSE))-test!$B$34,0)</f>
        <v>0</v>
      </c>
      <c r="AA78">
        <f>IF(AND(SUM(VLOOKUP($A78,test!$A$3:$F$32,2,FALSE),VLOOKUP(AA$1,test!$A$3:$F$32,2,FALSE))&lt;test!$K$16,$A78&lt;&gt;AA$1,Recharged_Feasible_mat!AB47=1),(VLOOKUP(AA$1,test!$A$3:$I$32,8,FALSE))-(VLOOKUP($A78,test!$A$3:$I$32,9,FALSE))-test!$B$34,0)</f>
        <v>0</v>
      </c>
      <c r="AB78">
        <f>IF(AND(SUM(VLOOKUP($A78,test!$A$3:$F$32,2,FALSE),VLOOKUP(AB$1,test!$A$3:$F$32,2,FALSE))&lt;test!$K$16,$A78&lt;&gt;AB$1,Recharged_Feasible_mat!AC47=1),(VLOOKUP(AB$1,test!$A$3:$I$32,8,FALSE))-(VLOOKUP($A78,test!$A$3:$I$32,9,FALSE))-test!$B$34,0)</f>
        <v>0</v>
      </c>
      <c r="AC78">
        <f>IF(AND(SUM(VLOOKUP($A78,test!$A$3:$F$32,2,FALSE),VLOOKUP(AC$1,test!$A$3:$F$32,2,FALSE))&lt;test!$K$16,$A78&lt;&gt;AC$1,Recharged_Feasible_mat!AD47=1),(VLOOKUP(AC$1,test!$A$3:$I$32,8,FALSE))-(VLOOKUP($A78,test!$A$3:$I$32,9,FALSE))-test!$B$34,0)</f>
        <v>0</v>
      </c>
      <c r="AD78">
        <f>IF(AND(SUM(VLOOKUP($A78,test!$A$3:$F$32,2,FALSE),VLOOKUP(AD$1,test!$A$3:$F$32,2,FALSE))&lt;test!$K$16,$A78&lt;&gt;AD$1,Recharged_Feasible_mat!AE47=1),(VLOOKUP(AD$1,test!$A$3:$I$32,8,FALSE))-(VLOOKUP($A78,test!$A$3:$I$32,9,FALSE))-test!$B$34,0)</f>
        <v>0</v>
      </c>
      <c r="AE78">
        <f>IF(AND(SUM(VLOOKUP($A78,test!$A$3:$F$32,2,FALSE),VLOOKUP(AE$1,test!$A$3:$F$32,2,FALSE))&lt;test!$K$16,$A78&lt;&gt;AE$1,Recharged_Feasible_mat!AF47=1),(VLOOKUP(AE$1,test!$A$3:$I$32,8,FALSE))-(VLOOKUP($A78,test!$A$3:$I$32,9,FALSE))-test!$B$34,0)</f>
        <v>0</v>
      </c>
      <c r="AF78">
        <f>IF(AND(SUM(VLOOKUP($A78,test!$A$3:$F$32,2,FALSE),VLOOKUP(AF$1,test!$A$3:$F$32,2,FALSE))&lt;test!$K$16,$A78&lt;&gt;AF$1,Recharged_Feasible_mat!AG47=1),(VLOOKUP(AF$1,test!$A$3:$I$32,8,FALSE))-(VLOOKUP($A78,test!$A$3:$I$32,9,FALSE))-test!$B$34,0)</f>
        <v>0</v>
      </c>
    </row>
    <row r="79" spans="1:32" x14ac:dyDescent="0.25">
      <c r="A79" t="s">
        <v>26</v>
      </c>
      <c r="B79">
        <v>0</v>
      </c>
      <c r="C79">
        <f>IF(AND(SUM(VLOOKUP($A79,test!$A$3:$F$32,2,FALSE),VLOOKUP(C$1,test!$A$3:$F$32,2,FALSE))&lt;test!$K$16,$A79&lt;&gt;C$1,Recharged_Feasible_mat!D48=1),(VLOOKUP(C$1,test!$A$3:$I$32,8,FALSE))-(VLOOKUP($A79,test!$A$3:$I$32,9,FALSE))-test!$B$34,0)</f>
        <v>0</v>
      </c>
      <c r="D79">
        <f>IF(AND(SUM(VLOOKUP($A79,test!$A$3:$F$32,2,FALSE),VLOOKUP(D$1,test!$A$3:$F$32,2,FALSE))&lt;test!$K$16,$A79&lt;&gt;D$1,Recharged_Feasible_mat!E48=1),(VLOOKUP(D$1,test!$A$3:$I$32,8,FALSE))-(VLOOKUP($A79,test!$A$3:$I$32,9,FALSE))-test!$B$34,0)</f>
        <v>0</v>
      </c>
      <c r="E79">
        <f>IF(AND(SUM(VLOOKUP($A79,test!$A$3:$F$32,2,FALSE),VLOOKUP(E$1,test!$A$3:$F$32,2,FALSE))&lt;test!$K$16,$A79&lt;&gt;E$1,Recharged_Feasible_mat!F48=1),(VLOOKUP(E$1,test!$A$3:$I$32,8,FALSE))-(VLOOKUP($A79,test!$A$3:$I$32,9,FALSE))-test!$B$34,0)</f>
        <v>80</v>
      </c>
      <c r="F79">
        <f>IF(AND(SUM(VLOOKUP($A79,test!$A$3:$F$32,2,FALSE),VLOOKUP(F$1,test!$A$3:$F$32,2,FALSE))&lt;test!$K$16,$A79&lt;&gt;F$1,Recharged_Feasible_mat!G48=1),(VLOOKUP(F$1,test!$A$3:$I$32,8,FALSE))-(VLOOKUP($A79,test!$A$3:$I$32,9,FALSE))-test!$B$34,0)</f>
        <v>170</v>
      </c>
      <c r="G79">
        <f>IF(AND(SUM(VLOOKUP($A79,test!$A$3:$F$32,2,FALSE),VLOOKUP(G$1,test!$A$3:$F$32,2,FALSE))&lt;test!$K$16,$A79&lt;&gt;G$1,Recharged_Feasible_mat!H48=1),(VLOOKUP(G$1,test!$A$3:$I$32,8,FALSE))-(VLOOKUP($A79,test!$A$3:$I$32,9,FALSE))-test!$B$34,0)</f>
        <v>230</v>
      </c>
      <c r="H79">
        <f>IF(AND(SUM(VLOOKUP($A79,test!$A$3:$F$32,2,FALSE),VLOOKUP(H$1,test!$A$3:$F$32,2,FALSE))&lt;test!$K$16,$A79&lt;&gt;H$1,Recharged_Feasible_mat!I48=1),(VLOOKUP(H$1,test!$A$3:$I$32,8,FALSE))-(VLOOKUP($A79,test!$A$3:$I$32,9,FALSE))-test!$B$34,0)</f>
        <v>290</v>
      </c>
      <c r="I79">
        <f>IF(AND(SUM(VLOOKUP($A79,test!$A$3:$F$32,2,FALSE),VLOOKUP(I$1,test!$A$3:$F$32,2,FALSE))&lt;test!$K$16,$A79&lt;&gt;I$1,Recharged_Feasible_mat!J48=1),(VLOOKUP(I$1,test!$A$3:$I$32,8,FALSE))-(VLOOKUP($A79,test!$A$3:$I$32,9,FALSE))-test!$B$34,0)</f>
        <v>350</v>
      </c>
      <c r="J79">
        <f>IF(AND(SUM(VLOOKUP($A79,test!$A$3:$F$32,2,FALSE),VLOOKUP(J$1,test!$A$3:$F$32,2,FALSE))&lt;test!$K$16,$A79&lt;&gt;J$1,Recharged_Feasible_mat!K48=1),(VLOOKUP(J$1,test!$A$3:$I$32,8,FALSE))-(VLOOKUP($A79,test!$A$3:$I$32,9,FALSE))-test!$B$34,0)</f>
        <v>440</v>
      </c>
      <c r="K79">
        <f>IF(AND(SUM(VLOOKUP($A79,test!$A$3:$F$32,2,FALSE),VLOOKUP(K$1,test!$A$3:$F$32,2,FALSE))&lt;test!$K$16,$A79&lt;&gt;K$1,Recharged_Feasible_mat!L48=1),(VLOOKUP(K$1,test!$A$3:$I$32,8,FALSE))-(VLOOKUP($A79,test!$A$3:$I$32,9,FALSE))-test!$B$34,0)</f>
        <v>0</v>
      </c>
      <c r="L79">
        <f>IF(AND(SUM(VLOOKUP($A79,test!$A$3:$F$32,2,FALSE),VLOOKUP(L$1,test!$A$3:$F$32,2,FALSE))&lt;test!$K$16,$A79&lt;&gt;L$1,Recharged_Feasible_mat!M48=1),(VLOOKUP(L$1,test!$A$3:$I$32,8,FALSE))-(VLOOKUP($A79,test!$A$3:$I$32,9,FALSE))-test!$B$34,0)</f>
        <v>0</v>
      </c>
      <c r="M79">
        <f>IF(AND(SUM(VLOOKUP($A79,test!$A$3:$F$32,2,FALSE),VLOOKUP(M$1,test!$A$3:$F$32,2,FALSE))&lt;test!$K$16,$A79&lt;&gt;M$1,Recharged_Feasible_mat!N48=1),(VLOOKUP(M$1,test!$A$3:$I$32,8,FALSE))-(VLOOKUP($A79,test!$A$3:$I$32,9,FALSE))-test!$B$34,0)</f>
        <v>45</v>
      </c>
      <c r="N79">
        <f>IF(AND(SUM(VLOOKUP($A79,test!$A$3:$F$32,2,FALSE),VLOOKUP(N$1,test!$A$3:$F$32,2,FALSE))&lt;test!$K$16,$A79&lt;&gt;N$1,Recharged_Feasible_mat!O48=1),(VLOOKUP(N$1,test!$A$3:$I$32,8,FALSE))-(VLOOKUP($A79,test!$A$3:$I$32,9,FALSE))-test!$B$34,0)</f>
        <v>405</v>
      </c>
      <c r="O79">
        <f>IF(AND(SUM(VLOOKUP($A79,test!$A$3:$F$32,2,FALSE),VLOOKUP(O$1,test!$A$3:$F$32,2,FALSE))&lt;test!$K$16,$A79&lt;&gt;O$1,Recharged_Feasible_mat!P48=1),(VLOOKUP(O$1,test!$A$3:$I$32,8,FALSE))-(VLOOKUP($A79,test!$A$3:$I$32,9,FALSE))-test!$B$34,0)</f>
        <v>465</v>
      </c>
      <c r="P79">
        <f>IF(AND(SUM(VLOOKUP($A79,test!$A$3:$F$32,2,FALSE),VLOOKUP(P$1,test!$A$3:$F$32,2,FALSE))&lt;test!$K$16,$A79&lt;&gt;P$1,Recharged_Feasible_mat!Q48=1),(VLOOKUP(P$1,test!$A$3:$I$32,8,FALSE))-(VLOOKUP($A79,test!$A$3:$I$32,9,FALSE))-test!$B$34,0)</f>
        <v>0</v>
      </c>
      <c r="Q79">
        <f>IF(AND(SUM(VLOOKUP($A79,test!$A$3:$F$32,2,FALSE),VLOOKUP(Q$1,test!$A$3:$F$32,2,FALSE))&lt;test!$K$16,$A79&lt;&gt;Q$1,Recharged_Feasible_mat!R48=1),(VLOOKUP(Q$1,test!$A$3:$I$32,8,FALSE))-(VLOOKUP($A79,test!$A$3:$I$32,9,FALSE))-test!$B$34,0)</f>
        <v>0</v>
      </c>
      <c r="R79">
        <f>IF(AND(SUM(VLOOKUP($A79,test!$A$3:$F$32,2,FALSE),VLOOKUP(R$1,test!$A$3:$F$32,2,FALSE))&lt;test!$K$16,$A79&lt;&gt;R$1,Recharged_Feasible_mat!S48=1),(VLOOKUP(R$1,test!$A$3:$I$32,8,FALSE))-(VLOOKUP($A79,test!$A$3:$I$32,9,FALSE))-test!$B$34,0)</f>
        <v>0</v>
      </c>
      <c r="S79">
        <f>IF(AND(SUM(VLOOKUP($A79,test!$A$3:$F$32,2,FALSE),VLOOKUP(S$1,test!$A$3:$F$32,2,FALSE))&lt;test!$K$16,$A79&lt;&gt;S$1,Recharged_Feasible_mat!T48=1),(VLOOKUP(S$1,test!$A$3:$I$32,8,FALSE))-(VLOOKUP($A79,test!$A$3:$I$32,9,FALSE))-test!$B$34,0)</f>
        <v>0</v>
      </c>
      <c r="T79">
        <f>IF(AND(SUM(VLOOKUP($A79,test!$A$3:$F$32,2,FALSE),VLOOKUP(T$1,test!$A$3:$F$32,2,FALSE))&lt;test!$K$16,$A79&lt;&gt;T$1,Recharged_Feasible_mat!U48=1),(VLOOKUP(T$1,test!$A$3:$I$32,8,FALSE))-(VLOOKUP($A79,test!$A$3:$I$32,9,FALSE))-test!$B$34,0)</f>
        <v>60</v>
      </c>
      <c r="U79">
        <f>IF(AND(SUM(VLOOKUP($A79,test!$A$3:$F$32,2,FALSE),VLOOKUP(U$1,test!$A$3:$F$32,2,FALSE))&lt;test!$K$16,$A79&lt;&gt;U$1,Recharged_Feasible_mat!V48=1),(VLOOKUP(U$1,test!$A$3:$I$32,8,FALSE))-(VLOOKUP($A79,test!$A$3:$I$32,9,FALSE))-test!$B$34,0)</f>
        <v>150</v>
      </c>
      <c r="V79">
        <f>IF(AND(SUM(VLOOKUP($A79,test!$A$3:$F$32,2,FALSE),VLOOKUP(V$1,test!$A$3:$F$32,2,FALSE))&lt;test!$K$16,$A79&lt;&gt;V$1,Recharged_Feasible_mat!W48=1),(VLOOKUP(V$1,test!$A$3:$I$32,8,FALSE))-(VLOOKUP($A79,test!$A$3:$I$32,9,FALSE))-test!$B$34,0)</f>
        <v>240</v>
      </c>
      <c r="W79">
        <f>IF(AND(SUM(VLOOKUP($A79,test!$A$3:$F$32,2,FALSE),VLOOKUP(W$1,test!$A$3:$F$32,2,FALSE))&lt;test!$K$16,$A79&lt;&gt;W$1,Recharged_Feasible_mat!X48=1),(VLOOKUP(W$1,test!$A$3:$I$32,8,FALSE))-(VLOOKUP($A79,test!$A$3:$I$32,9,FALSE))-test!$B$34,0)</f>
        <v>330</v>
      </c>
      <c r="X79">
        <f>IF(AND(SUM(VLOOKUP($A79,test!$A$3:$F$32,2,FALSE),VLOOKUP(X$1,test!$A$3:$F$32,2,FALSE))&lt;test!$K$16,$A79&lt;&gt;X$1,Recharged_Feasible_mat!Y48=1),(VLOOKUP(X$1,test!$A$3:$I$32,8,FALSE))-(VLOOKUP($A79,test!$A$3:$I$32,9,FALSE))-test!$B$34,0)</f>
        <v>390</v>
      </c>
      <c r="Y79">
        <f>IF(AND(SUM(VLOOKUP($A79,test!$A$3:$F$32,2,FALSE),VLOOKUP(Y$1,test!$A$3:$F$32,2,FALSE))&lt;test!$K$16,$A79&lt;&gt;Y$1,Recharged_Feasible_mat!Z48=1),(VLOOKUP(Y$1,test!$A$3:$I$32,8,FALSE))-(VLOOKUP($A79,test!$A$3:$I$32,9,FALSE))-test!$B$34,0)</f>
        <v>0</v>
      </c>
      <c r="Z79">
        <f>IF(AND(SUM(VLOOKUP($A79,test!$A$3:$F$32,2,FALSE),VLOOKUP(Z$1,test!$A$3:$F$32,2,FALSE))&lt;test!$K$16,$A79&lt;&gt;Z$1,Recharged_Feasible_mat!AA48=1),(VLOOKUP(Z$1,test!$A$3:$I$32,8,FALSE))-(VLOOKUP($A79,test!$A$3:$I$32,9,FALSE))-test!$B$34,0)</f>
        <v>0</v>
      </c>
      <c r="AA79">
        <f>IF(AND(SUM(VLOOKUP($A79,test!$A$3:$F$32,2,FALSE),VLOOKUP(AA$1,test!$A$3:$F$32,2,FALSE))&lt;test!$K$16,$A79&lt;&gt;AA$1,Recharged_Feasible_mat!AB48=1),(VLOOKUP(AA$1,test!$A$3:$I$32,8,FALSE))-(VLOOKUP($A79,test!$A$3:$I$32,9,FALSE))-test!$B$34,0)</f>
        <v>110</v>
      </c>
      <c r="AB79">
        <f>IF(AND(SUM(VLOOKUP($A79,test!$A$3:$F$32,2,FALSE),VLOOKUP(AB$1,test!$A$3:$F$32,2,FALSE))&lt;test!$K$16,$A79&lt;&gt;AB$1,Recharged_Feasible_mat!AC48=1),(VLOOKUP(AB$1,test!$A$3:$I$32,8,FALSE))-(VLOOKUP($A79,test!$A$3:$I$32,9,FALSE))-test!$B$34,0)</f>
        <v>170</v>
      </c>
      <c r="AC79">
        <f>IF(AND(SUM(VLOOKUP($A79,test!$A$3:$F$32,2,FALSE),VLOOKUP(AC$1,test!$A$3:$F$32,2,FALSE))&lt;test!$K$16,$A79&lt;&gt;AC$1,Recharged_Feasible_mat!AD48=1),(VLOOKUP(AC$1,test!$A$3:$I$32,8,FALSE))-(VLOOKUP($A79,test!$A$3:$I$32,9,FALSE))-test!$B$34,0)</f>
        <v>290</v>
      </c>
      <c r="AD79">
        <f>IF(AND(SUM(VLOOKUP($A79,test!$A$3:$F$32,2,FALSE),VLOOKUP(AD$1,test!$A$3:$F$32,2,FALSE))&lt;test!$K$16,$A79&lt;&gt;AD$1,Recharged_Feasible_mat!AE48=1),(VLOOKUP(AD$1,test!$A$3:$I$32,8,FALSE))-(VLOOKUP($A79,test!$A$3:$I$32,9,FALSE))-test!$B$34,0)</f>
        <v>0</v>
      </c>
      <c r="AE79">
        <f>IF(AND(SUM(VLOOKUP($A79,test!$A$3:$F$32,2,FALSE),VLOOKUP(AE$1,test!$A$3:$F$32,2,FALSE))&lt;test!$K$16,$A79&lt;&gt;AE$1,Recharged_Feasible_mat!AF48=1),(VLOOKUP(AE$1,test!$A$3:$I$32,8,FALSE))-(VLOOKUP($A79,test!$A$3:$I$32,9,FALSE))-test!$B$34,0)</f>
        <v>110</v>
      </c>
      <c r="AF79">
        <f>IF(AND(SUM(VLOOKUP($A79,test!$A$3:$F$32,2,FALSE),VLOOKUP(AF$1,test!$A$3:$F$32,2,FALSE))&lt;test!$K$16,$A79&lt;&gt;AF$1,Recharged_Feasible_mat!AG48=1),(VLOOKUP(AF$1,test!$A$3:$I$32,8,FALSE))-(VLOOKUP($A79,test!$A$3:$I$32,9,FALSE))-test!$B$34,0)</f>
        <v>0</v>
      </c>
    </row>
    <row r="80" spans="1:32" x14ac:dyDescent="0.25">
      <c r="A80" t="s">
        <v>27</v>
      </c>
      <c r="B80">
        <v>0</v>
      </c>
      <c r="C80">
        <f>IF(AND(SUM(VLOOKUP($A80,test!$A$3:$F$32,2,FALSE),VLOOKUP(C$1,test!$A$3:$F$32,2,FALSE))&lt;test!$K$16,$A80&lt;&gt;C$1,Recharged_Feasible_mat!D49=1),(VLOOKUP(C$1,test!$A$3:$I$32,8,FALSE))-(VLOOKUP($A80,test!$A$3:$I$32,9,FALSE))-test!$B$34,0)</f>
        <v>0</v>
      </c>
      <c r="D80">
        <f>IF(AND(SUM(VLOOKUP($A80,test!$A$3:$F$32,2,FALSE),VLOOKUP(D$1,test!$A$3:$F$32,2,FALSE))&lt;test!$K$16,$A80&lt;&gt;D$1,Recharged_Feasible_mat!E49=1),(VLOOKUP(D$1,test!$A$3:$I$32,8,FALSE))-(VLOOKUP($A80,test!$A$3:$I$32,9,FALSE))-test!$B$34,0)</f>
        <v>0</v>
      </c>
      <c r="E80">
        <f>IF(AND(SUM(VLOOKUP($A80,test!$A$3:$F$32,2,FALSE),VLOOKUP(E$1,test!$A$3:$F$32,2,FALSE))&lt;test!$K$16,$A80&lt;&gt;E$1,Recharged_Feasible_mat!F49=1),(VLOOKUP(E$1,test!$A$3:$I$32,8,FALSE))-(VLOOKUP($A80,test!$A$3:$I$32,9,FALSE))-test!$B$34,0)</f>
        <v>0</v>
      </c>
      <c r="F80">
        <f>IF(AND(SUM(VLOOKUP($A80,test!$A$3:$F$32,2,FALSE),VLOOKUP(F$1,test!$A$3:$F$32,2,FALSE))&lt;test!$K$16,$A80&lt;&gt;F$1,Recharged_Feasible_mat!G49=1),(VLOOKUP(F$1,test!$A$3:$I$32,8,FALSE))-(VLOOKUP($A80,test!$A$3:$I$32,9,FALSE))-test!$B$34,0)</f>
        <v>80</v>
      </c>
      <c r="G80">
        <f>IF(AND(SUM(VLOOKUP($A80,test!$A$3:$F$32,2,FALSE),VLOOKUP(G$1,test!$A$3:$F$32,2,FALSE))&lt;test!$K$16,$A80&lt;&gt;G$1,Recharged_Feasible_mat!H49=1),(VLOOKUP(G$1,test!$A$3:$I$32,8,FALSE))-(VLOOKUP($A80,test!$A$3:$I$32,9,FALSE))-test!$B$34,0)</f>
        <v>140</v>
      </c>
      <c r="H80">
        <f>IF(AND(SUM(VLOOKUP($A80,test!$A$3:$F$32,2,FALSE),VLOOKUP(H$1,test!$A$3:$F$32,2,FALSE))&lt;test!$K$16,$A80&lt;&gt;H$1,Recharged_Feasible_mat!I49=1),(VLOOKUP(H$1,test!$A$3:$I$32,8,FALSE))-(VLOOKUP($A80,test!$A$3:$I$32,9,FALSE))-test!$B$34,0)</f>
        <v>200</v>
      </c>
      <c r="I80">
        <f>IF(AND(SUM(VLOOKUP($A80,test!$A$3:$F$32,2,FALSE),VLOOKUP(I$1,test!$A$3:$F$32,2,FALSE))&lt;test!$K$16,$A80&lt;&gt;I$1,Recharged_Feasible_mat!J49=1),(VLOOKUP(I$1,test!$A$3:$I$32,8,FALSE))-(VLOOKUP($A80,test!$A$3:$I$32,9,FALSE))-test!$B$34,0)</f>
        <v>260</v>
      </c>
      <c r="J80">
        <f>IF(AND(SUM(VLOOKUP($A80,test!$A$3:$F$32,2,FALSE),VLOOKUP(J$1,test!$A$3:$F$32,2,FALSE))&lt;test!$K$16,$A80&lt;&gt;J$1,Recharged_Feasible_mat!K49=1),(VLOOKUP(J$1,test!$A$3:$I$32,8,FALSE))-(VLOOKUP($A80,test!$A$3:$I$32,9,FALSE))-test!$B$34,0)</f>
        <v>350</v>
      </c>
      <c r="K80">
        <f>IF(AND(SUM(VLOOKUP($A80,test!$A$3:$F$32,2,FALSE),VLOOKUP(K$1,test!$A$3:$F$32,2,FALSE))&lt;test!$K$16,$A80&lt;&gt;K$1,Recharged_Feasible_mat!L49=1),(VLOOKUP(K$1,test!$A$3:$I$32,8,FALSE))-(VLOOKUP($A80,test!$A$3:$I$32,9,FALSE))-test!$B$34,0)</f>
        <v>0</v>
      </c>
      <c r="L80">
        <f>IF(AND(SUM(VLOOKUP($A80,test!$A$3:$F$32,2,FALSE),VLOOKUP(L$1,test!$A$3:$F$32,2,FALSE))&lt;test!$K$16,$A80&lt;&gt;L$1,Recharged_Feasible_mat!M49=1),(VLOOKUP(L$1,test!$A$3:$I$32,8,FALSE))-(VLOOKUP($A80,test!$A$3:$I$32,9,FALSE))-test!$B$34,0)</f>
        <v>0</v>
      </c>
      <c r="M80">
        <f>IF(AND(SUM(VLOOKUP($A80,test!$A$3:$F$32,2,FALSE),VLOOKUP(M$1,test!$A$3:$F$32,2,FALSE))&lt;test!$K$16,$A80&lt;&gt;M$1,Recharged_Feasible_mat!N49=1),(VLOOKUP(M$1,test!$A$3:$I$32,8,FALSE))-(VLOOKUP($A80,test!$A$3:$I$32,9,FALSE))-test!$B$34,0)</f>
        <v>0</v>
      </c>
      <c r="N80">
        <f>IF(AND(SUM(VLOOKUP($A80,test!$A$3:$F$32,2,FALSE),VLOOKUP(N$1,test!$A$3:$F$32,2,FALSE))&lt;test!$K$16,$A80&lt;&gt;N$1,Recharged_Feasible_mat!O49=1),(VLOOKUP(N$1,test!$A$3:$I$32,8,FALSE))-(VLOOKUP($A80,test!$A$3:$I$32,9,FALSE))-test!$B$34,0)</f>
        <v>315</v>
      </c>
      <c r="O80">
        <f>IF(AND(SUM(VLOOKUP($A80,test!$A$3:$F$32,2,FALSE),VLOOKUP(O$1,test!$A$3:$F$32,2,FALSE))&lt;test!$K$16,$A80&lt;&gt;O$1,Recharged_Feasible_mat!P49=1),(VLOOKUP(O$1,test!$A$3:$I$32,8,FALSE))-(VLOOKUP($A80,test!$A$3:$I$32,9,FALSE))-test!$B$34,0)</f>
        <v>375</v>
      </c>
      <c r="P80">
        <f>IF(AND(SUM(VLOOKUP($A80,test!$A$3:$F$32,2,FALSE),VLOOKUP(P$1,test!$A$3:$F$32,2,FALSE))&lt;test!$K$16,$A80&lt;&gt;P$1,Recharged_Feasible_mat!Q49=1),(VLOOKUP(P$1,test!$A$3:$I$32,8,FALSE))-(VLOOKUP($A80,test!$A$3:$I$32,9,FALSE))-test!$B$34,0)</f>
        <v>0</v>
      </c>
      <c r="Q80">
        <f>IF(AND(SUM(VLOOKUP($A80,test!$A$3:$F$32,2,FALSE),VLOOKUP(Q$1,test!$A$3:$F$32,2,FALSE))&lt;test!$K$16,$A80&lt;&gt;Q$1,Recharged_Feasible_mat!R49=1),(VLOOKUP(Q$1,test!$A$3:$I$32,8,FALSE))-(VLOOKUP($A80,test!$A$3:$I$32,9,FALSE))-test!$B$34,0)</f>
        <v>0</v>
      </c>
      <c r="R80">
        <f>IF(AND(SUM(VLOOKUP($A80,test!$A$3:$F$32,2,FALSE),VLOOKUP(R$1,test!$A$3:$F$32,2,FALSE))&lt;test!$K$16,$A80&lt;&gt;R$1,Recharged_Feasible_mat!S49=1),(VLOOKUP(R$1,test!$A$3:$I$32,8,FALSE))-(VLOOKUP($A80,test!$A$3:$I$32,9,FALSE))-test!$B$34,0)</f>
        <v>0</v>
      </c>
      <c r="S80">
        <f>IF(AND(SUM(VLOOKUP($A80,test!$A$3:$F$32,2,FALSE),VLOOKUP(S$1,test!$A$3:$F$32,2,FALSE))&lt;test!$K$16,$A80&lt;&gt;S$1,Recharged_Feasible_mat!T49=1),(VLOOKUP(S$1,test!$A$3:$I$32,8,FALSE))-(VLOOKUP($A80,test!$A$3:$I$32,9,FALSE))-test!$B$34,0)</f>
        <v>0</v>
      </c>
      <c r="T80">
        <f>IF(AND(SUM(VLOOKUP($A80,test!$A$3:$F$32,2,FALSE),VLOOKUP(T$1,test!$A$3:$F$32,2,FALSE))&lt;test!$K$16,$A80&lt;&gt;T$1,Recharged_Feasible_mat!U49=1),(VLOOKUP(T$1,test!$A$3:$I$32,8,FALSE))-(VLOOKUP($A80,test!$A$3:$I$32,9,FALSE))-test!$B$34,0)</f>
        <v>0</v>
      </c>
      <c r="U80">
        <f>IF(AND(SUM(VLOOKUP($A80,test!$A$3:$F$32,2,FALSE),VLOOKUP(U$1,test!$A$3:$F$32,2,FALSE))&lt;test!$K$16,$A80&lt;&gt;U$1,Recharged_Feasible_mat!V49=1),(VLOOKUP(U$1,test!$A$3:$I$32,8,FALSE))-(VLOOKUP($A80,test!$A$3:$I$32,9,FALSE))-test!$B$34,0)</f>
        <v>60</v>
      </c>
      <c r="V80">
        <f>IF(AND(SUM(VLOOKUP($A80,test!$A$3:$F$32,2,FALSE),VLOOKUP(V$1,test!$A$3:$F$32,2,FALSE))&lt;test!$K$16,$A80&lt;&gt;V$1,Recharged_Feasible_mat!W49=1),(VLOOKUP(V$1,test!$A$3:$I$32,8,FALSE))-(VLOOKUP($A80,test!$A$3:$I$32,9,FALSE))-test!$B$34,0)</f>
        <v>150</v>
      </c>
      <c r="W80">
        <f>IF(AND(SUM(VLOOKUP($A80,test!$A$3:$F$32,2,FALSE),VLOOKUP(W$1,test!$A$3:$F$32,2,FALSE))&lt;test!$K$16,$A80&lt;&gt;W$1,Recharged_Feasible_mat!X49=1),(VLOOKUP(W$1,test!$A$3:$I$32,8,FALSE))-(VLOOKUP($A80,test!$A$3:$I$32,9,FALSE))-test!$B$34,0)</f>
        <v>240</v>
      </c>
      <c r="X80">
        <f>IF(AND(SUM(VLOOKUP($A80,test!$A$3:$F$32,2,FALSE),VLOOKUP(X$1,test!$A$3:$F$32,2,FALSE))&lt;test!$K$16,$A80&lt;&gt;X$1,Recharged_Feasible_mat!Y49=1),(VLOOKUP(X$1,test!$A$3:$I$32,8,FALSE))-(VLOOKUP($A80,test!$A$3:$I$32,9,FALSE))-test!$B$34,0)</f>
        <v>300</v>
      </c>
      <c r="Y80">
        <f>IF(AND(SUM(VLOOKUP($A80,test!$A$3:$F$32,2,FALSE),VLOOKUP(Y$1,test!$A$3:$F$32,2,FALSE))&lt;test!$K$16,$A80&lt;&gt;Y$1,Recharged_Feasible_mat!Z49=1),(VLOOKUP(Y$1,test!$A$3:$I$32,8,FALSE))-(VLOOKUP($A80,test!$A$3:$I$32,9,FALSE))-test!$B$34,0)</f>
        <v>0</v>
      </c>
      <c r="Z80">
        <f>IF(AND(SUM(VLOOKUP($A80,test!$A$3:$F$32,2,FALSE),VLOOKUP(Z$1,test!$A$3:$F$32,2,FALSE))&lt;test!$K$16,$A80&lt;&gt;Z$1,Recharged_Feasible_mat!AA49=1),(VLOOKUP(Z$1,test!$A$3:$I$32,8,FALSE))-(VLOOKUP($A80,test!$A$3:$I$32,9,FALSE))-test!$B$34,0)</f>
        <v>0</v>
      </c>
      <c r="AA80">
        <f>IF(AND(SUM(VLOOKUP($A80,test!$A$3:$F$32,2,FALSE),VLOOKUP(AA$1,test!$A$3:$F$32,2,FALSE))&lt;test!$K$16,$A80&lt;&gt;AA$1,Recharged_Feasible_mat!AB49=1),(VLOOKUP(AA$1,test!$A$3:$I$32,8,FALSE))-(VLOOKUP($A80,test!$A$3:$I$32,9,FALSE))-test!$B$34,0)</f>
        <v>20</v>
      </c>
      <c r="AB80">
        <f>IF(AND(SUM(VLOOKUP($A80,test!$A$3:$F$32,2,FALSE),VLOOKUP(AB$1,test!$A$3:$F$32,2,FALSE))&lt;test!$K$16,$A80&lt;&gt;AB$1,Recharged_Feasible_mat!AC49=1),(VLOOKUP(AB$1,test!$A$3:$I$32,8,FALSE))-(VLOOKUP($A80,test!$A$3:$I$32,9,FALSE))-test!$B$34,0)</f>
        <v>80</v>
      </c>
      <c r="AC80">
        <f>IF(AND(SUM(VLOOKUP($A80,test!$A$3:$F$32,2,FALSE),VLOOKUP(AC$1,test!$A$3:$F$32,2,FALSE))&lt;test!$K$16,$A80&lt;&gt;AC$1,Recharged_Feasible_mat!AD49=1),(VLOOKUP(AC$1,test!$A$3:$I$32,8,FALSE))-(VLOOKUP($A80,test!$A$3:$I$32,9,FALSE))-test!$B$34,0)</f>
        <v>200</v>
      </c>
      <c r="AD80">
        <f>IF(AND(SUM(VLOOKUP($A80,test!$A$3:$F$32,2,FALSE),VLOOKUP(AD$1,test!$A$3:$F$32,2,FALSE))&lt;test!$K$16,$A80&lt;&gt;AD$1,Recharged_Feasible_mat!AE49=1),(VLOOKUP(AD$1,test!$A$3:$I$32,8,FALSE))-(VLOOKUP($A80,test!$A$3:$I$32,9,FALSE))-test!$B$34,0)</f>
        <v>0</v>
      </c>
      <c r="AE80">
        <f>IF(AND(SUM(VLOOKUP($A80,test!$A$3:$F$32,2,FALSE),VLOOKUP(AE$1,test!$A$3:$F$32,2,FALSE))&lt;test!$K$16,$A80&lt;&gt;AE$1,Recharged_Feasible_mat!AF49=1),(VLOOKUP(AE$1,test!$A$3:$I$32,8,FALSE))-(VLOOKUP($A80,test!$A$3:$I$32,9,FALSE))-test!$B$34,0)</f>
        <v>20</v>
      </c>
      <c r="AF80">
        <f>IF(AND(SUM(VLOOKUP($A80,test!$A$3:$F$32,2,FALSE),VLOOKUP(AF$1,test!$A$3:$F$32,2,FALSE))&lt;test!$K$16,$A80&lt;&gt;AF$1,Recharged_Feasible_mat!AG49=1),(VLOOKUP(AF$1,test!$A$3:$I$32,8,FALSE))-(VLOOKUP($A80,test!$A$3:$I$32,9,FALSE))-test!$B$34,0)</f>
        <v>0</v>
      </c>
    </row>
    <row r="81" spans="1:32" x14ac:dyDescent="0.25">
      <c r="A81" t="s">
        <v>28</v>
      </c>
      <c r="B81">
        <v>0</v>
      </c>
      <c r="C81">
        <f>IF(AND(SUM(VLOOKUP($A81,test!$A$3:$F$32,2,FALSE),VLOOKUP(C$1,test!$A$3:$F$32,2,FALSE))&lt;test!$K$16,$A81&lt;&gt;C$1,Recharged_Feasible_mat!D50=1),(VLOOKUP(C$1,test!$A$3:$I$32,8,FALSE))-(VLOOKUP($A81,test!$A$3:$I$32,9,FALSE))-test!$B$34,0)</f>
        <v>0</v>
      </c>
      <c r="D81">
        <f>IF(AND(SUM(VLOOKUP($A81,test!$A$3:$F$32,2,FALSE),VLOOKUP(D$1,test!$A$3:$F$32,2,FALSE))&lt;test!$K$16,$A81&lt;&gt;D$1,Recharged_Feasible_mat!E50=1),(VLOOKUP(D$1,test!$A$3:$I$32,8,FALSE))-(VLOOKUP($A81,test!$A$3:$I$32,9,FALSE))-test!$B$34,0)</f>
        <v>0</v>
      </c>
      <c r="E81">
        <f>IF(AND(SUM(VLOOKUP($A81,test!$A$3:$F$32,2,FALSE),VLOOKUP(E$1,test!$A$3:$F$32,2,FALSE))&lt;test!$K$16,$A81&lt;&gt;E$1,Recharged_Feasible_mat!F50=1),(VLOOKUP(E$1,test!$A$3:$I$32,8,FALSE))-(VLOOKUP($A81,test!$A$3:$I$32,9,FALSE))-test!$B$34,0)</f>
        <v>0</v>
      </c>
      <c r="F81">
        <f>IF(AND(SUM(VLOOKUP($A81,test!$A$3:$F$32,2,FALSE),VLOOKUP(F$1,test!$A$3:$F$32,2,FALSE))&lt;test!$K$16,$A81&lt;&gt;F$1,Recharged_Feasible_mat!G50=1),(VLOOKUP(F$1,test!$A$3:$I$32,8,FALSE))-(VLOOKUP($A81,test!$A$3:$I$32,9,FALSE))-test!$B$34,0)</f>
        <v>0</v>
      </c>
      <c r="G81">
        <f>IF(AND(SUM(VLOOKUP($A81,test!$A$3:$F$32,2,FALSE),VLOOKUP(G$1,test!$A$3:$F$32,2,FALSE))&lt;test!$K$16,$A81&lt;&gt;G$1,Recharged_Feasible_mat!H50=1),(VLOOKUP(G$1,test!$A$3:$I$32,8,FALSE))-(VLOOKUP($A81,test!$A$3:$I$32,9,FALSE))-test!$B$34,0)</f>
        <v>50</v>
      </c>
      <c r="H81">
        <f>IF(AND(SUM(VLOOKUP($A81,test!$A$3:$F$32,2,FALSE),VLOOKUP(H$1,test!$A$3:$F$32,2,FALSE))&lt;test!$K$16,$A81&lt;&gt;H$1,Recharged_Feasible_mat!I50=1),(VLOOKUP(H$1,test!$A$3:$I$32,8,FALSE))-(VLOOKUP($A81,test!$A$3:$I$32,9,FALSE))-test!$B$34,0)</f>
        <v>110</v>
      </c>
      <c r="I81">
        <f>IF(AND(SUM(VLOOKUP($A81,test!$A$3:$F$32,2,FALSE),VLOOKUP(I$1,test!$A$3:$F$32,2,FALSE))&lt;test!$K$16,$A81&lt;&gt;I$1,Recharged_Feasible_mat!J50=1),(VLOOKUP(I$1,test!$A$3:$I$32,8,FALSE))-(VLOOKUP($A81,test!$A$3:$I$32,9,FALSE))-test!$B$34,0)</f>
        <v>170</v>
      </c>
      <c r="J81">
        <f>IF(AND(SUM(VLOOKUP($A81,test!$A$3:$F$32,2,FALSE),VLOOKUP(J$1,test!$A$3:$F$32,2,FALSE))&lt;test!$K$16,$A81&lt;&gt;J$1,Recharged_Feasible_mat!K50=1),(VLOOKUP(J$1,test!$A$3:$I$32,8,FALSE))-(VLOOKUP($A81,test!$A$3:$I$32,9,FALSE))-test!$B$34,0)</f>
        <v>260</v>
      </c>
      <c r="K81">
        <f>IF(AND(SUM(VLOOKUP($A81,test!$A$3:$F$32,2,FALSE),VLOOKUP(K$1,test!$A$3:$F$32,2,FALSE))&lt;test!$K$16,$A81&lt;&gt;K$1,Recharged_Feasible_mat!L50=1),(VLOOKUP(K$1,test!$A$3:$I$32,8,FALSE))-(VLOOKUP($A81,test!$A$3:$I$32,9,FALSE))-test!$B$34,0)</f>
        <v>0</v>
      </c>
      <c r="L81">
        <f>IF(AND(SUM(VLOOKUP($A81,test!$A$3:$F$32,2,FALSE),VLOOKUP(L$1,test!$A$3:$F$32,2,FALSE))&lt;test!$K$16,$A81&lt;&gt;L$1,Recharged_Feasible_mat!M50=1),(VLOOKUP(L$1,test!$A$3:$I$32,8,FALSE))-(VLOOKUP($A81,test!$A$3:$I$32,9,FALSE))-test!$B$34,0)</f>
        <v>0</v>
      </c>
      <c r="M81">
        <f>IF(AND(SUM(VLOOKUP($A81,test!$A$3:$F$32,2,FALSE),VLOOKUP(M$1,test!$A$3:$F$32,2,FALSE))&lt;test!$K$16,$A81&lt;&gt;M$1,Recharged_Feasible_mat!N50=1),(VLOOKUP(M$1,test!$A$3:$I$32,8,FALSE))-(VLOOKUP($A81,test!$A$3:$I$32,9,FALSE))-test!$B$34,0)</f>
        <v>0</v>
      </c>
      <c r="N81">
        <f>IF(AND(SUM(VLOOKUP($A81,test!$A$3:$F$32,2,FALSE),VLOOKUP(N$1,test!$A$3:$F$32,2,FALSE))&lt;test!$K$16,$A81&lt;&gt;N$1,Recharged_Feasible_mat!O50=1),(VLOOKUP(N$1,test!$A$3:$I$32,8,FALSE))-(VLOOKUP($A81,test!$A$3:$I$32,9,FALSE))-test!$B$34,0)</f>
        <v>225</v>
      </c>
      <c r="O81">
        <f>IF(AND(SUM(VLOOKUP($A81,test!$A$3:$F$32,2,FALSE),VLOOKUP(O$1,test!$A$3:$F$32,2,FALSE))&lt;test!$K$16,$A81&lt;&gt;O$1,Recharged_Feasible_mat!P50=1),(VLOOKUP(O$1,test!$A$3:$I$32,8,FALSE))-(VLOOKUP($A81,test!$A$3:$I$32,9,FALSE))-test!$B$34,0)</f>
        <v>285</v>
      </c>
      <c r="P81">
        <f>IF(AND(SUM(VLOOKUP($A81,test!$A$3:$F$32,2,FALSE),VLOOKUP(P$1,test!$A$3:$F$32,2,FALSE))&lt;test!$K$16,$A81&lt;&gt;P$1,Recharged_Feasible_mat!Q50=1),(VLOOKUP(P$1,test!$A$3:$I$32,8,FALSE))-(VLOOKUP($A81,test!$A$3:$I$32,9,FALSE))-test!$B$34,0)</f>
        <v>0</v>
      </c>
      <c r="Q81">
        <f>IF(AND(SUM(VLOOKUP($A81,test!$A$3:$F$32,2,FALSE),VLOOKUP(Q$1,test!$A$3:$F$32,2,FALSE))&lt;test!$K$16,$A81&lt;&gt;Q$1,Recharged_Feasible_mat!R50=1),(VLOOKUP(Q$1,test!$A$3:$I$32,8,FALSE))-(VLOOKUP($A81,test!$A$3:$I$32,9,FALSE))-test!$B$34,0)</f>
        <v>0</v>
      </c>
      <c r="R81">
        <f>IF(AND(SUM(VLOOKUP($A81,test!$A$3:$F$32,2,FALSE),VLOOKUP(R$1,test!$A$3:$F$32,2,FALSE))&lt;test!$K$16,$A81&lt;&gt;R$1,Recharged_Feasible_mat!S50=1),(VLOOKUP(R$1,test!$A$3:$I$32,8,FALSE))-(VLOOKUP($A81,test!$A$3:$I$32,9,FALSE))-test!$B$34,0)</f>
        <v>0</v>
      </c>
      <c r="S81">
        <f>IF(AND(SUM(VLOOKUP($A81,test!$A$3:$F$32,2,FALSE),VLOOKUP(S$1,test!$A$3:$F$32,2,FALSE))&lt;test!$K$16,$A81&lt;&gt;S$1,Recharged_Feasible_mat!T50=1),(VLOOKUP(S$1,test!$A$3:$I$32,8,FALSE))-(VLOOKUP($A81,test!$A$3:$I$32,9,FALSE))-test!$B$34,0)</f>
        <v>0</v>
      </c>
      <c r="T81">
        <f>IF(AND(SUM(VLOOKUP($A81,test!$A$3:$F$32,2,FALSE),VLOOKUP(T$1,test!$A$3:$F$32,2,FALSE))&lt;test!$K$16,$A81&lt;&gt;T$1,Recharged_Feasible_mat!U50=1),(VLOOKUP(T$1,test!$A$3:$I$32,8,FALSE))-(VLOOKUP($A81,test!$A$3:$I$32,9,FALSE))-test!$B$34,0)</f>
        <v>0</v>
      </c>
      <c r="U81">
        <f>IF(AND(SUM(VLOOKUP($A81,test!$A$3:$F$32,2,FALSE),VLOOKUP(U$1,test!$A$3:$F$32,2,FALSE))&lt;test!$K$16,$A81&lt;&gt;U$1,Recharged_Feasible_mat!V50=1),(VLOOKUP(U$1,test!$A$3:$I$32,8,FALSE))-(VLOOKUP($A81,test!$A$3:$I$32,9,FALSE))-test!$B$34,0)</f>
        <v>0</v>
      </c>
      <c r="V81">
        <f>IF(AND(SUM(VLOOKUP($A81,test!$A$3:$F$32,2,FALSE),VLOOKUP(V$1,test!$A$3:$F$32,2,FALSE))&lt;test!$K$16,$A81&lt;&gt;V$1,Recharged_Feasible_mat!W50=1),(VLOOKUP(V$1,test!$A$3:$I$32,8,FALSE))-(VLOOKUP($A81,test!$A$3:$I$32,9,FALSE))-test!$B$34,0)</f>
        <v>60</v>
      </c>
      <c r="W81">
        <f>IF(AND(SUM(VLOOKUP($A81,test!$A$3:$F$32,2,FALSE),VLOOKUP(W$1,test!$A$3:$F$32,2,FALSE))&lt;test!$K$16,$A81&lt;&gt;W$1,Recharged_Feasible_mat!X50=1),(VLOOKUP(W$1,test!$A$3:$I$32,8,FALSE))-(VLOOKUP($A81,test!$A$3:$I$32,9,FALSE))-test!$B$34,0)</f>
        <v>150</v>
      </c>
      <c r="X81">
        <f>IF(AND(SUM(VLOOKUP($A81,test!$A$3:$F$32,2,FALSE),VLOOKUP(X$1,test!$A$3:$F$32,2,FALSE))&lt;test!$K$16,$A81&lt;&gt;X$1,Recharged_Feasible_mat!Y50=1),(VLOOKUP(X$1,test!$A$3:$I$32,8,FALSE))-(VLOOKUP($A81,test!$A$3:$I$32,9,FALSE))-test!$B$34,0)</f>
        <v>210</v>
      </c>
      <c r="Y81">
        <f>IF(AND(SUM(VLOOKUP($A81,test!$A$3:$F$32,2,FALSE),VLOOKUP(Y$1,test!$A$3:$F$32,2,FALSE))&lt;test!$K$16,$A81&lt;&gt;Y$1,Recharged_Feasible_mat!Z50=1),(VLOOKUP(Y$1,test!$A$3:$I$32,8,FALSE))-(VLOOKUP($A81,test!$A$3:$I$32,9,FALSE))-test!$B$34,0)</f>
        <v>0</v>
      </c>
      <c r="Z81">
        <f>IF(AND(SUM(VLOOKUP($A81,test!$A$3:$F$32,2,FALSE),VLOOKUP(Z$1,test!$A$3:$F$32,2,FALSE))&lt;test!$K$16,$A81&lt;&gt;Z$1,Recharged_Feasible_mat!AA50=1),(VLOOKUP(Z$1,test!$A$3:$I$32,8,FALSE))-(VLOOKUP($A81,test!$A$3:$I$32,9,FALSE))-test!$B$34,0)</f>
        <v>0</v>
      </c>
      <c r="AA81">
        <f>IF(AND(SUM(VLOOKUP($A81,test!$A$3:$F$32,2,FALSE),VLOOKUP(AA$1,test!$A$3:$F$32,2,FALSE))&lt;test!$K$16,$A81&lt;&gt;AA$1,Recharged_Feasible_mat!AB50=1),(VLOOKUP(AA$1,test!$A$3:$I$32,8,FALSE))-(VLOOKUP($A81,test!$A$3:$I$32,9,FALSE))-test!$B$34,0)</f>
        <v>0</v>
      </c>
      <c r="AB81">
        <f>IF(AND(SUM(VLOOKUP($A81,test!$A$3:$F$32,2,FALSE),VLOOKUP(AB$1,test!$A$3:$F$32,2,FALSE))&lt;test!$K$16,$A81&lt;&gt;AB$1,Recharged_Feasible_mat!AC50=1),(VLOOKUP(AB$1,test!$A$3:$I$32,8,FALSE))-(VLOOKUP($A81,test!$A$3:$I$32,9,FALSE))-test!$B$34,0)</f>
        <v>0</v>
      </c>
      <c r="AC81">
        <f>IF(AND(SUM(VLOOKUP($A81,test!$A$3:$F$32,2,FALSE),VLOOKUP(AC$1,test!$A$3:$F$32,2,FALSE))&lt;test!$K$16,$A81&lt;&gt;AC$1,Recharged_Feasible_mat!AD50=1),(VLOOKUP(AC$1,test!$A$3:$I$32,8,FALSE))-(VLOOKUP($A81,test!$A$3:$I$32,9,FALSE))-test!$B$34,0)</f>
        <v>110</v>
      </c>
      <c r="AD81">
        <f>IF(AND(SUM(VLOOKUP($A81,test!$A$3:$F$32,2,FALSE),VLOOKUP(AD$1,test!$A$3:$F$32,2,FALSE))&lt;test!$K$16,$A81&lt;&gt;AD$1,Recharged_Feasible_mat!AE50=1),(VLOOKUP(AD$1,test!$A$3:$I$32,8,FALSE))-(VLOOKUP($A81,test!$A$3:$I$32,9,FALSE))-test!$B$34,0)</f>
        <v>0</v>
      </c>
      <c r="AE81">
        <f>IF(AND(SUM(VLOOKUP($A81,test!$A$3:$F$32,2,FALSE),VLOOKUP(AE$1,test!$A$3:$F$32,2,FALSE))&lt;test!$K$16,$A81&lt;&gt;AE$1,Recharged_Feasible_mat!AF50=1),(VLOOKUP(AE$1,test!$A$3:$I$32,8,FALSE))-(VLOOKUP($A81,test!$A$3:$I$32,9,FALSE))-test!$B$34,0)</f>
        <v>0</v>
      </c>
      <c r="AF81">
        <f>IF(AND(SUM(VLOOKUP($A81,test!$A$3:$F$32,2,FALSE),VLOOKUP(AF$1,test!$A$3:$F$32,2,FALSE))&lt;test!$K$16,$A81&lt;&gt;AF$1,Recharged_Feasible_mat!AG50=1),(VLOOKUP(AF$1,test!$A$3:$I$32,8,FALSE))-(VLOOKUP($A81,test!$A$3:$I$32,9,FALSE))-test!$B$34,0)</f>
        <v>0</v>
      </c>
    </row>
    <row r="82" spans="1:32" x14ac:dyDescent="0.25">
      <c r="A82" t="s">
        <v>29</v>
      </c>
      <c r="B82">
        <v>0</v>
      </c>
      <c r="C82">
        <f>IF(AND(SUM(VLOOKUP($A82,test!$A$3:$F$32,2,FALSE),VLOOKUP(C$1,test!$A$3:$F$32,2,FALSE))&lt;test!$K$16,$A82&lt;&gt;C$1,Recharged_Feasible_mat!D51=1),(VLOOKUP(C$1,test!$A$3:$I$32,8,FALSE))-(VLOOKUP($A82,test!$A$3:$I$32,9,FALSE))-test!$B$34,0)</f>
        <v>0</v>
      </c>
      <c r="D82">
        <f>IF(AND(SUM(VLOOKUP($A82,test!$A$3:$F$32,2,FALSE),VLOOKUP(D$1,test!$A$3:$F$32,2,FALSE))&lt;test!$K$16,$A82&lt;&gt;D$1,Recharged_Feasible_mat!E51=1),(VLOOKUP(D$1,test!$A$3:$I$32,8,FALSE))-(VLOOKUP($A82,test!$A$3:$I$32,9,FALSE))-test!$B$34,0)</f>
        <v>0</v>
      </c>
      <c r="E82">
        <f>IF(AND(SUM(VLOOKUP($A82,test!$A$3:$F$32,2,FALSE),VLOOKUP(E$1,test!$A$3:$F$32,2,FALSE))&lt;test!$K$16,$A82&lt;&gt;E$1,Recharged_Feasible_mat!F51=1),(VLOOKUP(E$1,test!$A$3:$I$32,8,FALSE))-(VLOOKUP($A82,test!$A$3:$I$32,9,FALSE))-test!$B$34,0)</f>
        <v>0</v>
      </c>
      <c r="F82">
        <f>IF(AND(SUM(VLOOKUP($A82,test!$A$3:$F$32,2,FALSE),VLOOKUP(F$1,test!$A$3:$F$32,2,FALSE))&lt;test!$K$16,$A82&lt;&gt;F$1,Recharged_Feasible_mat!G51=1),(VLOOKUP(F$1,test!$A$3:$I$32,8,FALSE))-(VLOOKUP($A82,test!$A$3:$I$32,9,FALSE))-test!$B$34,0)</f>
        <v>0</v>
      </c>
      <c r="G82">
        <f>IF(AND(SUM(VLOOKUP($A82,test!$A$3:$F$32,2,FALSE),VLOOKUP(G$1,test!$A$3:$F$32,2,FALSE))&lt;test!$K$16,$A82&lt;&gt;G$1,Recharged_Feasible_mat!H51=1),(VLOOKUP(G$1,test!$A$3:$I$32,8,FALSE))-(VLOOKUP($A82,test!$A$3:$I$32,9,FALSE))-test!$B$34,0)</f>
        <v>0</v>
      </c>
      <c r="H82">
        <f>IF(AND(SUM(VLOOKUP($A82,test!$A$3:$F$32,2,FALSE),VLOOKUP(H$1,test!$A$3:$F$32,2,FALSE))&lt;test!$K$16,$A82&lt;&gt;H$1,Recharged_Feasible_mat!I51=1),(VLOOKUP(H$1,test!$A$3:$I$32,8,FALSE))-(VLOOKUP($A82,test!$A$3:$I$32,9,FALSE))-test!$B$34,0)</f>
        <v>20</v>
      </c>
      <c r="I82">
        <f>IF(AND(SUM(VLOOKUP($A82,test!$A$3:$F$32,2,FALSE),VLOOKUP(I$1,test!$A$3:$F$32,2,FALSE))&lt;test!$K$16,$A82&lt;&gt;I$1,Recharged_Feasible_mat!J51=1),(VLOOKUP(I$1,test!$A$3:$I$32,8,FALSE))-(VLOOKUP($A82,test!$A$3:$I$32,9,FALSE))-test!$B$34,0)</f>
        <v>80</v>
      </c>
      <c r="J82">
        <f>IF(AND(SUM(VLOOKUP($A82,test!$A$3:$F$32,2,FALSE),VLOOKUP(J$1,test!$A$3:$F$32,2,FALSE))&lt;test!$K$16,$A82&lt;&gt;J$1,Recharged_Feasible_mat!K51=1),(VLOOKUP(J$1,test!$A$3:$I$32,8,FALSE))-(VLOOKUP($A82,test!$A$3:$I$32,9,FALSE))-test!$B$34,0)</f>
        <v>170</v>
      </c>
      <c r="K82">
        <f>IF(AND(SUM(VLOOKUP($A82,test!$A$3:$F$32,2,FALSE),VLOOKUP(K$1,test!$A$3:$F$32,2,FALSE))&lt;test!$K$16,$A82&lt;&gt;K$1,Recharged_Feasible_mat!L51=1),(VLOOKUP(K$1,test!$A$3:$I$32,8,FALSE))-(VLOOKUP($A82,test!$A$3:$I$32,9,FALSE))-test!$B$34,0)</f>
        <v>0</v>
      </c>
      <c r="L82">
        <f>IF(AND(SUM(VLOOKUP($A82,test!$A$3:$F$32,2,FALSE),VLOOKUP(L$1,test!$A$3:$F$32,2,FALSE))&lt;test!$K$16,$A82&lt;&gt;L$1,Recharged_Feasible_mat!M51=1),(VLOOKUP(L$1,test!$A$3:$I$32,8,FALSE))-(VLOOKUP($A82,test!$A$3:$I$32,9,FALSE))-test!$B$34,0)</f>
        <v>0</v>
      </c>
      <c r="M82">
        <f>IF(AND(SUM(VLOOKUP($A82,test!$A$3:$F$32,2,FALSE),VLOOKUP(M$1,test!$A$3:$F$32,2,FALSE))&lt;test!$K$16,$A82&lt;&gt;M$1,Recharged_Feasible_mat!N51=1),(VLOOKUP(M$1,test!$A$3:$I$32,8,FALSE))-(VLOOKUP($A82,test!$A$3:$I$32,9,FALSE))-test!$B$34,0)</f>
        <v>0</v>
      </c>
      <c r="N82">
        <f>IF(AND(SUM(VLOOKUP($A82,test!$A$3:$F$32,2,FALSE),VLOOKUP(N$1,test!$A$3:$F$32,2,FALSE))&lt;test!$K$16,$A82&lt;&gt;N$1,Recharged_Feasible_mat!O51=1),(VLOOKUP(N$1,test!$A$3:$I$32,8,FALSE))-(VLOOKUP($A82,test!$A$3:$I$32,9,FALSE))-test!$B$34,0)</f>
        <v>135</v>
      </c>
      <c r="O82">
        <f>IF(AND(SUM(VLOOKUP($A82,test!$A$3:$F$32,2,FALSE),VLOOKUP(O$1,test!$A$3:$F$32,2,FALSE))&lt;test!$K$16,$A82&lt;&gt;O$1,Recharged_Feasible_mat!P51=1),(VLOOKUP(O$1,test!$A$3:$I$32,8,FALSE))-(VLOOKUP($A82,test!$A$3:$I$32,9,FALSE))-test!$B$34,0)</f>
        <v>195</v>
      </c>
      <c r="P82">
        <f>IF(AND(SUM(VLOOKUP($A82,test!$A$3:$F$32,2,FALSE),VLOOKUP(P$1,test!$A$3:$F$32,2,FALSE))&lt;test!$K$16,$A82&lt;&gt;P$1,Recharged_Feasible_mat!Q51=1),(VLOOKUP(P$1,test!$A$3:$I$32,8,FALSE))-(VLOOKUP($A82,test!$A$3:$I$32,9,FALSE))-test!$B$34,0)</f>
        <v>0</v>
      </c>
      <c r="Q82">
        <f>IF(AND(SUM(VLOOKUP($A82,test!$A$3:$F$32,2,FALSE),VLOOKUP(Q$1,test!$A$3:$F$32,2,FALSE))&lt;test!$K$16,$A82&lt;&gt;Q$1,Recharged_Feasible_mat!R51=1),(VLOOKUP(Q$1,test!$A$3:$I$32,8,FALSE))-(VLOOKUP($A82,test!$A$3:$I$32,9,FALSE))-test!$B$34,0)</f>
        <v>0</v>
      </c>
      <c r="R82">
        <f>IF(AND(SUM(VLOOKUP($A82,test!$A$3:$F$32,2,FALSE),VLOOKUP(R$1,test!$A$3:$F$32,2,FALSE))&lt;test!$K$16,$A82&lt;&gt;R$1,Recharged_Feasible_mat!S51=1),(VLOOKUP(R$1,test!$A$3:$I$32,8,FALSE))-(VLOOKUP($A82,test!$A$3:$I$32,9,FALSE))-test!$B$34,0)</f>
        <v>0</v>
      </c>
      <c r="S82">
        <f>IF(AND(SUM(VLOOKUP($A82,test!$A$3:$F$32,2,FALSE),VLOOKUP(S$1,test!$A$3:$F$32,2,FALSE))&lt;test!$K$16,$A82&lt;&gt;S$1,Recharged_Feasible_mat!T51=1),(VLOOKUP(S$1,test!$A$3:$I$32,8,FALSE))-(VLOOKUP($A82,test!$A$3:$I$32,9,FALSE))-test!$B$34,0)</f>
        <v>0</v>
      </c>
      <c r="T82">
        <f>IF(AND(SUM(VLOOKUP($A82,test!$A$3:$F$32,2,FALSE),VLOOKUP(T$1,test!$A$3:$F$32,2,FALSE))&lt;test!$K$16,$A82&lt;&gt;T$1,Recharged_Feasible_mat!U51=1),(VLOOKUP(T$1,test!$A$3:$I$32,8,FALSE))-(VLOOKUP($A82,test!$A$3:$I$32,9,FALSE))-test!$B$34,0)</f>
        <v>0</v>
      </c>
      <c r="U82">
        <f>IF(AND(SUM(VLOOKUP($A82,test!$A$3:$F$32,2,FALSE),VLOOKUP(U$1,test!$A$3:$F$32,2,FALSE))&lt;test!$K$16,$A82&lt;&gt;U$1,Recharged_Feasible_mat!V51=1),(VLOOKUP(U$1,test!$A$3:$I$32,8,FALSE))-(VLOOKUP($A82,test!$A$3:$I$32,9,FALSE))-test!$B$34,0)</f>
        <v>0</v>
      </c>
      <c r="V82">
        <f>IF(AND(SUM(VLOOKUP($A82,test!$A$3:$F$32,2,FALSE),VLOOKUP(V$1,test!$A$3:$F$32,2,FALSE))&lt;test!$K$16,$A82&lt;&gt;V$1,Recharged_Feasible_mat!W51=1),(VLOOKUP(V$1,test!$A$3:$I$32,8,FALSE))-(VLOOKUP($A82,test!$A$3:$I$32,9,FALSE))-test!$B$34,0)</f>
        <v>0</v>
      </c>
      <c r="W82">
        <f>IF(AND(SUM(VLOOKUP($A82,test!$A$3:$F$32,2,FALSE),VLOOKUP(W$1,test!$A$3:$F$32,2,FALSE))&lt;test!$K$16,$A82&lt;&gt;W$1,Recharged_Feasible_mat!X51=1),(VLOOKUP(W$1,test!$A$3:$I$32,8,FALSE))-(VLOOKUP($A82,test!$A$3:$I$32,9,FALSE))-test!$B$34,0)</f>
        <v>60</v>
      </c>
      <c r="X82">
        <f>IF(AND(SUM(VLOOKUP($A82,test!$A$3:$F$32,2,FALSE),VLOOKUP(X$1,test!$A$3:$F$32,2,FALSE))&lt;test!$K$16,$A82&lt;&gt;X$1,Recharged_Feasible_mat!Y51=1),(VLOOKUP(X$1,test!$A$3:$I$32,8,FALSE))-(VLOOKUP($A82,test!$A$3:$I$32,9,FALSE))-test!$B$34,0)</f>
        <v>120</v>
      </c>
      <c r="Y82">
        <f>IF(AND(SUM(VLOOKUP($A82,test!$A$3:$F$32,2,FALSE),VLOOKUP(Y$1,test!$A$3:$F$32,2,FALSE))&lt;test!$K$16,$A82&lt;&gt;Y$1,Recharged_Feasible_mat!Z51=1),(VLOOKUP(Y$1,test!$A$3:$I$32,8,FALSE))-(VLOOKUP($A82,test!$A$3:$I$32,9,FALSE))-test!$B$34,0)</f>
        <v>0</v>
      </c>
      <c r="Z82">
        <f>IF(AND(SUM(VLOOKUP($A82,test!$A$3:$F$32,2,FALSE),VLOOKUP(Z$1,test!$A$3:$F$32,2,FALSE))&lt;test!$K$16,$A82&lt;&gt;Z$1,Recharged_Feasible_mat!AA51=1),(VLOOKUP(Z$1,test!$A$3:$I$32,8,FALSE))-(VLOOKUP($A82,test!$A$3:$I$32,9,FALSE))-test!$B$34,0)</f>
        <v>0</v>
      </c>
      <c r="AA82">
        <f>IF(AND(SUM(VLOOKUP($A82,test!$A$3:$F$32,2,FALSE),VLOOKUP(AA$1,test!$A$3:$F$32,2,FALSE))&lt;test!$K$16,$A82&lt;&gt;AA$1,Recharged_Feasible_mat!AB51=1),(VLOOKUP(AA$1,test!$A$3:$I$32,8,FALSE))-(VLOOKUP($A82,test!$A$3:$I$32,9,FALSE))-test!$B$34,0)</f>
        <v>0</v>
      </c>
      <c r="AB82">
        <f>IF(AND(SUM(VLOOKUP($A82,test!$A$3:$F$32,2,FALSE),VLOOKUP(AB$1,test!$A$3:$F$32,2,FALSE))&lt;test!$K$16,$A82&lt;&gt;AB$1,Recharged_Feasible_mat!AC51=1),(VLOOKUP(AB$1,test!$A$3:$I$32,8,FALSE))-(VLOOKUP($A82,test!$A$3:$I$32,9,FALSE))-test!$B$34,0)</f>
        <v>0</v>
      </c>
      <c r="AC82">
        <f>IF(AND(SUM(VLOOKUP($A82,test!$A$3:$F$32,2,FALSE),VLOOKUP(AC$1,test!$A$3:$F$32,2,FALSE))&lt;test!$K$16,$A82&lt;&gt;AC$1,Recharged_Feasible_mat!AD51=1),(VLOOKUP(AC$1,test!$A$3:$I$32,8,FALSE))-(VLOOKUP($A82,test!$A$3:$I$32,9,FALSE))-test!$B$34,0)</f>
        <v>20</v>
      </c>
      <c r="AD82">
        <f>IF(AND(SUM(VLOOKUP($A82,test!$A$3:$F$32,2,FALSE),VLOOKUP(AD$1,test!$A$3:$F$32,2,FALSE))&lt;test!$K$16,$A82&lt;&gt;AD$1,Recharged_Feasible_mat!AE51=1),(VLOOKUP(AD$1,test!$A$3:$I$32,8,FALSE))-(VLOOKUP($A82,test!$A$3:$I$32,9,FALSE))-test!$B$34,0)</f>
        <v>0</v>
      </c>
      <c r="AE82">
        <f>IF(AND(SUM(VLOOKUP($A82,test!$A$3:$F$32,2,FALSE),VLOOKUP(AE$1,test!$A$3:$F$32,2,FALSE))&lt;test!$K$16,$A82&lt;&gt;AE$1,Recharged_Feasible_mat!AF51=1),(VLOOKUP(AE$1,test!$A$3:$I$32,8,FALSE))-(VLOOKUP($A82,test!$A$3:$I$32,9,FALSE))-test!$B$34,0)</f>
        <v>0</v>
      </c>
      <c r="AF82">
        <f>IF(AND(SUM(VLOOKUP($A82,test!$A$3:$F$32,2,FALSE),VLOOKUP(AF$1,test!$A$3:$F$32,2,FALSE))&lt;test!$K$16,$A82&lt;&gt;AF$1,Recharged_Feasible_mat!AG51=1),(VLOOKUP(AF$1,test!$A$3:$I$32,8,FALSE))-(VLOOKUP($A82,test!$A$3:$I$32,9,FALSE))-test!$B$34,0)</f>
        <v>0</v>
      </c>
    </row>
    <row r="83" spans="1:32" x14ac:dyDescent="0.25">
      <c r="A83" t="s">
        <v>30</v>
      </c>
      <c r="B83">
        <v>0</v>
      </c>
      <c r="C83">
        <f>IF(AND(SUM(VLOOKUP($A83,test!$A$3:$F$32,2,FALSE),VLOOKUP(C$1,test!$A$3:$F$32,2,FALSE))&lt;test!$K$16,$A83&lt;&gt;C$1,Recharged_Feasible_mat!D52=1),(VLOOKUP(C$1,test!$A$3:$I$32,8,FALSE))-(VLOOKUP($A83,test!$A$3:$I$32,9,FALSE))-test!$B$34,0)</f>
        <v>0</v>
      </c>
      <c r="D83">
        <f>IF(AND(SUM(VLOOKUP($A83,test!$A$3:$F$32,2,FALSE),VLOOKUP(D$1,test!$A$3:$F$32,2,FALSE))&lt;test!$K$16,$A83&lt;&gt;D$1,Recharged_Feasible_mat!E52=1),(VLOOKUP(D$1,test!$A$3:$I$32,8,FALSE))-(VLOOKUP($A83,test!$A$3:$I$32,9,FALSE))-test!$B$34,0)</f>
        <v>0</v>
      </c>
      <c r="E83">
        <f>IF(AND(SUM(VLOOKUP($A83,test!$A$3:$F$32,2,FALSE),VLOOKUP(E$1,test!$A$3:$F$32,2,FALSE))&lt;test!$K$16,$A83&lt;&gt;E$1,Recharged_Feasible_mat!F52=1),(VLOOKUP(E$1,test!$A$3:$I$32,8,FALSE))-(VLOOKUP($A83,test!$A$3:$I$32,9,FALSE))-test!$B$34,0)</f>
        <v>0</v>
      </c>
      <c r="F83">
        <f>IF(AND(SUM(VLOOKUP($A83,test!$A$3:$F$32,2,FALSE),VLOOKUP(F$1,test!$A$3:$F$32,2,FALSE))&lt;test!$K$16,$A83&lt;&gt;F$1,Recharged_Feasible_mat!G52=1),(VLOOKUP(F$1,test!$A$3:$I$32,8,FALSE))-(VLOOKUP($A83,test!$A$3:$I$32,9,FALSE))-test!$B$34,0)</f>
        <v>0</v>
      </c>
      <c r="G83">
        <f>IF(AND(SUM(VLOOKUP($A83,test!$A$3:$F$32,2,FALSE),VLOOKUP(G$1,test!$A$3:$F$32,2,FALSE))&lt;test!$K$16,$A83&lt;&gt;G$1,Recharged_Feasible_mat!H52=1),(VLOOKUP(G$1,test!$A$3:$I$32,8,FALSE))-(VLOOKUP($A83,test!$A$3:$I$32,9,FALSE))-test!$B$34,0)</f>
        <v>0</v>
      </c>
      <c r="H83">
        <f>IF(AND(SUM(VLOOKUP($A83,test!$A$3:$F$32,2,FALSE),VLOOKUP(H$1,test!$A$3:$F$32,2,FALSE))&lt;test!$K$16,$A83&lt;&gt;H$1,Recharged_Feasible_mat!I52=1),(VLOOKUP(H$1,test!$A$3:$I$32,8,FALSE))-(VLOOKUP($A83,test!$A$3:$I$32,9,FALSE))-test!$B$34,0)</f>
        <v>0</v>
      </c>
      <c r="I83">
        <f>IF(AND(SUM(VLOOKUP($A83,test!$A$3:$F$32,2,FALSE),VLOOKUP(I$1,test!$A$3:$F$32,2,FALSE))&lt;test!$K$16,$A83&lt;&gt;I$1,Recharged_Feasible_mat!J52=1),(VLOOKUP(I$1,test!$A$3:$I$32,8,FALSE))-(VLOOKUP($A83,test!$A$3:$I$32,9,FALSE))-test!$B$34,0)</f>
        <v>0</v>
      </c>
      <c r="J83">
        <f>IF(AND(SUM(VLOOKUP($A83,test!$A$3:$F$32,2,FALSE),VLOOKUP(J$1,test!$A$3:$F$32,2,FALSE))&lt;test!$K$16,$A83&lt;&gt;J$1,Recharged_Feasible_mat!K52=1),(VLOOKUP(J$1,test!$A$3:$I$32,8,FALSE))-(VLOOKUP($A83,test!$A$3:$I$32,9,FALSE))-test!$B$34,0)</f>
        <v>80</v>
      </c>
      <c r="K83">
        <f>IF(AND(SUM(VLOOKUP($A83,test!$A$3:$F$32,2,FALSE),VLOOKUP(K$1,test!$A$3:$F$32,2,FALSE))&lt;test!$K$16,$A83&lt;&gt;K$1,Recharged_Feasible_mat!L52=1),(VLOOKUP(K$1,test!$A$3:$I$32,8,FALSE))-(VLOOKUP($A83,test!$A$3:$I$32,9,FALSE))-test!$B$34,0)</f>
        <v>0</v>
      </c>
      <c r="L83">
        <f>IF(AND(SUM(VLOOKUP($A83,test!$A$3:$F$32,2,FALSE),VLOOKUP(L$1,test!$A$3:$F$32,2,FALSE))&lt;test!$K$16,$A83&lt;&gt;L$1,Recharged_Feasible_mat!M52=1),(VLOOKUP(L$1,test!$A$3:$I$32,8,FALSE))-(VLOOKUP($A83,test!$A$3:$I$32,9,FALSE))-test!$B$34,0)</f>
        <v>0</v>
      </c>
      <c r="M83">
        <f>IF(AND(SUM(VLOOKUP($A83,test!$A$3:$F$32,2,FALSE),VLOOKUP(M$1,test!$A$3:$F$32,2,FALSE))&lt;test!$K$16,$A83&lt;&gt;M$1,Recharged_Feasible_mat!N52=1),(VLOOKUP(M$1,test!$A$3:$I$32,8,FALSE))-(VLOOKUP($A83,test!$A$3:$I$32,9,FALSE))-test!$B$34,0)</f>
        <v>0</v>
      </c>
      <c r="N83">
        <f>IF(AND(SUM(VLOOKUP($A83,test!$A$3:$F$32,2,FALSE),VLOOKUP(N$1,test!$A$3:$F$32,2,FALSE))&lt;test!$K$16,$A83&lt;&gt;N$1,Recharged_Feasible_mat!O52=1),(VLOOKUP(N$1,test!$A$3:$I$32,8,FALSE))-(VLOOKUP($A83,test!$A$3:$I$32,9,FALSE))-test!$B$34,0)</f>
        <v>45</v>
      </c>
      <c r="O83">
        <f>IF(AND(SUM(VLOOKUP($A83,test!$A$3:$F$32,2,FALSE),VLOOKUP(O$1,test!$A$3:$F$32,2,FALSE))&lt;test!$K$16,$A83&lt;&gt;O$1,Recharged_Feasible_mat!P52=1),(VLOOKUP(O$1,test!$A$3:$I$32,8,FALSE))-(VLOOKUP($A83,test!$A$3:$I$32,9,FALSE))-test!$B$34,0)</f>
        <v>105</v>
      </c>
      <c r="P83">
        <f>IF(AND(SUM(VLOOKUP($A83,test!$A$3:$F$32,2,FALSE),VLOOKUP(P$1,test!$A$3:$F$32,2,FALSE))&lt;test!$K$16,$A83&lt;&gt;P$1,Recharged_Feasible_mat!Q52=1),(VLOOKUP(P$1,test!$A$3:$I$32,8,FALSE))-(VLOOKUP($A83,test!$A$3:$I$32,9,FALSE))-test!$B$34,0)</f>
        <v>0</v>
      </c>
      <c r="Q83">
        <f>IF(AND(SUM(VLOOKUP($A83,test!$A$3:$F$32,2,FALSE),VLOOKUP(Q$1,test!$A$3:$F$32,2,FALSE))&lt;test!$K$16,$A83&lt;&gt;Q$1,Recharged_Feasible_mat!R52=1),(VLOOKUP(Q$1,test!$A$3:$I$32,8,FALSE))-(VLOOKUP($A83,test!$A$3:$I$32,9,FALSE))-test!$B$34,0)</f>
        <v>0</v>
      </c>
      <c r="R83">
        <f>IF(AND(SUM(VLOOKUP($A83,test!$A$3:$F$32,2,FALSE),VLOOKUP(R$1,test!$A$3:$F$32,2,FALSE))&lt;test!$K$16,$A83&lt;&gt;R$1,Recharged_Feasible_mat!S52=1),(VLOOKUP(R$1,test!$A$3:$I$32,8,FALSE))-(VLOOKUP($A83,test!$A$3:$I$32,9,FALSE))-test!$B$34,0)</f>
        <v>0</v>
      </c>
      <c r="S83">
        <f>IF(AND(SUM(VLOOKUP($A83,test!$A$3:$F$32,2,FALSE),VLOOKUP(S$1,test!$A$3:$F$32,2,FALSE))&lt;test!$K$16,$A83&lt;&gt;S$1,Recharged_Feasible_mat!T52=1),(VLOOKUP(S$1,test!$A$3:$I$32,8,FALSE))-(VLOOKUP($A83,test!$A$3:$I$32,9,FALSE))-test!$B$34,0)</f>
        <v>0</v>
      </c>
      <c r="T83">
        <f>IF(AND(SUM(VLOOKUP($A83,test!$A$3:$F$32,2,FALSE),VLOOKUP(T$1,test!$A$3:$F$32,2,FALSE))&lt;test!$K$16,$A83&lt;&gt;T$1,Recharged_Feasible_mat!U52=1),(VLOOKUP(T$1,test!$A$3:$I$32,8,FALSE))-(VLOOKUP($A83,test!$A$3:$I$32,9,FALSE))-test!$B$34,0)</f>
        <v>0</v>
      </c>
      <c r="U83">
        <f>IF(AND(SUM(VLOOKUP($A83,test!$A$3:$F$32,2,FALSE),VLOOKUP(U$1,test!$A$3:$F$32,2,FALSE))&lt;test!$K$16,$A83&lt;&gt;U$1,Recharged_Feasible_mat!V52=1),(VLOOKUP(U$1,test!$A$3:$I$32,8,FALSE))-(VLOOKUP($A83,test!$A$3:$I$32,9,FALSE))-test!$B$34,0)</f>
        <v>0</v>
      </c>
      <c r="V83">
        <f>IF(AND(SUM(VLOOKUP($A83,test!$A$3:$F$32,2,FALSE),VLOOKUP(V$1,test!$A$3:$F$32,2,FALSE))&lt;test!$K$16,$A83&lt;&gt;V$1,Recharged_Feasible_mat!W52=1),(VLOOKUP(V$1,test!$A$3:$I$32,8,FALSE))-(VLOOKUP($A83,test!$A$3:$I$32,9,FALSE))-test!$B$34,0)</f>
        <v>0</v>
      </c>
      <c r="W83">
        <f>IF(AND(SUM(VLOOKUP($A83,test!$A$3:$F$32,2,FALSE),VLOOKUP(W$1,test!$A$3:$F$32,2,FALSE))&lt;test!$K$16,$A83&lt;&gt;W$1,Recharged_Feasible_mat!X52=1),(VLOOKUP(W$1,test!$A$3:$I$32,8,FALSE))-(VLOOKUP($A83,test!$A$3:$I$32,9,FALSE))-test!$B$34,0)</f>
        <v>0</v>
      </c>
      <c r="X83">
        <f>IF(AND(SUM(VLOOKUP($A83,test!$A$3:$F$32,2,FALSE),VLOOKUP(X$1,test!$A$3:$F$32,2,FALSE))&lt;test!$K$16,$A83&lt;&gt;X$1,Recharged_Feasible_mat!Y52=1),(VLOOKUP(X$1,test!$A$3:$I$32,8,FALSE))-(VLOOKUP($A83,test!$A$3:$I$32,9,FALSE))-test!$B$34,0)</f>
        <v>30</v>
      </c>
      <c r="Y83">
        <f>IF(AND(SUM(VLOOKUP($A83,test!$A$3:$F$32,2,FALSE),VLOOKUP(Y$1,test!$A$3:$F$32,2,FALSE))&lt;test!$K$16,$A83&lt;&gt;Y$1,Recharged_Feasible_mat!Z52=1),(VLOOKUP(Y$1,test!$A$3:$I$32,8,FALSE))-(VLOOKUP($A83,test!$A$3:$I$32,9,FALSE))-test!$B$34,0)</f>
        <v>0</v>
      </c>
      <c r="Z83">
        <f>IF(AND(SUM(VLOOKUP($A83,test!$A$3:$F$32,2,FALSE),VLOOKUP(Z$1,test!$A$3:$F$32,2,FALSE))&lt;test!$K$16,$A83&lt;&gt;Z$1,Recharged_Feasible_mat!AA52=1),(VLOOKUP(Z$1,test!$A$3:$I$32,8,FALSE))-(VLOOKUP($A83,test!$A$3:$I$32,9,FALSE))-test!$B$34,0)</f>
        <v>0</v>
      </c>
      <c r="AA83">
        <f>IF(AND(SUM(VLOOKUP($A83,test!$A$3:$F$32,2,FALSE),VLOOKUP(AA$1,test!$A$3:$F$32,2,FALSE))&lt;test!$K$16,$A83&lt;&gt;AA$1,Recharged_Feasible_mat!AB52=1),(VLOOKUP(AA$1,test!$A$3:$I$32,8,FALSE))-(VLOOKUP($A83,test!$A$3:$I$32,9,FALSE))-test!$B$34,0)</f>
        <v>0</v>
      </c>
      <c r="AB83">
        <f>IF(AND(SUM(VLOOKUP($A83,test!$A$3:$F$32,2,FALSE),VLOOKUP(AB$1,test!$A$3:$F$32,2,FALSE))&lt;test!$K$16,$A83&lt;&gt;AB$1,Recharged_Feasible_mat!AC52=1),(VLOOKUP(AB$1,test!$A$3:$I$32,8,FALSE))-(VLOOKUP($A83,test!$A$3:$I$32,9,FALSE))-test!$B$34,0)</f>
        <v>0</v>
      </c>
      <c r="AC83">
        <f>IF(AND(SUM(VLOOKUP($A83,test!$A$3:$F$32,2,FALSE),VLOOKUP(AC$1,test!$A$3:$F$32,2,FALSE))&lt;test!$K$16,$A83&lt;&gt;AC$1,Recharged_Feasible_mat!AD52=1),(VLOOKUP(AC$1,test!$A$3:$I$32,8,FALSE))-(VLOOKUP($A83,test!$A$3:$I$32,9,FALSE))-test!$B$34,0)</f>
        <v>0</v>
      </c>
      <c r="AD83">
        <f>IF(AND(SUM(VLOOKUP($A83,test!$A$3:$F$32,2,FALSE),VLOOKUP(AD$1,test!$A$3:$F$32,2,FALSE))&lt;test!$K$16,$A83&lt;&gt;AD$1,Recharged_Feasible_mat!AE52=1),(VLOOKUP(AD$1,test!$A$3:$I$32,8,FALSE))-(VLOOKUP($A83,test!$A$3:$I$32,9,FALSE))-test!$B$34,0)</f>
        <v>0</v>
      </c>
      <c r="AE83">
        <f>IF(AND(SUM(VLOOKUP($A83,test!$A$3:$F$32,2,FALSE),VLOOKUP(AE$1,test!$A$3:$F$32,2,FALSE))&lt;test!$K$16,$A83&lt;&gt;AE$1,Recharged_Feasible_mat!AF52=1),(VLOOKUP(AE$1,test!$A$3:$I$32,8,FALSE))-(VLOOKUP($A83,test!$A$3:$I$32,9,FALSE))-test!$B$34,0)</f>
        <v>0</v>
      </c>
      <c r="AF83">
        <f>IF(AND(SUM(VLOOKUP($A83,test!$A$3:$F$32,2,FALSE),VLOOKUP(AF$1,test!$A$3:$F$32,2,FALSE))&lt;test!$K$16,$A83&lt;&gt;AF$1,Recharged_Feasible_mat!AG52=1),(VLOOKUP(AF$1,test!$A$3:$I$32,8,FALSE))-(VLOOKUP($A83,test!$A$3:$I$32,9,FALSE))-test!$B$34,0)</f>
        <v>0</v>
      </c>
    </row>
    <row r="84" spans="1:32" x14ac:dyDescent="0.25">
      <c r="A84" t="s">
        <v>31</v>
      </c>
      <c r="B84">
        <v>0</v>
      </c>
      <c r="C84">
        <f>IF(AND(SUM(VLOOKUP($A84,test!$A$3:$F$32,2,FALSE),VLOOKUP(C$1,test!$A$3:$F$32,2,FALSE))&lt;test!$K$16,$A84&lt;&gt;C$1,Recharged_Feasible_mat!D53=1),(VLOOKUP(C$1,test!$A$3:$I$32,8,FALSE))-(VLOOKUP($A84,test!$A$3:$I$32,9,FALSE))-test!$B$34,0)</f>
        <v>0</v>
      </c>
      <c r="D84">
        <f>IF(AND(SUM(VLOOKUP($A84,test!$A$3:$F$32,2,FALSE),VLOOKUP(D$1,test!$A$3:$F$32,2,FALSE))&lt;test!$K$16,$A84&lt;&gt;D$1,Recharged_Feasible_mat!E53=1),(VLOOKUP(D$1,test!$A$3:$I$32,8,FALSE))-(VLOOKUP($A84,test!$A$3:$I$32,9,FALSE))-test!$B$34,0)</f>
        <v>0</v>
      </c>
      <c r="E84">
        <f>IF(AND(SUM(VLOOKUP($A84,test!$A$3:$F$32,2,FALSE),VLOOKUP(E$1,test!$A$3:$F$32,2,FALSE))&lt;test!$K$16,$A84&lt;&gt;E$1,Recharged_Feasible_mat!F53=1),(VLOOKUP(E$1,test!$A$3:$I$32,8,FALSE))-(VLOOKUP($A84,test!$A$3:$I$32,9,FALSE))-test!$B$34,0)</f>
        <v>0</v>
      </c>
      <c r="F84">
        <f>IF(AND(SUM(VLOOKUP($A84,test!$A$3:$F$32,2,FALSE),VLOOKUP(F$1,test!$A$3:$F$32,2,FALSE))&lt;test!$K$16,$A84&lt;&gt;F$1,Recharged_Feasible_mat!G53=1),(VLOOKUP(F$1,test!$A$3:$I$32,8,FALSE))-(VLOOKUP($A84,test!$A$3:$I$32,9,FALSE))-test!$B$34,0)</f>
        <v>0</v>
      </c>
      <c r="G84">
        <f>IF(AND(SUM(VLOOKUP($A84,test!$A$3:$F$32,2,FALSE),VLOOKUP(G$1,test!$A$3:$F$32,2,FALSE))&lt;test!$K$16,$A84&lt;&gt;G$1,Recharged_Feasible_mat!H53=1),(VLOOKUP(G$1,test!$A$3:$I$32,8,FALSE))-(VLOOKUP($A84,test!$A$3:$I$32,9,FALSE))-test!$B$34,0)</f>
        <v>0</v>
      </c>
      <c r="H84">
        <f>IF(AND(SUM(VLOOKUP($A84,test!$A$3:$F$32,2,FALSE),VLOOKUP(H$1,test!$A$3:$F$32,2,FALSE))&lt;test!$K$16,$A84&lt;&gt;H$1,Recharged_Feasible_mat!I53=1),(VLOOKUP(H$1,test!$A$3:$I$32,8,FALSE))-(VLOOKUP($A84,test!$A$3:$I$32,9,FALSE))-test!$B$34,0)</f>
        <v>0</v>
      </c>
      <c r="I84">
        <f>IF(AND(SUM(VLOOKUP($A84,test!$A$3:$F$32,2,FALSE),VLOOKUP(I$1,test!$A$3:$F$32,2,FALSE))&lt;test!$K$16,$A84&lt;&gt;I$1,Recharged_Feasible_mat!J53=1),(VLOOKUP(I$1,test!$A$3:$I$32,8,FALSE))-(VLOOKUP($A84,test!$A$3:$I$32,9,FALSE))-test!$B$34,0)</f>
        <v>0</v>
      </c>
      <c r="J84">
        <f>IF(AND(SUM(VLOOKUP($A84,test!$A$3:$F$32,2,FALSE),VLOOKUP(J$1,test!$A$3:$F$32,2,FALSE))&lt;test!$K$16,$A84&lt;&gt;J$1,Recharged_Feasible_mat!K53=1),(VLOOKUP(J$1,test!$A$3:$I$32,8,FALSE))-(VLOOKUP($A84,test!$A$3:$I$32,9,FALSE))-test!$B$34,0)</f>
        <v>0</v>
      </c>
      <c r="K84">
        <f>IF(AND(SUM(VLOOKUP($A84,test!$A$3:$F$32,2,FALSE),VLOOKUP(K$1,test!$A$3:$F$32,2,FALSE))&lt;test!$K$16,$A84&lt;&gt;K$1,Recharged_Feasible_mat!L53=1),(VLOOKUP(K$1,test!$A$3:$I$32,8,FALSE))-(VLOOKUP($A84,test!$A$3:$I$32,9,FALSE))-test!$B$34,0)</f>
        <v>0</v>
      </c>
      <c r="L84">
        <f>IF(AND(SUM(VLOOKUP($A84,test!$A$3:$F$32,2,FALSE),VLOOKUP(L$1,test!$A$3:$F$32,2,FALSE))&lt;test!$K$16,$A84&lt;&gt;L$1,Recharged_Feasible_mat!M53=1),(VLOOKUP(L$1,test!$A$3:$I$32,8,FALSE))-(VLOOKUP($A84,test!$A$3:$I$32,9,FALSE))-test!$B$34,0)</f>
        <v>0</v>
      </c>
      <c r="M84">
        <f>IF(AND(SUM(VLOOKUP($A84,test!$A$3:$F$32,2,FALSE),VLOOKUP(M$1,test!$A$3:$F$32,2,FALSE))&lt;test!$K$16,$A84&lt;&gt;M$1,Recharged_Feasible_mat!N53=1),(VLOOKUP(M$1,test!$A$3:$I$32,8,FALSE))-(VLOOKUP($A84,test!$A$3:$I$32,9,FALSE))-test!$B$34,0)</f>
        <v>0</v>
      </c>
      <c r="N84">
        <f>IF(AND(SUM(VLOOKUP($A84,test!$A$3:$F$32,2,FALSE),VLOOKUP(N$1,test!$A$3:$F$32,2,FALSE))&lt;test!$K$16,$A84&lt;&gt;N$1,Recharged_Feasible_mat!O53=1),(VLOOKUP(N$1,test!$A$3:$I$32,8,FALSE))-(VLOOKUP($A84,test!$A$3:$I$32,9,FALSE))-test!$B$34,0)</f>
        <v>0</v>
      </c>
      <c r="O84">
        <f>IF(AND(SUM(VLOOKUP($A84,test!$A$3:$F$32,2,FALSE),VLOOKUP(O$1,test!$A$3:$F$32,2,FALSE))&lt;test!$K$16,$A84&lt;&gt;O$1,Recharged_Feasible_mat!P53=1),(VLOOKUP(O$1,test!$A$3:$I$32,8,FALSE))-(VLOOKUP($A84,test!$A$3:$I$32,9,FALSE))-test!$B$34,0)</f>
        <v>15</v>
      </c>
      <c r="P84">
        <f>IF(AND(SUM(VLOOKUP($A84,test!$A$3:$F$32,2,FALSE),VLOOKUP(P$1,test!$A$3:$F$32,2,FALSE))&lt;test!$K$16,$A84&lt;&gt;P$1,Recharged_Feasible_mat!Q53=1),(VLOOKUP(P$1,test!$A$3:$I$32,8,FALSE))-(VLOOKUP($A84,test!$A$3:$I$32,9,FALSE))-test!$B$34,0)</f>
        <v>0</v>
      </c>
      <c r="Q84">
        <f>IF(AND(SUM(VLOOKUP($A84,test!$A$3:$F$32,2,FALSE),VLOOKUP(Q$1,test!$A$3:$F$32,2,FALSE))&lt;test!$K$16,$A84&lt;&gt;Q$1,Recharged_Feasible_mat!R53=1),(VLOOKUP(Q$1,test!$A$3:$I$32,8,FALSE))-(VLOOKUP($A84,test!$A$3:$I$32,9,FALSE))-test!$B$34,0)</f>
        <v>0</v>
      </c>
      <c r="R84">
        <f>IF(AND(SUM(VLOOKUP($A84,test!$A$3:$F$32,2,FALSE),VLOOKUP(R$1,test!$A$3:$F$32,2,FALSE))&lt;test!$K$16,$A84&lt;&gt;R$1,Recharged_Feasible_mat!S53=1),(VLOOKUP(R$1,test!$A$3:$I$32,8,FALSE))-(VLOOKUP($A84,test!$A$3:$I$32,9,FALSE))-test!$B$34,0)</f>
        <v>0</v>
      </c>
      <c r="S84">
        <f>IF(AND(SUM(VLOOKUP($A84,test!$A$3:$F$32,2,FALSE),VLOOKUP(S$1,test!$A$3:$F$32,2,FALSE))&lt;test!$K$16,$A84&lt;&gt;S$1,Recharged_Feasible_mat!T53=1),(VLOOKUP(S$1,test!$A$3:$I$32,8,FALSE))-(VLOOKUP($A84,test!$A$3:$I$32,9,FALSE))-test!$B$34,0)</f>
        <v>0</v>
      </c>
      <c r="T84">
        <f>IF(AND(SUM(VLOOKUP($A84,test!$A$3:$F$32,2,FALSE),VLOOKUP(T$1,test!$A$3:$F$32,2,FALSE))&lt;test!$K$16,$A84&lt;&gt;T$1,Recharged_Feasible_mat!U53=1),(VLOOKUP(T$1,test!$A$3:$I$32,8,FALSE))-(VLOOKUP($A84,test!$A$3:$I$32,9,FALSE))-test!$B$34,0)</f>
        <v>0</v>
      </c>
      <c r="U84">
        <f>IF(AND(SUM(VLOOKUP($A84,test!$A$3:$F$32,2,FALSE),VLOOKUP(U$1,test!$A$3:$F$32,2,FALSE))&lt;test!$K$16,$A84&lt;&gt;U$1,Recharged_Feasible_mat!V53=1),(VLOOKUP(U$1,test!$A$3:$I$32,8,FALSE))-(VLOOKUP($A84,test!$A$3:$I$32,9,FALSE))-test!$B$34,0)</f>
        <v>0</v>
      </c>
      <c r="V84">
        <f>IF(AND(SUM(VLOOKUP($A84,test!$A$3:$F$32,2,FALSE),VLOOKUP(V$1,test!$A$3:$F$32,2,FALSE))&lt;test!$K$16,$A84&lt;&gt;V$1,Recharged_Feasible_mat!W53=1),(VLOOKUP(V$1,test!$A$3:$I$32,8,FALSE))-(VLOOKUP($A84,test!$A$3:$I$32,9,FALSE))-test!$B$34,0)</f>
        <v>0</v>
      </c>
      <c r="W84">
        <f>IF(AND(SUM(VLOOKUP($A84,test!$A$3:$F$32,2,FALSE),VLOOKUP(W$1,test!$A$3:$F$32,2,FALSE))&lt;test!$K$16,$A84&lt;&gt;W$1,Recharged_Feasible_mat!X53=1),(VLOOKUP(W$1,test!$A$3:$I$32,8,FALSE))-(VLOOKUP($A84,test!$A$3:$I$32,9,FALSE))-test!$B$34,0)</f>
        <v>0</v>
      </c>
      <c r="X84">
        <f>IF(AND(SUM(VLOOKUP($A84,test!$A$3:$F$32,2,FALSE),VLOOKUP(X$1,test!$A$3:$F$32,2,FALSE))&lt;test!$K$16,$A84&lt;&gt;X$1,Recharged_Feasible_mat!Y53=1),(VLOOKUP(X$1,test!$A$3:$I$32,8,FALSE))-(VLOOKUP($A84,test!$A$3:$I$32,9,FALSE))-test!$B$34,0)</f>
        <v>0</v>
      </c>
      <c r="Y84">
        <f>IF(AND(SUM(VLOOKUP($A84,test!$A$3:$F$32,2,FALSE),VLOOKUP(Y$1,test!$A$3:$F$32,2,FALSE))&lt;test!$K$16,$A84&lt;&gt;Y$1,Recharged_Feasible_mat!Z53=1),(VLOOKUP(Y$1,test!$A$3:$I$32,8,FALSE))-(VLOOKUP($A84,test!$A$3:$I$32,9,FALSE))-test!$B$34,0)</f>
        <v>0</v>
      </c>
      <c r="Z84">
        <f>IF(AND(SUM(VLOOKUP($A84,test!$A$3:$F$32,2,FALSE),VLOOKUP(Z$1,test!$A$3:$F$32,2,FALSE))&lt;test!$K$16,$A84&lt;&gt;Z$1,Recharged_Feasible_mat!AA53=1),(VLOOKUP(Z$1,test!$A$3:$I$32,8,FALSE))-(VLOOKUP($A84,test!$A$3:$I$32,9,FALSE))-test!$B$34,0)</f>
        <v>0</v>
      </c>
      <c r="AA84">
        <f>IF(AND(SUM(VLOOKUP($A84,test!$A$3:$F$32,2,FALSE),VLOOKUP(AA$1,test!$A$3:$F$32,2,FALSE))&lt;test!$K$16,$A84&lt;&gt;AA$1,Recharged_Feasible_mat!AB53=1),(VLOOKUP(AA$1,test!$A$3:$I$32,8,FALSE))-(VLOOKUP($A84,test!$A$3:$I$32,9,FALSE))-test!$B$34,0)</f>
        <v>0</v>
      </c>
      <c r="AB84">
        <f>IF(AND(SUM(VLOOKUP($A84,test!$A$3:$F$32,2,FALSE),VLOOKUP(AB$1,test!$A$3:$F$32,2,FALSE))&lt;test!$K$16,$A84&lt;&gt;AB$1,Recharged_Feasible_mat!AC53=1),(VLOOKUP(AB$1,test!$A$3:$I$32,8,FALSE))-(VLOOKUP($A84,test!$A$3:$I$32,9,FALSE))-test!$B$34,0)</f>
        <v>0</v>
      </c>
      <c r="AC84">
        <f>IF(AND(SUM(VLOOKUP($A84,test!$A$3:$F$32,2,FALSE),VLOOKUP(AC$1,test!$A$3:$F$32,2,FALSE))&lt;test!$K$16,$A84&lt;&gt;AC$1,Recharged_Feasible_mat!AD53=1),(VLOOKUP(AC$1,test!$A$3:$I$32,8,FALSE))-(VLOOKUP($A84,test!$A$3:$I$32,9,FALSE))-test!$B$34,0)</f>
        <v>0</v>
      </c>
      <c r="AD84">
        <f>IF(AND(SUM(VLOOKUP($A84,test!$A$3:$F$32,2,FALSE),VLOOKUP(AD$1,test!$A$3:$F$32,2,FALSE))&lt;test!$K$16,$A84&lt;&gt;AD$1,Recharged_Feasible_mat!AE53=1),(VLOOKUP(AD$1,test!$A$3:$I$32,8,FALSE))-(VLOOKUP($A84,test!$A$3:$I$32,9,FALSE))-test!$B$34,0)</f>
        <v>0</v>
      </c>
      <c r="AE84">
        <f>IF(AND(SUM(VLOOKUP($A84,test!$A$3:$F$32,2,FALSE),VLOOKUP(AE$1,test!$A$3:$F$32,2,FALSE))&lt;test!$K$16,$A84&lt;&gt;AE$1,Recharged_Feasible_mat!AF53=1),(VLOOKUP(AE$1,test!$A$3:$I$32,8,FALSE))-(VLOOKUP($A84,test!$A$3:$I$32,9,FALSE))-test!$B$34,0)</f>
        <v>0</v>
      </c>
      <c r="AF84">
        <f>IF(AND(SUM(VLOOKUP($A84,test!$A$3:$F$32,2,FALSE),VLOOKUP(AF$1,test!$A$3:$F$32,2,FALSE))&lt;test!$K$16,$A84&lt;&gt;AF$1,Recharged_Feasible_mat!AG53=1),(VLOOKUP(AF$1,test!$A$3:$I$32,8,FALSE))-(VLOOKUP($A84,test!$A$3:$I$32,9,FALSE))-test!$B$34,0)</f>
        <v>0</v>
      </c>
    </row>
    <row r="85" spans="1:32" x14ac:dyDescent="0.25">
      <c r="A85" t="s">
        <v>32</v>
      </c>
      <c r="B85">
        <v>0</v>
      </c>
      <c r="C85">
        <f>IF(AND(SUM(VLOOKUP($A85,test!$A$3:$F$32,2,FALSE),VLOOKUP(C$1,test!$A$3:$F$32,2,FALSE))&lt;test!$K$16,$A85&lt;&gt;C$1,Recharged_Feasible_mat!D54=1),(VLOOKUP(C$1,test!$A$3:$I$32,8,FALSE))-(VLOOKUP($A85,test!$A$3:$I$32,9,FALSE))-test!$B$34,0)</f>
        <v>0</v>
      </c>
      <c r="D85">
        <f>IF(AND(SUM(VLOOKUP($A85,test!$A$3:$F$32,2,FALSE),VLOOKUP(D$1,test!$A$3:$F$32,2,FALSE))&lt;test!$K$16,$A85&lt;&gt;D$1,Recharged_Feasible_mat!E54=1),(VLOOKUP(D$1,test!$A$3:$I$32,8,FALSE))-(VLOOKUP($A85,test!$A$3:$I$32,9,FALSE))-test!$B$34,0)</f>
        <v>0</v>
      </c>
      <c r="E85">
        <f>IF(AND(SUM(VLOOKUP($A85,test!$A$3:$F$32,2,FALSE),VLOOKUP(E$1,test!$A$3:$F$32,2,FALSE))&lt;test!$K$16,$A85&lt;&gt;E$1,Recharged_Feasible_mat!F54=1),(VLOOKUP(E$1,test!$A$3:$I$32,8,FALSE))-(VLOOKUP($A85,test!$A$3:$I$32,9,FALSE))-test!$B$34,0)</f>
        <v>0</v>
      </c>
      <c r="F85">
        <f>IF(AND(SUM(VLOOKUP($A85,test!$A$3:$F$32,2,FALSE),VLOOKUP(F$1,test!$A$3:$F$32,2,FALSE))&lt;test!$K$16,$A85&lt;&gt;F$1,Recharged_Feasible_mat!G54=1),(VLOOKUP(F$1,test!$A$3:$I$32,8,FALSE))-(VLOOKUP($A85,test!$A$3:$I$32,9,FALSE))-test!$B$34,0)</f>
        <v>0</v>
      </c>
      <c r="G85">
        <f>IF(AND(SUM(VLOOKUP($A85,test!$A$3:$F$32,2,FALSE),VLOOKUP(G$1,test!$A$3:$F$32,2,FALSE))&lt;test!$K$16,$A85&lt;&gt;G$1,Recharged_Feasible_mat!H54=1),(VLOOKUP(G$1,test!$A$3:$I$32,8,FALSE))-(VLOOKUP($A85,test!$A$3:$I$32,9,FALSE))-test!$B$34,0)</f>
        <v>0</v>
      </c>
      <c r="H85">
        <f>IF(AND(SUM(VLOOKUP($A85,test!$A$3:$F$32,2,FALSE),VLOOKUP(H$1,test!$A$3:$F$32,2,FALSE))&lt;test!$K$16,$A85&lt;&gt;H$1,Recharged_Feasible_mat!I54=1),(VLOOKUP(H$1,test!$A$3:$I$32,8,FALSE))-(VLOOKUP($A85,test!$A$3:$I$32,9,FALSE))-test!$B$34,0)</f>
        <v>0</v>
      </c>
      <c r="I85">
        <f>IF(AND(SUM(VLOOKUP($A85,test!$A$3:$F$32,2,FALSE),VLOOKUP(I$1,test!$A$3:$F$32,2,FALSE))&lt;test!$K$16,$A85&lt;&gt;I$1,Recharged_Feasible_mat!J54=1),(VLOOKUP(I$1,test!$A$3:$I$32,8,FALSE))-(VLOOKUP($A85,test!$A$3:$I$32,9,FALSE))-test!$B$34,0)</f>
        <v>0</v>
      </c>
      <c r="J85">
        <f>IF(AND(SUM(VLOOKUP($A85,test!$A$3:$F$32,2,FALSE),VLOOKUP(J$1,test!$A$3:$F$32,2,FALSE))&lt;test!$K$16,$A85&lt;&gt;J$1,Recharged_Feasible_mat!K54=1),(VLOOKUP(J$1,test!$A$3:$I$32,8,FALSE))-(VLOOKUP($A85,test!$A$3:$I$32,9,FALSE))-test!$B$34,0)</f>
        <v>0</v>
      </c>
      <c r="K85">
        <f>IF(AND(SUM(VLOOKUP($A85,test!$A$3:$F$32,2,FALSE),VLOOKUP(K$1,test!$A$3:$F$32,2,FALSE))&lt;test!$K$16,$A85&lt;&gt;K$1,Recharged_Feasible_mat!L54=1),(VLOOKUP(K$1,test!$A$3:$I$32,8,FALSE))-(VLOOKUP($A85,test!$A$3:$I$32,9,FALSE))-test!$B$34,0)</f>
        <v>0</v>
      </c>
      <c r="L85">
        <f>IF(AND(SUM(VLOOKUP($A85,test!$A$3:$F$32,2,FALSE),VLOOKUP(L$1,test!$A$3:$F$32,2,FALSE))&lt;test!$K$16,$A85&lt;&gt;L$1,Recharged_Feasible_mat!M54=1),(VLOOKUP(L$1,test!$A$3:$I$32,8,FALSE))-(VLOOKUP($A85,test!$A$3:$I$32,9,FALSE))-test!$B$34,0)</f>
        <v>0</v>
      </c>
      <c r="M85">
        <f>IF(AND(SUM(VLOOKUP($A85,test!$A$3:$F$32,2,FALSE),VLOOKUP(M$1,test!$A$3:$F$32,2,FALSE))&lt;test!$K$16,$A85&lt;&gt;M$1,Recharged_Feasible_mat!N54=1),(VLOOKUP(M$1,test!$A$3:$I$32,8,FALSE))-(VLOOKUP($A85,test!$A$3:$I$32,9,FALSE))-test!$B$34,0)</f>
        <v>0</v>
      </c>
      <c r="N85">
        <f>IF(AND(SUM(VLOOKUP($A85,test!$A$3:$F$32,2,FALSE),VLOOKUP(N$1,test!$A$3:$F$32,2,FALSE))&lt;test!$K$16,$A85&lt;&gt;N$1,Recharged_Feasible_mat!O54=1),(VLOOKUP(N$1,test!$A$3:$I$32,8,FALSE))-(VLOOKUP($A85,test!$A$3:$I$32,9,FALSE))-test!$B$34,0)</f>
        <v>0</v>
      </c>
      <c r="O85">
        <f>IF(AND(SUM(VLOOKUP($A85,test!$A$3:$F$32,2,FALSE),VLOOKUP(O$1,test!$A$3:$F$32,2,FALSE))&lt;test!$K$16,$A85&lt;&gt;O$1,Recharged_Feasible_mat!P54=1),(VLOOKUP(O$1,test!$A$3:$I$32,8,FALSE))-(VLOOKUP($A85,test!$A$3:$I$32,9,FALSE))-test!$B$34,0)</f>
        <v>0</v>
      </c>
      <c r="P85">
        <f>IF(AND(SUM(VLOOKUP($A85,test!$A$3:$F$32,2,FALSE),VLOOKUP(P$1,test!$A$3:$F$32,2,FALSE))&lt;test!$K$16,$A85&lt;&gt;P$1,Recharged_Feasible_mat!Q54=1),(VLOOKUP(P$1,test!$A$3:$I$32,8,FALSE))-(VLOOKUP($A85,test!$A$3:$I$32,9,FALSE))-test!$B$34,0)</f>
        <v>0</v>
      </c>
      <c r="Q85">
        <f>IF(AND(SUM(VLOOKUP($A85,test!$A$3:$F$32,2,FALSE),VLOOKUP(Q$1,test!$A$3:$F$32,2,FALSE))&lt;test!$K$16,$A85&lt;&gt;Q$1,Recharged_Feasible_mat!R54=1),(VLOOKUP(Q$1,test!$A$3:$I$32,8,FALSE))-(VLOOKUP($A85,test!$A$3:$I$32,9,FALSE))-test!$B$34,0)</f>
        <v>0</v>
      </c>
      <c r="R85">
        <f>IF(AND(SUM(VLOOKUP($A85,test!$A$3:$F$32,2,FALSE),VLOOKUP(R$1,test!$A$3:$F$32,2,FALSE))&lt;test!$K$16,$A85&lt;&gt;R$1,Recharged_Feasible_mat!S54=1),(VLOOKUP(R$1,test!$A$3:$I$32,8,FALSE))-(VLOOKUP($A85,test!$A$3:$I$32,9,FALSE))-test!$B$34,0)</f>
        <v>0</v>
      </c>
      <c r="S85">
        <f>IF(AND(SUM(VLOOKUP($A85,test!$A$3:$F$32,2,FALSE),VLOOKUP(S$1,test!$A$3:$F$32,2,FALSE))&lt;test!$K$16,$A85&lt;&gt;S$1,Recharged_Feasible_mat!T54=1),(VLOOKUP(S$1,test!$A$3:$I$32,8,FALSE))-(VLOOKUP($A85,test!$A$3:$I$32,9,FALSE))-test!$B$34,0)</f>
        <v>0</v>
      </c>
      <c r="T85">
        <f>IF(AND(SUM(VLOOKUP($A85,test!$A$3:$F$32,2,FALSE),VLOOKUP(T$1,test!$A$3:$F$32,2,FALSE))&lt;test!$K$16,$A85&lt;&gt;T$1,Recharged_Feasible_mat!U54=1),(VLOOKUP(T$1,test!$A$3:$I$32,8,FALSE))-(VLOOKUP($A85,test!$A$3:$I$32,9,FALSE))-test!$B$34,0)</f>
        <v>0</v>
      </c>
      <c r="U85">
        <f>IF(AND(SUM(VLOOKUP($A85,test!$A$3:$F$32,2,FALSE),VLOOKUP(U$1,test!$A$3:$F$32,2,FALSE))&lt;test!$K$16,$A85&lt;&gt;U$1,Recharged_Feasible_mat!V54=1),(VLOOKUP(U$1,test!$A$3:$I$32,8,FALSE))-(VLOOKUP($A85,test!$A$3:$I$32,9,FALSE))-test!$B$34,0)</f>
        <v>0</v>
      </c>
      <c r="V85">
        <f>IF(AND(SUM(VLOOKUP($A85,test!$A$3:$F$32,2,FALSE),VLOOKUP(V$1,test!$A$3:$F$32,2,FALSE))&lt;test!$K$16,$A85&lt;&gt;V$1,Recharged_Feasible_mat!W54=1),(VLOOKUP(V$1,test!$A$3:$I$32,8,FALSE))-(VLOOKUP($A85,test!$A$3:$I$32,9,FALSE))-test!$B$34,0)</f>
        <v>0</v>
      </c>
      <c r="W85">
        <f>IF(AND(SUM(VLOOKUP($A85,test!$A$3:$F$32,2,FALSE),VLOOKUP(W$1,test!$A$3:$F$32,2,FALSE))&lt;test!$K$16,$A85&lt;&gt;W$1,Recharged_Feasible_mat!X54=1),(VLOOKUP(W$1,test!$A$3:$I$32,8,FALSE))-(VLOOKUP($A85,test!$A$3:$I$32,9,FALSE))-test!$B$34,0)</f>
        <v>0</v>
      </c>
      <c r="X85">
        <f>IF(AND(SUM(VLOOKUP($A85,test!$A$3:$F$32,2,FALSE),VLOOKUP(X$1,test!$A$3:$F$32,2,FALSE))&lt;test!$K$16,$A85&lt;&gt;X$1,Recharged_Feasible_mat!Y54=1),(VLOOKUP(X$1,test!$A$3:$I$32,8,FALSE))-(VLOOKUP($A85,test!$A$3:$I$32,9,FALSE))-test!$B$34,0)</f>
        <v>0</v>
      </c>
      <c r="Y85">
        <f>IF(AND(SUM(VLOOKUP($A85,test!$A$3:$F$32,2,FALSE),VLOOKUP(Y$1,test!$A$3:$F$32,2,FALSE))&lt;test!$K$16,$A85&lt;&gt;Y$1,Recharged_Feasible_mat!Z54=1),(VLOOKUP(Y$1,test!$A$3:$I$32,8,FALSE))-(VLOOKUP($A85,test!$A$3:$I$32,9,FALSE))-test!$B$34,0)</f>
        <v>0</v>
      </c>
      <c r="Z85">
        <f>IF(AND(SUM(VLOOKUP($A85,test!$A$3:$F$32,2,FALSE),VLOOKUP(Z$1,test!$A$3:$F$32,2,FALSE))&lt;test!$K$16,$A85&lt;&gt;Z$1,Recharged_Feasible_mat!AA54=1),(VLOOKUP(Z$1,test!$A$3:$I$32,8,FALSE))-(VLOOKUP($A85,test!$A$3:$I$32,9,FALSE))-test!$B$34,0)</f>
        <v>0</v>
      </c>
      <c r="AA85">
        <f>IF(AND(SUM(VLOOKUP($A85,test!$A$3:$F$32,2,FALSE),VLOOKUP(AA$1,test!$A$3:$F$32,2,FALSE))&lt;test!$K$16,$A85&lt;&gt;AA$1,Recharged_Feasible_mat!AB54=1),(VLOOKUP(AA$1,test!$A$3:$I$32,8,FALSE))-(VLOOKUP($A85,test!$A$3:$I$32,9,FALSE))-test!$B$34,0)</f>
        <v>0</v>
      </c>
      <c r="AB85">
        <f>IF(AND(SUM(VLOOKUP($A85,test!$A$3:$F$32,2,FALSE),VLOOKUP(AB$1,test!$A$3:$F$32,2,FALSE))&lt;test!$K$16,$A85&lt;&gt;AB$1,Recharged_Feasible_mat!AC54=1),(VLOOKUP(AB$1,test!$A$3:$I$32,8,FALSE))-(VLOOKUP($A85,test!$A$3:$I$32,9,FALSE))-test!$B$34,0)</f>
        <v>0</v>
      </c>
      <c r="AC85">
        <f>IF(AND(SUM(VLOOKUP($A85,test!$A$3:$F$32,2,FALSE),VLOOKUP(AC$1,test!$A$3:$F$32,2,FALSE))&lt;test!$K$16,$A85&lt;&gt;AC$1,Recharged_Feasible_mat!AD54=1),(VLOOKUP(AC$1,test!$A$3:$I$32,8,FALSE))-(VLOOKUP($A85,test!$A$3:$I$32,9,FALSE))-test!$B$34,0)</f>
        <v>0</v>
      </c>
      <c r="AD85">
        <f>IF(AND(SUM(VLOOKUP($A85,test!$A$3:$F$32,2,FALSE),VLOOKUP(AD$1,test!$A$3:$F$32,2,FALSE))&lt;test!$K$16,$A85&lt;&gt;AD$1,Recharged_Feasible_mat!AE54=1),(VLOOKUP(AD$1,test!$A$3:$I$32,8,FALSE))-(VLOOKUP($A85,test!$A$3:$I$32,9,FALSE))-test!$B$34,0)</f>
        <v>0</v>
      </c>
      <c r="AE85">
        <f>IF(AND(SUM(VLOOKUP($A85,test!$A$3:$F$32,2,FALSE),VLOOKUP(AE$1,test!$A$3:$F$32,2,FALSE))&lt;test!$K$16,$A85&lt;&gt;AE$1,Recharged_Feasible_mat!AF54=1),(VLOOKUP(AE$1,test!$A$3:$I$32,8,FALSE))-(VLOOKUP($A85,test!$A$3:$I$32,9,FALSE))-test!$B$34,0)</f>
        <v>0</v>
      </c>
      <c r="AF85">
        <f>IF(AND(SUM(VLOOKUP($A85,test!$A$3:$F$32,2,FALSE),VLOOKUP(AF$1,test!$A$3:$F$32,2,FALSE))&lt;test!$K$16,$A85&lt;&gt;AF$1,Recharged_Feasible_mat!AG54=1),(VLOOKUP(AF$1,test!$A$3:$I$32,8,FALSE))-(VLOOKUP($A85,test!$A$3:$I$32,9,FALSE))-test!$B$34,0)</f>
        <v>0</v>
      </c>
    </row>
    <row r="86" spans="1:32" x14ac:dyDescent="0.25">
      <c r="A86" t="s">
        <v>33</v>
      </c>
      <c r="B86">
        <v>0</v>
      </c>
      <c r="C86">
        <f>IF(AND(SUM(VLOOKUP($A86,test!$A$3:$F$32,2,FALSE),VLOOKUP(C$1,test!$A$3:$F$32,2,FALSE))&lt;test!$K$16,$A86&lt;&gt;C$1,Recharged_Feasible_mat!D55=1),(VLOOKUP(C$1,test!$A$3:$I$32,8,FALSE))-(VLOOKUP($A86,test!$A$3:$I$32,9,FALSE))-test!$B$34,0)</f>
        <v>0</v>
      </c>
      <c r="D86">
        <f>IF(AND(SUM(VLOOKUP($A86,test!$A$3:$F$32,2,FALSE),VLOOKUP(D$1,test!$A$3:$F$32,2,FALSE))&lt;test!$K$16,$A86&lt;&gt;D$1,Recharged_Feasible_mat!E55=1),(VLOOKUP(D$1,test!$A$3:$I$32,8,FALSE))-(VLOOKUP($A86,test!$A$3:$I$32,9,FALSE))-test!$B$34,0)</f>
        <v>0</v>
      </c>
      <c r="E86">
        <f>IF(AND(SUM(VLOOKUP($A86,test!$A$3:$F$32,2,FALSE),VLOOKUP(E$1,test!$A$3:$F$32,2,FALSE))&lt;test!$K$16,$A86&lt;&gt;E$1,Recharged_Feasible_mat!F55=1),(VLOOKUP(E$1,test!$A$3:$I$32,8,FALSE))-(VLOOKUP($A86,test!$A$3:$I$32,9,FALSE))-test!$B$34,0)</f>
        <v>0</v>
      </c>
      <c r="F86">
        <f>IF(AND(SUM(VLOOKUP($A86,test!$A$3:$F$32,2,FALSE),VLOOKUP(F$1,test!$A$3:$F$32,2,FALSE))&lt;test!$K$16,$A86&lt;&gt;F$1,Recharged_Feasible_mat!G55=1),(VLOOKUP(F$1,test!$A$3:$I$32,8,FALSE))-(VLOOKUP($A86,test!$A$3:$I$32,9,FALSE))-test!$B$34,0)</f>
        <v>0</v>
      </c>
      <c r="G86">
        <f>IF(AND(SUM(VLOOKUP($A86,test!$A$3:$F$32,2,FALSE),VLOOKUP(G$1,test!$A$3:$F$32,2,FALSE))&lt;test!$K$16,$A86&lt;&gt;G$1,Recharged_Feasible_mat!H55=1),(VLOOKUP(G$1,test!$A$3:$I$32,8,FALSE))-(VLOOKUP($A86,test!$A$3:$I$32,9,FALSE))-test!$B$34,0)</f>
        <v>0</v>
      </c>
      <c r="H86">
        <f>IF(AND(SUM(VLOOKUP($A86,test!$A$3:$F$32,2,FALSE),VLOOKUP(H$1,test!$A$3:$F$32,2,FALSE))&lt;test!$K$16,$A86&lt;&gt;H$1,Recharged_Feasible_mat!I55=1),(VLOOKUP(H$1,test!$A$3:$I$32,8,FALSE))-(VLOOKUP($A86,test!$A$3:$I$32,9,FALSE))-test!$B$34,0)</f>
        <v>0</v>
      </c>
      <c r="I86">
        <f>IF(AND(SUM(VLOOKUP($A86,test!$A$3:$F$32,2,FALSE),VLOOKUP(I$1,test!$A$3:$F$32,2,FALSE))&lt;test!$K$16,$A86&lt;&gt;I$1,Recharged_Feasible_mat!J55=1),(VLOOKUP(I$1,test!$A$3:$I$32,8,FALSE))-(VLOOKUP($A86,test!$A$3:$I$32,9,FALSE))-test!$B$34,0)</f>
        <v>0</v>
      </c>
      <c r="J86">
        <f>IF(AND(SUM(VLOOKUP($A86,test!$A$3:$F$32,2,FALSE),VLOOKUP(J$1,test!$A$3:$F$32,2,FALSE))&lt;test!$K$16,$A86&lt;&gt;J$1,Recharged_Feasible_mat!K55=1),(VLOOKUP(J$1,test!$A$3:$I$32,8,FALSE))-(VLOOKUP($A86,test!$A$3:$I$32,9,FALSE))-test!$B$34,0)</f>
        <v>0</v>
      </c>
      <c r="K86">
        <f>IF(AND(SUM(VLOOKUP($A86,test!$A$3:$F$32,2,FALSE),VLOOKUP(K$1,test!$A$3:$F$32,2,FALSE))&lt;test!$K$16,$A86&lt;&gt;K$1,Recharged_Feasible_mat!L55=1),(VLOOKUP(K$1,test!$A$3:$I$32,8,FALSE))-(VLOOKUP($A86,test!$A$3:$I$32,9,FALSE))-test!$B$34,0)</f>
        <v>0</v>
      </c>
      <c r="L86">
        <f>IF(AND(SUM(VLOOKUP($A86,test!$A$3:$F$32,2,FALSE),VLOOKUP(L$1,test!$A$3:$F$32,2,FALSE))&lt;test!$K$16,$A86&lt;&gt;L$1,Recharged_Feasible_mat!M55=1),(VLOOKUP(L$1,test!$A$3:$I$32,8,FALSE))-(VLOOKUP($A86,test!$A$3:$I$32,9,FALSE))-test!$B$34,0)</f>
        <v>0</v>
      </c>
      <c r="M86">
        <f>IF(AND(SUM(VLOOKUP($A86,test!$A$3:$F$32,2,FALSE),VLOOKUP(M$1,test!$A$3:$F$32,2,FALSE))&lt;test!$K$16,$A86&lt;&gt;M$1,Recharged_Feasible_mat!N55=1),(VLOOKUP(M$1,test!$A$3:$I$32,8,FALSE))-(VLOOKUP($A86,test!$A$3:$I$32,9,FALSE))-test!$B$34,0)</f>
        <v>0</v>
      </c>
      <c r="N86">
        <f>IF(AND(SUM(VLOOKUP($A86,test!$A$3:$F$32,2,FALSE),VLOOKUP(N$1,test!$A$3:$F$32,2,FALSE))&lt;test!$K$16,$A86&lt;&gt;N$1,Recharged_Feasible_mat!O55=1),(VLOOKUP(N$1,test!$A$3:$I$32,8,FALSE))-(VLOOKUP($A86,test!$A$3:$I$32,9,FALSE))-test!$B$34,0)</f>
        <v>0</v>
      </c>
      <c r="O86">
        <f>IF(AND(SUM(VLOOKUP($A86,test!$A$3:$F$32,2,FALSE),VLOOKUP(O$1,test!$A$3:$F$32,2,FALSE))&lt;test!$K$16,$A86&lt;&gt;O$1,Recharged_Feasible_mat!P55=1),(VLOOKUP(O$1,test!$A$3:$I$32,8,FALSE))-(VLOOKUP($A86,test!$A$3:$I$32,9,FALSE))-test!$B$34,0)</f>
        <v>0</v>
      </c>
      <c r="P86">
        <f>IF(AND(SUM(VLOOKUP($A86,test!$A$3:$F$32,2,FALSE),VLOOKUP(P$1,test!$A$3:$F$32,2,FALSE))&lt;test!$K$16,$A86&lt;&gt;P$1,Recharged_Feasible_mat!Q55=1),(VLOOKUP(P$1,test!$A$3:$I$32,8,FALSE))-(VLOOKUP($A86,test!$A$3:$I$32,9,FALSE))-test!$B$34,0)</f>
        <v>0</v>
      </c>
      <c r="Q86">
        <f>IF(AND(SUM(VLOOKUP($A86,test!$A$3:$F$32,2,FALSE),VLOOKUP(Q$1,test!$A$3:$F$32,2,FALSE))&lt;test!$K$16,$A86&lt;&gt;Q$1,Recharged_Feasible_mat!R55=1),(VLOOKUP(Q$1,test!$A$3:$I$32,8,FALSE))-(VLOOKUP($A86,test!$A$3:$I$32,9,FALSE))-test!$B$34,0)</f>
        <v>0</v>
      </c>
      <c r="R86">
        <f>IF(AND(SUM(VLOOKUP($A86,test!$A$3:$F$32,2,FALSE),VLOOKUP(R$1,test!$A$3:$F$32,2,FALSE))&lt;test!$K$16,$A86&lt;&gt;R$1,Recharged_Feasible_mat!S55=1),(VLOOKUP(R$1,test!$A$3:$I$32,8,FALSE))-(VLOOKUP($A86,test!$A$3:$I$32,9,FALSE))-test!$B$34,0)</f>
        <v>0</v>
      </c>
      <c r="S86">
        <f>IF(AND(SUM(VLOOKUP($A86,test!$A$3:$F$32,2,FALSE),VLOOKUP(S$1,test!$A$3:$F$32,2,FALSE))&lt;test!$K$16,$A86&lt;&gt;S$1,Recharged_Feasible_mat!T55=1),(VLOOKUP(S$1,test!$A$3:$I$32,8,FALSE))-(VLOOKUP($A86,test!$A$3:$I$32,9,FALSE))-test!$B$34,0)</f>
        <v>0</v>
      </c>
      <c r="T86">
        <f>IF(AND(SUM(VLOOKUP($A86,test!$A$3:$F$32,2,FALSE),VLOOKUP(T$1,test!$A$3:$F$32,2,FALSE))&lt;test!$K$16,$A86&lt;&gt;T$1,Recharged_Feasible_mat!U55=1),(VLOOKUP(T$1,test!$A$3:$I$32,8,FALSE))-(VLOOKUP($A86,test!$A$3:$I$32,9,FALSE))-test!$B$34,0)</f>
        <v>0</v>
      </c>
      <c r="U86">
        <f>IF(AND(SUM(VLOOKUP($A86,test!$A$3:$F$32,2,FALSE),VLOOKUP(U$1,test!$A$3:$F$32,2,FALSE))&lt;test!$K$16,$A86&lt;&gt;U$1,Recharged_Feasible_mat!V55=1),(VLOOKUP(U$1,test!$A$3:$I$32,8,FALSE))-(VLOOKUP($A86,test!$A$3:$I$32,9,FALSE))-test!$B$34,0)</f>
        <v>0</v>
      </c>
      <c r="V86">
        <f>IF(AND(SUM(VLOOKUP($A86,test!$A$3:$F$32,2,FALSE),VLOOKUP(V$1,test!$A$3:$F$32,2,FALSE))&lt;test!$K$16,$A86&lt;&gt;V$1,Recharged_Feasible_mat!W55=1),(VLOOKUP(V$1,test!$A$3:$I$32,8,FALSE))-(VLOOKUP($A86,test!$A$3:$I$32,9,FALSE))-test!$B$34,0)</f>
        <v>0</v>
      </c>
      <c r="W86">
        <f>IF(AND(SUM(VLOOKUP($A86,test!$A$3:$F$32,2,FALSE),VLOOKUP(W$1,test!$A$3:$F$32,2,FALSE))&lt;test!$K$16,$A86&lt;&gt;W$1,Recharged_Feasible_mat!X55=1),(VLOOKUP(W$1,test!$A$3:$I$32,8,FALSE))-(VLOOKUP($A86,test!$A$3:$I$32,9,FALSE))-test!$B$34,0)</f>
        <v>0</v>
      </c>
      <c r="X86">
        <f>IF(AND(SUM(VLOOKUP($A86,test!$A$3:$F$32,2,FALSE),VLOOKUP(X$1,test!$A$3:$F$32,2,FALSE))&lt;test!$K$16,$A86&lt;&gt;X$1,Recharged_Feasible_mat!Y55=1),(VLOOKUP(X$1,test!$A$3:$I$32,8,FALSE))-(VLOOKUP($A86,test!$A$3:$I$32,9,FALSE))-test!$B$34,0)</f>
        <v>0</v>
      </c>
      <c r="Y86">
        <f>IF(AND(SUM(VLOOKUP($A86,test!$A$3:$F$32,2,FALSE),VLOOKUP(Y$1,test!$A$3:$F$32,2,FALSE))&lt;test!$K$16,$A86&lt;&gt;Y$1,Recharged_Feasible_mat!Z55=1),(VLOOKUP(Y$1,test!$A$3:$I$32,8,FALSE))-(VLOOKUP($A86,test!$A$3:$I$32,9,FALSE))-test!$B$34,0)</f>
        <v>0</v>
      </c>
      <c r="Z86">
        <f>IF(AND(SUM(VLOOKUP($A86,test!$A$3:$F$32,2,FALSE),VLOOKUP(Z$1,test!$A$3:$F$32,2,FALSE))&lt;test!$K$16,$A86&lt;&gt;Z$1,Recharged_Feasible_mat!AA55=1),(VLOOKUP(Z$1,test!$A$3:$I$32,8,FALSE))-(VLOOKUP($A86,test!$A$3:$I$32,9,FALSE))-test!$B$34,0)</f>
        <v>0</v>
      </c>
      <c r="AA86">
        <f>IF(AND(SUM(VLOOKUP($A86,test!$A$3:$F$32,2,FALSE),VLOOKUP(AA$1,test!$A$3:$F$32,2,FALSE))&lt;test!$K$16,$A86&lt;&gt;AA$1,Recharged_Feasible_mat!AB55=1),(VLOOKUP(AA$1,test!$A$3:$I$32,8,FALSE))-(VLOOKUP($A86,test!$A$3:$I$32,9,FALSE))-test!$B$34,0)</f>
        <v>0</v>
      </c>
      <c r="AB86">
        <f>IF(AND(SUM(VLOOKUP($A86,test!$A$3:$F$32,2,FALSE),VLOOKUP(AB$1,test!$A$3:$F$32,2,FALSE))&lt;test!$K$16,$A86&lt;&gt;AB$1,Recharged_Feasible_mat!AC55=1),(VLOOKUP(AB$1,test!$A$3:$I$32,8,FALSE))-(VLOOKUP($A86,test!$A$3:$I$32,9,FALSE))-test!$B$34,0)</f>
        <v>0</v>
      </c>
      <c r="AC86">
        <f>IF(AND(SUM(VLOOKUP($A86,test!$A$3:$F$32,2,FALSE),VLOOKUP(AC$1,test!$A$3:$F$32,2,FALSE))&lt;test!$K$16,$A86&lt;&gt;AC$1,Recharged_Feasible_mat!AD55=1),(VLOOKUP(AC$1,test!$A$3:$I$32,8,FALSE))-(VLOOKUP($A86,test!$A$3:$I$32,9,FALSE))-test!$B$34,0)</f>
        <v>0</v>
      </c>
      <c r="AD86">
        <f>IF(AND(SUM(VLOOKUP($A86,test!$A$3:$F$32,2,FALSE),VLOOKUP(AD$1,test!$A$3:$F$32,2,FALSE))&lt;test!$K$16,$A86&lt;&gt;AD$1,Recharged_Feasible_mat!AE55=1),(VLOOKUP(AD$1,test!$A$3:$I$32,8,FALSE))-(VLOOKUP($A86,test!$A$3:$I$32,9,FALSE))-test!$B$34,0)</f>
        <v>0</v>
      </c>
      <c r="AE86">
        <f>IF(AND(SUM(VLOOKUP($A86,test!$A$3:$F$32,2,FALSE),VLOOKUP(AE$1,test!$A$3:$F$32,2,FALSE))&lt;test!$K$16,$A86&lt;&gt;AE$1,Recharged_Feasible_mat!AF55=1),(VLOOKUP(AE$1,test!$A$3:$I$32,8,FALSE))-(VLOOKUP($A86,test!$A$3:$I$32,9,FALSE))-test!$B$34,0)</f>
        <v>0</v>
      </c>
      <c r="AF86">
        <f>IF(AND(SUM(VLOOKUP($A86,test!$A$3:$F$32,2,FALSE),VLOOKUP(AF$1,test!$A$3:$F$32,2,FALSE))&lt;test!$K$16,$A86&lt;&gt;AF$1,Recharged_Feasible_mat!AG55=1),(VLOOKUP(AF$1,test!$A$3:$I$32,8,FALSE))-(VLOOKUP($A86,test!$A$3:$I$32,9,FALSE))-test!$B$34,0)</f>
        <v>0</v>
      </c>
    </row>
    <row r="87" spans="1:32" x14ac:dyDescent="0.25">
      <c r="A87" t="s">
        <v>34</v>
      </c>
      <c r="B87">
        <v>0</v>
      </c>
      <c r="C87">
        <f>IF(AND(SUM(VLOOKUP($A87,test!$A$3:$F$32,2,FALSE),VLOOKUP(C$1,test!$A$3:$F$32,2,FALSE))&lt;test!$K$16,$A87&lt;&gt;C$1,Recharged_Feasible_mat!D56=1),(VLOOKUP(C$1,test!$A$3:$I$32,8,FALSE))-(VLOOKUP($A87,test!$A$3:$I$32,9,FALSE))-test!$B$34,0)</f>
        <v>0</v>
      </c>
      <c r="D87">
        <f>IF(AND(SUM(VLOOKUP($A87,test!$A$3:$F$32,2,FALSE),VLOOKUP(D$1,test!$A$3:$F$32,2,FALSE))&lt;test!$K$16,$A87&lt;&gt;D$1,Recharged_Feasible_mat!E56=1),(VLOOKUP(D$1,test!$A$3:$I$32,8,FALSE))-(VLOOKUP($A87,test!$A$3:$I$32,9,FALSE))-test!$B$34,0)</f>
        <v>0</v>
      </c>
      <c r="E87">
        <f>IF(AND(SUM(VLOOKUP($A87,test!$A$3:$F$32,2,FALSE),VLOOKUP(E$1,test!$A$3:$F$32,2,FALSE))&lt;test!$K$16,$A87&lt;&gt;E$1,Recharged_Feasible_mat!F56=1),(VLOOKUP(E$1,test!$A$3:$I$32,8,FALSE))-(VLOOKUP($A87,test!$A$3:$I$32,9,FALSE))-test!$B$34,0)</f>
        <v>45</v>
      </c>
      <c r="F87">
        <f>IF(AND(SUM(VLOOKUP($A87,test!$A$3:$F$32,2,FALSE),VLOOKUP(F$1,test!$A$3:$F$32,2,FALSE))&lt;test!$K$16,$A87&lt;&gt;F$1,Recharged_Feasible_mat!G56=1),(VLOOKUP(F$1,test!$A$3:$I$32,8,FALSE))-(VLOOKUP($A87,test!$A$3:$I$32,9,FALSE))-test!$B$34,0)</f>
        <v>135</v>
      </c>
      <c r="G87">
        <f>IF(AND(SUM(VLOOKUP($A87,test!$A$3:$F$32,2,FALSE),VLOOKUP(G$1,test!$A$3:$F$32,2,FALSE))&lt;test!$K$16,$A87&lt;&gt;G$1,Recharged_Feasible_mat!H56=1),(VLOOKUP(G$1,test!$A$3:$I$32,8,FALSE))-(VLOOKUP($A87,test!$A$3:$I$32,9,FALSE))-test!$B$34,0)</f>
        <v>195</v>
      </c>
      <c r="H87">
        <f>IF(AND(SUM(VLOOKUP($A87,test!$A$3:$F$32,2,FALSE),VLOOKUP(H$1,test!$A$3:$F$32,2,FALSE))&lt;test!$K$16,$A87&lt;&gt;H$1,Recharged_Feasible_mat!I56=1),(VLOOKUP(H$1,test!$A$3:$I$32,8,FALSE))-(VLOOKUP($A87,test!$A$3:$I$32,9,FALSE))-test!$B$34,0)</f>
        <v>255</v>
      </c>
      <c r="I87">
        <f>IF(AND(SUM(VLOOKUP($A87,test!$A$3:$F$32,2,FALSE),VLOOKUP(I$1,test!$A$3:$F$32,2,FALSE))&lt;test!$K$16,$A87&lt;&gt;I$1,Recharged_Feasible_mat!J56=1),(VLOOKUP(I$1,test!$A$3:$I$32,8,FALSE))-(VLOOKUP($A87,test!$A$3:$I$32,9,FALSE))-test!$B$34,0)</f>
        <v>315</v>
      </c>
      <c r="J87">
        <f>IF(AND(SUM(VLOOKUP($A87,test!$A$3:$F$32,2,FALSE),VLOOKUP(J$1,test!$A$3:$F$32,2,FALSE))&lt;test!$K$16,$A87&lt;&gt;J$1,Recharged_Feasible_mat!K56=1),(VLOOKUP(J$1,test!$A$3:$I$32,8,FALSE))-(VLOOKUP($A87,test!$A$3:$I$32,9,FALSE))-test!$B$34,0)</f>
        <v>405</v>
      </c>
      <c r="K87">
        <f>IF(AND(SUM(VLOOKUP($A87,test!$A$3:$F$32,2,FALSE),VLOOKUP(K$1,test!$A$3:$F$32,2,FALSE))&lt;test!$K$16,$A87&lt;&gt;K$1,Recharged_Feasible_mat!L56=1),(VLOOKUP(K$1,test!$A$3:$I$32,8,FALSE))-(VLOOKUP($A87,test!$A$3:$I$32,9,FALSE))-test!$B$34,0)</f>
        <v>0</v>
      </c>
      <c r="L87">
        <f>IF(AND(SUM(VLOOKUP($A87,test!$A$3:$F$32,2,FALSE),VLOOKUP(L$1,test!$A$3:$F$32,2,FALSE))&lt;test!$K$16,$A87&lt;&gt;L$1,Recharged_Feasible_mat!M56=1),(VLOOKUP(L$1,test!$A$3:$I$32,8,FALSE))-(VLOOKUP($A87,test!$A$3:$I$32,9,FALSE))-test!$B$34,0)</f>
        <v>0</v>
      </c>
      <c r="M87">
        <f>IF(AND(SUM(VLOOKUP($A87,test!$A$3:$F$32,2,FALSE),VLOOKUP(M$1,test!$A$3:$F$32,2,FALSE))&lt;test!$K$16,$A87&lt;&gt;M$1,Recharged_Feasible_mat!N56=1),(VLOOKUP(M$1,test!$A$3:$I$32,8,FALSE))-(VLOOKUP($A87,test!$A$3:$I$32,9,FALSE))-test!$B$34,0)</f>
        <v>10</v>
      </c>
      <c r="N87">
        <f>IF(AND(SUM(VLOOKUP($A87,test!$A$3:$F$32,2,FALSE),VLOOKUP(N$1,test!$A$3:$F$32,2,FALSE))&lt;test!$K$16,$A87&lt;&gt;N$1,Recharged_Feasible_mat!O56=1),(VLOOKUP(N$1,test!$A$3:$I$32,8,FALSE))-(VLOOKUP($A87,test!$A$3:$I$32,9,FALSE))-test!$B$34,0)</f>
        <v>370</v>
      </c>
      <c r="O87">
        <f>IF(AND(SUM(VLOOKUP($A87,test!$A$3:$F$32,2,FALSE),VLOOKUP(O$1,test!$A$3:$F$32,2,FALSE))&lt;test!$K$16,$A87&lt;&gt;O$1,Recharged_Feasible_mat!P56=1),(VLOOKUP(O$1,test!$A$3:$I$32,8,FALSE))-(VLOOKUP($A87,test!$A$3:$I$32,9,FALSE))-test!$B$34,0)</f>
        <v>430</v>
      </c>
      <c r="P87">
        <f>IF(AND(SUM(VLOOKUP($A87,test!$A$3:$F$32,2,FALSE),VLOOKUP(P$1,test!$A$3:$F$32,2,FALSE))&lt;test!$K$16,$A87&lt;&gt;P$1,Recharged_Feasible_mat!Q56=1),(VLOOKUP(P$1,test!$A$3:$I$32,8,FALSE))-(VLOOKUP($A87,test!$A$3:$I$32,9,FALSE))-test!$B$34,0)</f>
        <v>0</v>
      </c>
      <c r="Q87">
        <f>IF(AND(SUM(VLOOKUP($A87,test!$A$3:$F$32,2,FALSE),VLOOKUP(Q$1,test!$A$3:$F$32,2,FALSE))&lt;test!$K$16,$A87&lt;&gt;Q$1,Recharged_Feasible_mat!R56=1),(VLOOKUP(Q$1,test!$A$3:$I$32,8,FALSE))-(VLOOKUP($A87,test!$A$3:$I$32,9,FALSE))-test!$B$34,0)</f>
        <v>0</v>
      </c>
      <c r="R87">
        <f>IF(AND(SUM(VLOOKUP($A87,test!$A$3:$F$32,2,FALSE),VLOOKUP(R$1,test!$A$3:$F$32,2,FALSE))&lt;test!$K$16,$A87&lt;&gt;R$1,Recharged_Feasible_mat!S56=1),(VLOOKUP(R$1,test!$A$3:$I$32,8,FALSE))-(VLOOKUP($A87,test!$A$3:$I$32,9,FALSE))-test!$B$34,0)</f>
        <v>0</v>
      </c>
      <c r="S87">
        <f>IF(AND(SUM(VLOOKUP($A87,test!$A$3:$F$32,2,FALSE),VLOOKUP(S$1,test!$A$3:$F$32,2,FALSE))&lt;test!$K$16,$A87&lt;&gt;S$1,Recharged_Feasible_mat!T56=1),(VLOOKUP(S$1,test!$A$3:$I$32,8,FALSE))-(VLOOKUP($A87,test!$A$3:$I$32,9,FALSE))-test!$B$34,0)</f>
        <v>0</v>
      </c>
      <c r="T87">
        <f>IF(AND(SUM(VLOOKUP($A87,test!$A$3:$F$32,2,FALSE),VLOOKUP(T$1,test!$A$3:$F$32,2,FALSE))&lt;test!$K$16,$A87&lt;&gt;T$1,Recharged_Feasible_mat!U56=1),(VLOOKUP(T$1,test!$A$3:$I$32,8,FALSE))-(VLOOKUP($A87,test!$A$3:$I$32,9,FALSE))-test!$B$34,0)</f>
        <v>25</v>
      </c>
      <c r="U87">
        <f>IF(AND(SUM(VLOOKUP($A87,test!$A$3:$F$32,2,FALSE),VLOOKUP(U$1,test!$A$3:$F$32,2,FALSE))&lt;test!$K$16,$A87&lt;&gt;U$1,Recharged_Feasible_mat!V56=1),(VLOOKUP(U$1,test!$A$3:$I$32,8,FALSE))-(VLOOKUP($A87,test!$A$3:$I$32,9,FALSE))-test!$B$34,0)</f>
        <v>115</v>
      </c>
      <c r="V87">
        <f>IF(AND(SUM(VLOOKUP($A87,test!$A$3:$F$32,2,FALSE),VLOOKUP(V$1,test!$A$3:$F$32,2,FALSE))&lt;test!$K$16,$A87&lt;&gt;V$1,Recharged_Feasible_mat!W56=1),(VLOOKUP(V$1,test!$A$3:$I$32,8,FALSE))-(VLOOKUP($A87,test!$A$3:$I$32,9,FALSE))-test!$B$34,0)</f>
        <v>205</v>
      </c>
      <c r="W87">
        <f>IF(AND(SUM(VLOOKUP($A87,test!$A$3:$F$32,2,FALSE),VLOOKUP(W$1,test!$A$3:$F$32,2,FALSE))&lt;test!$K$16,$A87&lt;&gt;W$1,Recharged_Feasible_mat!X56=1),(VLOOKUP(W$1,test!$A$3:$I$32,8,FALSE))-(VLOOKUP($A87,test!$A$3:$I$32,9,FALSE))-test!$B$34,0)</f>
        <v>295</v>
      </c>
      <c r="X87">
        <f>IF(AND(SUM(VLOOKUP($A87,test!$A$3:$F$32,2,FALSE),VLOOKUP(X$1,test!$A$3:$F$32,2,FALSE))&lt;test!$K$16,$A87&lt;&gt;X$1,Recharged_Feasible_mat!Y56=1),(VLOOKUP(X$1,test!$A$3:$I$32,8,FALSE))-(VLOOKUP($A87,test!$A$3:$I$32,9,FALSE))-test!$B$34,0)</f>
        <v>355</v>
      </c>
      <c r="Y87">
        <f>IF(AND(SUM(VLOOKUP($A87,test!$A$3:$F$32,2,FALSE),VLOOKUP(Y$1,test!$A$3:$F$32,2,FALSE))&lt;test!$K$16,$A87&lt;&gt;Y$1,Recharged_Feasible_mat!Z56=1),(VLOOKUP(Y$1,test!$A$3:$I$32,8,FALSE))-(VLOOKUP($A87,test!$A$3:$I$32,9,FALSE))-test!$B$34,0)</f>
        <v>0</v>
      </c>
      <c r="Z87">
        <f>IF(AND(SUM(VLOOKUP($A87,test!$A$3:$F$32,2,FALSE),VLOOKUP(Z$1,test!$A$3:$F$32,2,FALSE))&lt;test!$K$16,$A87&lt;&gt;Z$1,Recharged_Feasible_mat!AA56=1),(VLOOKUP(Z$1,test!$A$3:$I$32,8,FALSE))-(VLOOKUP($A87,test!$A$3:$I$32,9,FALSE))-test!$B$34,0)</f>
        <v>0</v>
      </c>
      <c r="AA87">
        <f>IF(AND(SUM(VLOOKUP($A87,test!$A$3:$F$32,2,FALSE),VLOOKUP(AA$1,test!$A$3:$F$32,2,FALSE))&lt;test!$K$16,$A87&lt;&gt;AA$1,Recharged_Feasible_mat!AB56=1),(VLOOKUP(AA$1,test!$A$3:$I$32,8,FALSE))-(VLOOKUP($A87,test!$A$3:$I$32,9,FALSE))-test!$B$34,0)</f>
        <v>75</v>
      </c>
      <c r="AB87">
        <f>IF(AND(SUM(VLOOKUP($A87,test!$A$3:$F$32,2,FALSE),VLOOKUP(AB$1,test!$A$3:$F$32,2,FALSE))&lt;test!$K$16,$A87&lt;&gt;AB$1,Recharged_Feasible_mat!AC56=1),(VLOOKUP(AB$1,test!$A$3:$I$32,8,FALSE))-(VLOOKUP($A87,test!$A$3:$I$32,9,FALSE))-test!$B$34,0)</f>
        <v>135</v>
      </c>
      <c r="AC87">
        <f>IF(AND(SUM(VLOOKUP($A87,test!$A$3:$F$32,2,FALSE),VLOOKUP(AC$1,test!$A$3:$F$32,2,FALSE))&lt;test!$K$16,$A87&lt;&gt;AC$1,Recharged_Feasible_mat!AD56=1),(VLOOKUP(AC$1,test!$A$3:$I$32,8,FALSE))-(VLOOKUP($A87,test!$A$3:$I$32,9,FALSE))-test!$B$34,0)</f>
        <v>255</v>
      </c>
      <c r="AD87">
        <f>IF(AND(SUM(VLOOKUP($A87,test!$A$3:$F$32,2,FALSE),VLOOKUP(AD$1,test!$A$3:$F$32,2,FALSE))&lt;test!$K$16,$A87&lt;&gt;AD$1,Recharged_Feasible_mat!AE56=1),(VLOOKUP(AD$1,test!$A$3:$I$32,8,FALSE))-(VLOOKUP($A87,test!$A$3:$I$32,9,FALSE))-test!$B$34,0)</f>
        <v>0</v>
      </c>
      <c r="AE87">
        <f>IF(AND(SUM(VLOOKUP($A87,test!$A$3:$F$32,2,FALSE),VLOOKUP(AE$1,test!$A$3:$F$32,2,FALSE))&lt;test!$K$16,$A87&lt;&gt;AE$1,Recharged_Feasible_mat!AF56=1),(VLOOKUP(AE$1,test!$A$3:$I$32,8,FALSE))-(VLOOKUP($A87,test!$A$3:$I$32,9,FALSE))-test!$B$34,0)</f>
        <v>0</v>
      </c>
      <c r="AF87">
        <f>IF(AND(SUM(VLOOKUP($A87,test!$A$3:$F$32,2,FALSE),VLOOKUP(AF$1,test!$A$3:$F$32,2,FALSE))&lt;test!$K$16,$A87&lt;&gt;AF$1,Recharged_Feasible_mat!AG56=1),(VLOOKUP(AF$1,test!$A$3:$I$32,8,FALSE))-(VLOOKUP($A87,test!$A$3:$I$32,9,FALSE))-test!$B$34,0)</f>
        <v>0</v>
      </c>
    </row>
    <row r="88" spans="1:32" x14ac:dyDescent="0.25">
      <c r="A88" t="s">
        <v>35</v>
      </c>
      <c r="B88">
        <v>0</v>
      </c>
      <c r="C88">
        <f>IF(AND(SUM(VLOOKUP($A88,test!$A$3:$F$32,2,FALSE),VLOOKUP(C$1,test!$A$3:$F$32,2,FALSE))&lt;test!$K$16,$A88&lt;&gt;C$1,Recharged_Feasible_mat!D57=1),(VLOOKUP(C$1,test!$A$3:$I$32,8,FALSE))-(VLOOKUP($A88,test!$A$3:$I$32,9,FALSE))-test!$B$34,0)</f>
        <v>0</v>
      </c>
      <c r="D88">
        <f>IF(AND(SUM(VLOOKUP($A88,test!$A$3:$F$32,2,FALSE),VLOOKUP(D$1,test!$A$3:$F$32,2,FALSE))&lt;test!$K$16,$A88&lt;&gt;D$1,Recharged_Feasible_mat!E57=1),(VLOOKUP(D$1,test!$A$3:$I$32,8,FALSE))-(VLOOKUP($A88,test!$A$3:$I$32,9,FALSE))-test!$B$34,0)</f>
        <v>0</v>
      </c>
      <c r="E88">
        <f>IF(AND(SUM(VLOOKUP($A88,test!$A$3:$F$32,2,FALSE),VLOOKUP(E$1,test!$A$3:$F$32,2,FALSE))&lt;test!$K$16,$A88&lt;&gt;E$1,Recharged_Feasible_mat!F57=1),(VLOOKUP(E$1,test!$A$3:$I$32,8,FALSE))-(VLOOKUP($A88,test!$A$3:$I$32,9,FALSE))-test!$B$34,0)</f>
        <v>0</v>
      </c>
      <c r="F88">
        <f>IF(AND(SUM(VLOOKUP($A88,test!$A$3:$F$32,2,FALSE),VLOOKUP(F$1,test!$A$3:$F$32,2,FALSE))&lt;test!$K$16,$A88&lt;&gt;F$1,Recharged_Feasible_mat!G57=1),(VLOOKUP(F$1,test!$A$3:$I$32,8,FALSE))-(VLOOKUP($A88,test!$A$3:$I$32,9,FALSE))-test!$B$34,0)</f>
        <v>0</v>
      </c>
      <c r="G88">
        <f>IF(AND(SUM(VLOOKUP($A88,test!$A$3:$F$32,2,FALSE),VLOOKUP(G$1,test!$A$3:$F$32,2,FALSE))&lt;test!$K$16,$A88&lt;&gt;G$1,Recharged_Feasible_mat!H57=1),(VLOOKUP(G$1,test!$A$3:$I$32,8,FALSE))-(VLOOKUP($A88,test!$A$3:$I$32,9,FALSE))-test!$B$34,0)</f>
        <v>25</v>
      </c>
      <c r="H88">
        <f>IF(AND(SUM(VLOOKUP($A88,test!$A$3:$F$32,2,FALSE),VLOOKUP(H$1,test!$A$3:$F$32,2,FALSE))&lt;test!$K$16,$A88&lt;&gt;H$1,Recharged_Feasible_mat!I57=1),(VLOOKUP(H$1,test!$A$3:$I$32,8,FALSE))-(VLOOKUP($A88,test!$A$3:$I$32,9,FALSE))-test!$B$34,0)</f>
        <v>85</v>
      </c>
      <c r="I88">
        <f>IF(AND(SUM(VLOOKUP($A88,test!$A$3:$F$32,2,FALSE),VLOOKUP(I$1,test!$A$3:$F$32,2,FALSE))&lt;test!$K$16,$A88&lt;&gt;I$1,Recharged_Feasible_mat!J57=1),(VLOOKUP(I$1,test!$A$3:$I$32,8,FALSE))-(VLOOKUP($A88,test!$A$3:$I$32,9,FALSE))-test!$B$34,0)</f>
        <v>145</v>
      </c>
      <c r="J88">
        <f>IF(AND(SUM(VLOOKUP($A88,test!$A$3:$F$32,2,FALSE),VLOOKUP(J$1,test!$A$3:$F$32,2,FALSE))&lt;test!$K$16,$A88&lt;&gt;J$1,Recharged_Feasible_mat!K57=1),(VLOOKUP(J$1,test!$A$3:$I$32,8,FALSE))-(VLOOKUP($A88,test!$A$3:$I$32,9,FALSE))-test!$B$34,0)</f>
        <v>235</v>
      </c>
      <c r="K88">
        <f>IF(AND(SUM(VLOOKUP($A88,test!$A$3:$F$32,2,FALSE),VLOOKUP(K$1,test!$A$3:$F$32,2,FALSE))&lt;test!$K$16,$A88&lt;&gt;K$1,Recharged_Feasible_mat!L57=1),(VLOOKUP(K$1,test!$A$3:$I$32,8,FALSE))-(VLOOKUP($A88,test!$A$3:$I$32,9,FALSE))-test!$B$34,0)</f>
        <v>0</v>
      </c>
      <c r="L88">
        <f>IF(AND(SUM(VLOOKUP($A88,test!$A$3:$F$32,2,FALSE),VLOOKUP(L$1,test!$A$3:$F$32,2,FALSE))&lt;test!$K$16,$A88&lt;&gt;L$1,Recharged_Feasible_mat!M57=1),(VLOOKUP(L$1,test!$A$3:$I$32,8,FALSE))-(VLOOKUP($A88,test!$A$3:$I$32,9,FALSE))-test!$B$34,0)</f>
        <v>0</v>
      </c>
      <c r="M88">
        <f>IF(AND(SUM(VLOOKUP($A88,test!$A$3:$F$32,2,FALSE),VLOOKUP(M$1,test!$A$3:$F$32,2,FALSE))&lt;test!$K$16,$A88&lt;&gt;M$1,Recharged_Feasible_mat!N57=1),(VLOOKUP(M$1,test!$A$3:$I$32,8,FALSE))-(VLOOKUP($A88,test!$A$3:$I$32,9,FALSE))-test!$B$34,0)</f>
        <v>0</v>
      </c>
      <c r="N88">
        <f>IF(AND(SUM(VLOOKUP($A88,test!$A$3:$F$32,2,FALSE),VLOOKUP(N$1,test!$A$3:$F$32,2,FALSE))&lt;test!$K$16,$A88&lt;&gt;N$1,Recharged_Feasible_mat!O57=1),(VLOOKUP(N$1,test!$A$3:$I$32,8,FALSE))-(VLOOKUP($A88,test!$A$3:$I$32,9,FALSE))-test!$B$34,0)</f>
        <v>200</v>
      </c>
      <c r="O88">
        <f>IF(AND(SUM(VLOOKUP($A88,test!$A$3:$F$32,2,FALSE),VLOOKUP(O$1,test!$A$3:$F$32,2,FALSE))&lt;test!$K$16,$A88&lt;&gt;O$1,Recharged_Feasible_mat!P57=1),(VLOOKUP(O$1,test!$A$3:$I$32,8,FALSE))-(VLOOKUP($A88,test!$A$3:$I$32,9,FALSE))-test!$B$34,0)</f>
        <v>260</v>
      </c>
      <c r="P88">
        <f>IF(AND(SUM(VLOOKUP($A88,test!$A$3:$F$32,2,FALSE),VLOOKUP(P$1,test!$A$3:$F$32,2,FALSE))&lt;test!$K$16,$A88&lt;&gt;P$1,Recharged_Feasible_mat!Q57=1),(VLOOKUP(P$1,test!$A$3:$I$32,8,FALSE))-(VLOOKUP($A88,test!$A$3:$I$32,9,FALSE))-test!$B$34,0)</f>
        <v>0</v>
      </c>
      <c r="Q88">
        <f>IF(AND(SUM(VLOOKUP($A88,test!$A$3:$F$32,2,FALSE),VLOOKUP(Q$1,test!$A$3:$F$32,2,FALSE))&lt;test!$K$16,$A88&lt;&gt;Q$1,Recharged_Feasible_mat!R57=1),(VLOOKUP(Q$1,test!$A$3:$I$32,8,FALSE))-(VLOOKUP($A88,test!$A$3:$I$32,9,FALSE))-test!$B$34,0)</f>
        <v>0</v>
      </c>
      <c r="R88">
        <f>IF(AND(SUM(VLOOKUP($A88,test!$A$3:$F$32,2,FALSE),VLOOKUP(R$1,test!$A$3:$F$32,2,FALSE))&lt;test!$K$16,$A88&lt;&gt;R$1,Recharged_Feasible_mat!S57=1),(VLOOKUP(R$1,test!$A$3:$I$32,8,FALSE))-(VLOOKUP($A88,test!$A$3:$I$32,9,FALSE))-test!$B$34,0)</f>
        <v>0</v>
      </c>
      <c r="S88">
        <f>IF(AND(SUM(VLOOKUP($A88,test!$A$3:$F$32,2,FALSE),VLOOKUP(S$1,test!$A$3:$F$32,2,FALSE))&lt;test!$K$16,$A88&lt;&gt;S$1,Recharged_Feasible_mat!T57=1),(VLOOKUP(S$1,test!$A$3:$I$32,8,FALSE))-(VLOOKUP($A88,test!$A$3:$I$32,9,FALSE))-test!$B$34,0)</f>
        <v>0</v>
      </c>
      <c r="T88">
        <f>IF(AND(SUM(VLOOKUP($A88,test!$A$3:$F$32,2,FALSE),VLOOKUP(T$1,test!$A$3:$F$32,2,FALSE))&lt;test!$K$16,$A88&lt;&gt;T$1,Recharged_Feasible_mat!U57=1),(VLOOKUP(T$1,test!$A$3:$I$32,8,FALSE))-(VLOOKUP($A88,test!$A$3:$I$32,9,FALSE))-test!$B$34,0)</f>
        <v>0</v>
      </c>
      <c r="U88">
        <f>IF(AND(SUM(VLOOKUP($A88,test!$A$3:$F$32,2,FALSE),VLOOKUP(U$1,test!$A$3:$F$32,2,FALSE))&lt;test!$K$16,$A88&lt;&gt;U$1,Recharged_Feasible_mat!V57=1),(VLOOKUP(U$1,test!$A$3:$I$32,8,FALSE))-(VLOOKUP($A88,test!$A$3:$I$32,9,FALSE))-test!$B$34,0)</f>
        <v>0</v>
      </c>
      <c r="V88">
        <f>IF(AND(SUM(VLOOKUP($A88,test!$A$3:$F$32,2,FALSE),VLOOKUP(V$1,test!$A$3:$F$32,2,FALSE))&lt;test!$K$16,$A88&lt;&gt;V$1,Recharged_Feasible_mat!W57=1),(VLOOKUP(V$1,test!$A$3:$I$32,8,FALSE))-(VLOOKUP($A88,test!$A$3:$I$32,9,FALSE))-test!$B$34,0)</f>
        <v>35</v>
      </c>
      <c r="W88">
        <f>IF(AND(SUM(VLOOKUP($A88,test!$A$3:$F$32,2,FALSE),VLOOKUP(W$1,test!$A$3:$F$32,2,FALSE))&lt;test!$K$16,$A88&lt;&gt;W$1,Recharged_Feasible_mat!X57=1),(VLOOKUP(W$1,test!$A$3:$I$32,8,FALSE))-(VLOOKUP($A88,test!$A$3:$I$32,9,FALSE))-test!$B$34,0)</f>
        <v>125</v>
      </c>
      <c r="X88">
        <f>IF(AND(SUM(VLOOKUP($A88,test!$A$3:$F$32,2,FALSE),VLOOKUP(X$1,test!$A$3:$F$32,2,FALSE))&lt;test!$K$16,$A88&lt;&gt;X$1,Recharged_Feasible_mat!Y57=1),(VLOOKUP(X$1,test!$A$3:$I$32,8,FALSE))-(VLOOKUP($A88,test!$A$3:$I$32,9,FALSE))-test!$B$34,0)</f>
        <v>185</v>
      </c>
      <c r="Y88">
        <f>IF(AND(SUM(VLOOKUP($A88,test!$A$3:$F$32,2,FALSE),VLOOKUP(Y$1,test!$A$3:$F$32,2,FALSE))&lt;test!$K$16,$A88&lt;&gt;Y$1,Recharged_Feasible_mat!Z57=1),(VLOOKUP(Y$1,test!$A$3:$I$32,8,FALSE))-(VLOOKUP($A88,test!$A$3:$I$32,9,FALSE))-test!$B$34,0)</f>
        <v>0</v>
      </c>
      <c r="Z88">
        <f>IF(AND(SUM(VLOOKUP($A88,test!$A$3:$F$32,2,FALSE),VLOOKUP(Z$1,test!$A$3:$F$32,2,FALSE))&lt;test!$K$16,$A88&lt;&gt;Z$1,Recharged_Feasible_mat!AA57=1),(VLOOKUP(Z$1,test!$A$3:$I$32,8,FALSE))-(VLOOKUP($A88,test!$A$3:$I$32,9,FALSE))-test!$B$34,0)</f>
        <v>0</v>
      </c>
      <c r="AA88">
        <f>IF(AND(SUM(VLOOKUP($A88,test!$A$3:$F$32,2,FALSE),VLOOKUP(AA$1,test!$A$3:$F$32,2,FALSE))&lt;test!$K$16,$A88&lt;&gt;AA$1,Recharged_Feasible_mat!AB57=1),(VLOOKUP(AA$1,test!$A$3:$I$32,8,FALSE))-(VLOOKUP($A88,test!$A$3:$I$32,9,FALSE))-test!$B$34,0)</f>
        <v>0</v>
      </c>
      <c r="AB88">
        <f>IF(AND(SUM(VLOOKUP($A88,test!$A$3:$F$32,2,FALSE),VLOOKUP(AB$1,test!$A$3:$F$32,2,FALSE))&lt;test!$K$16,$A88&lt;&gt;AB$1,Recharged_Feasible_mat!AC57=1),(VLOOKUP(AB$1,test!$A$3:$I$32,8,FALSE))-(VLOOKUP($A88,test!$A$3:$I$32,9,FALSE))-test!$B$34,0)</f>
        <v>0</v>
      </c>
      <c r="AC88">
        <f>IF(AND(SUM(VLOOKUP($A88,test!$A$3:$F$32,2,FALSE),VLOOKUP(AC$1,test!$A$3:$F$32,2,FALSE))&lt;test!$K$16,$A88&lt;&gt;AC$1,Recharged_Feasible_mat!AD57=1),(VLOOKUP(AC$1,test!$A$3:$I$32,8,FALSE))-(VLOOKUP($A88,test!$A$3:$I$32,9,FALSE))-test!$B$34,0)</f>
        <v>85</v>
      </c>
      <c r="AD88">
        <f>IF(AND(SUM(VLOOKUP($A88,test!$A$3:$F$32,2,FALSE),VLOOKUP(AD$1,test!$A$3:$F$32,2,FALSE))&lt;test!$K$16,$A88&lt;&gt;AD$1,Recharged_Feasible_mat!AE57=1),(VLOOKUP(AD$1,test!$A$3:$I$32,8,FALSE))-(VLOOKUP($A88,test!$A$3:$I$32,9,FALSE))-test!$B$34,0)</f>
        <v>0</v>
      </c>
      <c r="AE88">
        <f>IF(AND(SUM(VLOOKUP($A88,test!$A$3:$F$32,2,FALSE),VLOOKUP(AE$1,test!$A$3:$F$32,2,FALSE))&lt;test!$K$16,$A88&lt;&gt;AE$1,Recharged_Feasible_mat!AF57=1),(VLOOKUP(AE$1,test!$A$3:$I$32,8,FALSE))-(VLOOKUP($A88,test!$A$3:$I$32,9,FALSE))-test!$B$34,0)</f>
        <v>0</v>
      </c>
      <c r="AF88">
        <f>IF(AND(SUM(VLOOKUP($A88,test!$A$3:$F$32,2,FALSE),VLOOKUP(AF$1,test!$A$3:$F$32,2,FALSE))&lt;test!$K$16,$A88&lt;&gt;AF$1,Recharged_Feasible_mat!AG57=1),(VLOOKUP(AF$1,test!$A$3:$I$32,8,FALSE))-(VLOOKUP($A88,test!$A$3:$I$32,9,FALSE))-test!$B$34,0)</f>
        <v>0</v>
      </c>
    </row>
    <row r="89" spans="1:32" x14ac:dyDescent="0.25">
      <c r="A89" t="s">
        <v>36</v>
      </c>
      <c r="B89">
        <v>0</v>
      </c>
      <c r="C89">
        <f>IF(AND(SUM(VLOOKUP($A89,test!$A$3:$F$32,2,FALSE),VLOOKUP(C$1,test!$A$3:$F$32,2,FALSE))&lt;test!$K$16,$A89&lt;&gt;C$1,Recharged_Feasible_mat!D58=1),(VLOOKUP(C$1,test!$A$3:$I$32,8,FALSE))-(VLOOKUP($A89,test!$A$3:$I$32,9,FALSE))-test!$B$34,0)</f>
        <v>0</v>
      </c>
      <c r="D89">
        <f>IF(AND(SUM(VLOOKUP($A89,test!$A$3:$F$32,2,FALSE),VLOOKUP(D$1,test!$A$3:$F$32,2,FALSE))&lt;test!$K$16,$A89&lt;&gt;D$1,Recharged_Feasible_mat!E58=1),(VLOOKUP(D$1,test!$A$3:$I$32,8,FALSE))-(VLOOKUP($A89,test!$A$3:$I$32,9,FALSE))-test!$B$34,0)</f>
        <v>0</v>
      </c>
      <c r="E89">
        <f>IF(AND(SUM(VLOOKUP($A89,test!$A$3:$F$32,2,FALSE),VLOOKUP(E$1,test!$A$3:$F$32,2,FALSE))&lt;test!$K$16,$A89&lt;&gt;E$1,Recharged_Feasible_mat!F58=1),(VLOOKUP(E$1,test!$A$3:$I$32,8,FALSE))-(VLOOKUP($A89,test!$A$3:$I$32,9,FALSE))-test!$B$34,0)</f>
        <v>0</v>
      </c>
      <c r="F89">
        <f>IF(AND(SUM(VLOOKUP($A89,test!$A$3:$F$32,2,FALSE),VLOOKUP(F$1,test!$A$3:$F$32,2,FALSE))&lt;test!$K$16,$A89&lt;&gt;F$1,Recharged_Feasible_mat!G58=1),(VLOOKUP(F$1,test!$A$3:$I$32,8,FALSE))-(VLOOKUP($A89,test!$A$3:$I$32,9,FALSE))-test!$B$34,0)</f>
        <v>0</v>
      </c>
      <c r="G89">
        <f>IF(AND(SUM(VLOOKUP($A89,test!$A$3:$F$32,2,FALSE),VLOOKUP(G$1,test!$A$3:$F$32,2,FALSE))&lt;test!$K$16,$A89&lt;&gt;G$1,Recharged_Feasible_mat!H58=1),(VLOOKUP(G$1,test!$A$3:$I$32,8,FALSE))-(VLOOKUP($A89,test!$A$3:$I$32,9,FALSE))-test!$B$34,0)</f>
        <v>0</v>
      </c>
      <c r="H89">
        <f>IF(AND(SUM(VLOOKUP($A89,test!$A$3:$F$32,2,FALSE),VLOOKUP(H$1,test!$A$3:$F$32,2,FALSE))&lt;test!$K$16,$A89&lt;&gt;H$1,Recharged_Feasible_mat!I58=1),(VLOOKUP(H$1,test!$A$3:$I$32,8,FALSE))-(VLOOKUP($A89,test!$A$3:$I$32,9,FALSE))-test!$B$34,0)</f>
        <v>0</v>
      </c>
      <c r="I89">
        <f>IF(AND(SUM(VLOOKUP($A89,test!$A$3:$F$32,2,FALSE),VLOOKUP(I$1,test!$A$3:$F$32,2,FALSE))&lt;test!$K$16,$A89&lt;&gt;I$1,Recharged_Feasible_mat!J58=1),(VLOOKUP(I$1,test!$A$3:$I$32,8,FALSE))-(VLOOKUP($A89,test!$A$3:$I$32,9,FALSE))-test!$B$34,0)</f>
        <v>25</v>
      </c>
      <c r="J89">
        <f>IF(AND(SUM(VLOOKUP($A89,test!$A$3:$F$32,2,FALSE),VLOOKUP(J$1,test!$A$3:$F$32,2,FALSE))&lt;test!$K$16,$A89&lt;&gt;J$1,Recharged_Feasible_mat!K58=1),(VLOOKUP(J$1,test!$A$3:$I$32,8,FALSE))-(VLOOKUP($A89,test!$A$3:$I$32,9,FALSE))-test!$B$34,0)</f>
        <v>115</v>
      </c>
      <c r="K89">
        <f>IF(AND(SUM(VLOOKUP($A89,test!$A$3:$F$32,2,FALSE),VLOOKUP(K$1,test!$A$3:$F$32,2,FALSE))&lt;test!$K$16,$A89&lt;&gt;K$1,Recharged_Feasible_mat!L58=1),(VLOOKUP(K$1,test!$A$3:$I$32,8,FALSE))-(VLOOKUP($A89,test!$A$3:$I$32,9,FALSE))-test!$B$34,0)</f>
        <v>0</v>
      </c>
      <c r="L89">
        <f>IF(AND(SUM(VLOOKUP($A89,test!$A$3:$F$32,2,FALSE),VLOOKUP(L$1,test!$A$3:$F$32,2,FALSE))&lt;test!$K$16,$A89&lt;&gt;L$1,Recharged_Feasible_mat!M58=1),(VLOOKUP(L$1,test!$A$3:$I$32,8,FALSE))-(VLOOKUP($A89,test!$A$3:$I$32,9,FALSE))-test!$B$34,0)</f>
        <v>0</v>
      </c>
      <c r="M89">
        <f>IF(AND(SUM(VLOOKUP($A89,test!$A$3:$F$32,2,FALSE),VLOOKUP(M$1,test!$A$3:$F$32,2,FALSE))&lt;test!$K$16,$A89&lt;&gt;M$1,Recharged_Feasible_mat!N58=1),(VLOOKUP(M$1,test!$A$3:$I$32,8,FALSE))-(VLOOKUP($A89,test!$A$3:$I$32,9,FALSE))-test!$B$34,0)</f>
        <v>0</v>
      </c>
      <c r="N89">
        <f>IF(AND(SUM(VLOOKUP($A89,test!$A$3:$F$32,2,FALSE),VLOOKUP(N$1,test!$A$3:$F$32,2,FALSE))&lt;test!$K$16,$A89&lt;&gt;N$1,Recharged_Feasible_mat!O58=1),(VLOOKUP(N$1,test!$A$3:$I$32,8,FALSE))-(VLOOKUP($A89,test!$A$3:$I$32,9,FALSE))-test!$B$34,0)</f>
        <v>80</v>
      </c>
      <c r="O89">
        <f>IF(AND(SUM(VLOOKUP($A89,test!$A$3:$F$32,2,FALSE),VLOOKUP(O$1,test!$A$3:$F$32,2,FALSE))&lt;test!$K$16,$A89&lt;&gt;O$1,Recharged_Feasible_mat!P58=1),(VLOOKUP(O$1,test!$A$3:$I$32,8,FALSE))-(VLOOKUP($A89,test!$A$3:$I$32,9,FALSE))-test!$B$34,0)</f>
        <v>140</v>
      </c>
      <c r="P89">
        <f>IF(AND(SUM(VLOOKUP($A89,test!$A$3:$F$32,2,FALSE),VLOOKUP(P$1,test!$A$3:$F$32,2,FALSE))&lt;test!$K$16,$A89&lt;&gt;P$1,Recharged_Feasible_mat!Q58=1),(VLOOKUP(P$1,test!$A$3:$I$32,8,FALSE))-(VLOOKUP($A89,test!$A$3:$I$32,9,FALSE))-test!$B$34,0)</f>
        <v>0</v>
      </c>
      <c r="Q89">
        <f>IF(AND(SUM(VLOOKUP($A89,test!$A$3:$F$32,2,FALSE),VLOOKUP(Q$1,test!$A$3:$F$32,2,FALSE))&lt;test!$K$16,$A89&lt;&gt;Q$1,Recharged_Feasible_mat!R58=1),(VLOOKUP(Q$1,test!$A$3:$I$32,8,FALSE))-(VLOOKUP($A89,test!$A$3:$I$32,9,FALSE))-test!$B$34,0)</f>
        <v>0</v>
      </c>
      <c r="R89">
        <f>IF(AND(SUM(VLOOKUP($A89,test!$A$3:$F$32,2,FALSE),VLOOKUP(R$1,test!$A$3:$F$32,2,FALSE))&lt;test!$K$16,$A89&lt;&gt;R$1,Recharged_Feasible_mat!S58=1),(VLOOKUP(R$1,test!$A$3:$I$32,8,FALSE))-(VLOOKUP($A89,test!$A$3:$I$32,9,FALSE))-test!$B$34,0)</f>
        <v>0</v>
      </c>
      <c r="S89">
        <f>IF(AND(SUM(VLOOKUP($A89,test!$A$3:$F$32,2,FALSE),VLOOKUP(S$1,test!$A$3:$F$32,2,FALSE))&lt;test!$K$16,$A89&lt;&gt;S$1,Recharged_Feasible_mat!T58=1),(VLOOKUP(S$1,test!$A$3:$I$32,8,FALSE))-(VLOOKUP($A89,test!$A$3:$I$32,9,FALSE))-test!$B$34,0)</f>
        <v>0</v>
      </c>
      <c r="T89">
        <f>IF(AND(SUM(VLOOKUP($A89,test!$A$3:$F$32,2,FALSE),VLOOKUP(T$1,test!$A$3:$F$32,2,FALSE))&lt;test!$K$16,$A89&lt;&gt;T$1,Recharged_Feasible_mat!U58=1),(VLOOKUP(T$1,test!$A$3:$I$32,8,FALSE))-(VLOOKUP($A89,test!$A$3:$I$32,9,FALSE))-test!$B$34,0)</f>
        <v>0</v>
      </c>
      <c r="U89">
        <f>IF(AND(SUM(VLOOKUP($A89,test!$A$3:$F$32,2,FALSE),VLOOKUP(U$1,test!$A$3:$F$32,2,FALSE))&lt;test!$K$16,$A89&lt;&gt;U$1,Recharged_Feasible_mat!V58=1),(VLOOKUP(U$1,test!$A$3:$I$32,8,FALSE))-(VLOOKUP($A89,test!$A$3:$I$32,9,FALSE))-test!$B$34,0)</f>
        <v>0</v>
      </c>
      <c r="V89">
        <f>IF(AND(SUM(VLOOKUP($A89,test!$A$3:$F$32,2,FALSE),VLOOKUP(V$1,test!$A$3:$F$32,2,FALSE))&lt;test!$K$16,$A89&lt;&gt;V$1,Recharged_Feasible_mat!W58=1),(VLOOKUP(V$1,test!$A$3:$I$32,8,FALSE))-(VLOOKUP($A89,test!$A$3:$I$32,9,FALSE))-test!$B$34,0)</f>
        <v>0</v>
      </c>
      <c r="W89">
        <f>IF(AND(SUM(VLOOKUP($A89,test!$A$3:$F$32,2,FALSE),VLOOKUP(W$1,test!$A$3:$F$32,2,FALSE))&lt;test!$K$16,$A89&lt;&gt;W$1,Recharged_Feasible_mat!X58=1),(VLOOKUP(W$1,test!$A$3:$I$32,8,FALSE))-(VLOOKUP($A89,test!$A$3:$I$32,9,FALSE))-test!$B$34,0)</f>
        <v>5</v>
      </c>
      <c r="X89">
        <f>IF(AND(SUM(VLOOKUP($A89,test!$A$3:$F$32,2,FALSE),VLOOKUP(X$1,test!$A$3:$F$32,2,FALSE))&lt;test!$K$16,$A89&lt;&gt;X$1,Recharged_Feasible_mat!Y58=1),(VLOOKUP(X$1,test!$A$3:$I$32,8,FALSE))-(VLOOKUP($A89,test!$A$3:$I$32,9,FALSE))-test!$B$34,0)</f>
        <v>65</v>
      </c>
      <c r="Y89">
        <f>IF(AND(SUM(VLOOKUP($A89,test!$A$3:$F$32,2,FALSE),VLOOKUP(Y$1,test!$A$3:$F$32,2,FALSE))&lt;test!$K$16,$A89&lt;&gt;Y$1,Recharged_Feasible_mat!Z58=1),(VLOOKUP(Y$1,test!$A$3:$I$32,8,FALSE))-(VLOOKUP($A89,test!$A$3:$I$32,9,FALSE))-test!$B$34,0)</f>
        <v>0</v>
      </c>
      <c r="Z89">
        <f>IF(AND(SUM(VLOOKUP($A89,test!$A$3:$F$32,2,FALSE),VLOOKUP(Z$1,test!$A$3:$F$32,2,FALSE))&lt;test!$K$16,$A89&lt;&gt;Z$1,Recharged_Feasible_mat!AA58=1),(VLOOKUP(Z$1,test!$A$3:$I$32,8,FALSE))-(VLOOKUP($A89,test!$A$3:$I$32,9,FALSE))-test!$B$34,0)</f>
        <v>0</v>
      </c>
      <c r="AA89">
        <f>IF(AND(SUM(VLOOKUP($A89,test!$A$3:$F$32,2,FALSE),VLOOKUP(AA$1,test!$A$3:$F$32,2,FALSE))&lt;test!$K$16,$A89&lt;&gt;AA$1,Recharged_Feasible_mat!AB58=1),(VLOOKUP(AA$1,test!$A$3:$I$32,8,FALSE))-(VLOOKUP($A89,test!$A$3:$I$32,9,FALSE))-test!$B$34,0)</f>
        <v>0</v>
      </c>
      <c r="AB89">
        <f>IF(AND(SUM(VLOOKUP($A89,test!$A$3:$F$32,2,FALSE),VLOOKUP(AB$1,test!$A$3:$F$32,2,FALSE))&lt;test!$K$16,$A89&lt;&gt;AB$1,Recharged_Feasible_mat!AC58=1),(VLOOKUP(AB$1,test!$A$3:$I$32,8,FALSE))-(VLOOKUP($A89,test!$A$3:$I$32,9,FALSE))-test!$B$34,0)</f>
        <v>0</v>
      </c>
      <c r="AC89">
        <f>IF(AND(SUM(VLOOKUP($A89,test!$A$3:$F$32,2,FALSE),VLOOKUP(AC$1,test!$A$3:$F$32,2,FALSE))&lt;test!$K$16,$A89&lt;&gt;AC$1,Recharged_Feasible_mat!AD58=1),(VLOOKUP(AC$1,test!$A$3:$I$32,8,FALSE))-(VLOOKUP($A89,test!$A$3:$I$32,9,FALSE))-test!$B$34,0)</f>
        <v>0</v>
      </c>
      <c r="AD89">
        <f>IF(AND(SUM(VLOOKUP($A89,test!$A$3:$F$32,2,FALSE),VLOOKUP(AD$1,test!$A$3:$F$32,2,FALSE))&lt;test!$K$16,$A89&lt;&gt;AD$1,Recharged_Feasible_mat!AE58=1),(VLOOKUP(AD$1,test!$A$3:$I$32,8,FALSE))-(VLOOKUP($A89,test!$A$3:$I$32,9,FALSE))-test!$B$34,0)</f>
        <v>0</v>
      </c>
      <c r="AE89">
        <f>IF(AND(SUM(VLOOKUP($A89,test!$A$3:$F$32,2,FALSE),VLOOKUP(AE$1,test!$A$3:$F$32,2,FALSE))&lt;test!$K$16,$A89&lt;&gt;AE$1,Recharged_Feasible_mat!AF58=1),(VLOOKUP(AE$1,test!$A$3:$I$32,8,FALSE))-(VLOOKUP($A89,test!$A$3:$I$32,9,FALSE))-test!$B$34,0)</f>
        <v>0</v>
      </c>
      <c r="AF89">
        <f>IF(AND(SUM(VLOOKUP($A89,test!$A$3:$F$32,2,FALSE),VLOOKUP(AF$1,test!$A$3:$F$32,2,FALSE))&lt;test!$K$16,$A89&lt;&gt;AF$1,Recharged_Feasible_mat!AG58=1),(VLOOKUP(AF$1,test!$A$3:$I$32,8,FALSE))-(VLOOKUP($A89,test!$A$3:$I$32,9,FALSE))-test!$B$34,0)</f>
        <v>0</v>
      </c>
    </row>
    <row r="90" spans="1:32" x14ac:dyDescent="0.25">
      <c r="A90" t="s">
        <v>37</v>
      </c>
      <c r="B90">
        <v>0</v>
      </c>
      <c r="C90">
        <f>IF(AND(SUM(VLOOKUP($A90,test!$A$3:$F$32,2,FALSE),VLOOKUP(C$1,test!$A$3:$F$32,2,FALSE))&lt;test!$K$16,$A90&lt;&gt;C$1,Recharged_Feasible_mat!D59=1),(VLOOKUP(C$1,test!$A$3:$I$32,8,FALSE))-(VLOOKUP($A90,test!$A$3:$I$32,9,FALSE))-test!$B$34,0)</f>
        <v>0</v>
      </c>
      <c r="D90">
        <f>IF(AND(SUM(VLOOKUP($A90,test!$A$3:$F$32,2,FALSE),VLOOKUP(D$1,test!$A$3:$F$32,2,FALSE))&lt;test!$K$16,$A90&lt;&gt;D$1,Recharged_Feasible_mat!E59=1),(VLOOKUP(D$1,test!$A$3:$I$32,8,FALSE))-(VLOOKUP($A90,test!$A$3:$I$32,9,FALSE))-test!$B$34,0)</f>
        <v>0</v>
      </c>
      <c r="E90">
        <f>IF(AND(SUM(VLOOKUP($A90,test!$A$3:$F$32,2,FALSE),VLOOKUP(E$1,test!$A$3:$F$32,2,FALSE))&lt;test!$K$16,$A90&lt;&gt;E$1,Recharged_Feasible_mat!F59=1),(VLOOKUP(E$1,test!$A$3:$I$32,8,FALSE))-(VLOOKUP($A90,test!$A$3:$I$32,9,FALSE))-test!$B$34,0)</f>
        <v>0</v>
      </c>
      <c r="F90">
        <f>IF(AND(SUM(VLOOKUP($A90,test!$A$3:$F$32,2,FALSE),VLOOKUP(F$1,test!$A$3:$F$32,2,FALSE))&lt;test!$K$16,$A90&lt;&gt;F$1,Recharged_Feasible_mat!G59=1),(VLOOKUP(F$1,test!$A$3:$I$32,8,FALSE))-(VLOOKUP($A90,test!$A$3:$I$32,9,FALSE))-test!$B$34,0)</f>
        <v>0</v>
      </c>
      <c r="G90">
        <f>IF(AND(SUM(VLOOKUP($A90,test!$A$3:$F$32,2,FALSE),VLOOKUP(G$1,test!$A$3:$F$32,2,FALSE))&lt;test!$K$16,$A90&lt;&gt;G$1,Recharged_Feasible_mat!H59=1),(VLOOKUP(G$1,test!$A$3:$I$32,8,FALSE))-(VLOOKUP($A90,test!$A$3:$I$32,9,FALSE))-test!$B$34,0)</f>
        <v>0</v>
      </c>
      <c r="H90">
        <f>IF(AND(SUM(VLOOKUP($A90,test!$A$3:$F$32,2,FALSE),VLOOKUP(H$1,test!$A$3:$F$32,2,FALSE))&lt;test!$K$16,$A90&lt;&gt;H$1,Recharged_Feasible_mat!I59=1),(VLOOKUP(H$1,test!$A$3:$I$32,8,FALSE))-(VLOOKUP($A90,test!$A$3:$I$32,9,FALSE))-test!$B$34,0)</f>
        <v>0</v>
      </c>
      <c r="I90">
        <f>IF(AND(SUM(VLOOKUP($A90,test!$A$3:$F$32,2,FALSE),VLOOKUP(I$1,test!$A$3:$F$32,2,FALSE))&lt;test!$K$16,$A90&lt;&gt;I$1,Recharged_Feasible_mat!J59=1),(VLOOKUP(I$1,test!$A$3:$I$32,8,FALSE))-(VLOOKUP($A90,test!$A$3:$I$32,9,FALSE))-test!$B$34,0)</f>
        <v>0</v>
      </c>
      <c r="J90">
        <f>IF(AND(SUM(VLOOKUP($A90,test!$A$3:$F$32,2,FALSE),VLOOKUP(J$1,test!$A$3:$F$32,2,FALSE))&lt;test!$K$16,$A90&lt;&gt;J$1,Recharged_Feasible_mat!K59=1),(VLOOKUP(J$1,test!$A$3:$I$32,8,FALSE))-(VLOOKUP($A90,test!$A$3:$I$32,9,FALSE))-test!$B$34,0)</f>
        <v>55</v>
      </c>
      <c r="K90">
        <f>IF(AND(SUM(VLOOKUP($A90,test!$A$3:$F$32,2,FALSE),VLOOKUP(K$1,test!$A$3:$F$32,2,FALSE))&lt;test!$K$16,$A90&lt;&gt;K$1,Recharged_Feasible_mat!L59=1),(VLOOKUP(K$1,test!$A$3:$I$32,8,FALSE))-(VLOOKUP($A90,test!$A$3:$I$32,9,FALSE))-test!$B$34,0)</f>
        <v>0</v>
      </c>
      <c r="L90">
        <f>IF(AND(SUM(VLOOKUP($A90,test!$A$3:$F$32,2,FALSE),VLOOKUP(L$1,test!$A$3:$F$32,2,FALSE))&lt;test!$K$16,$A90&lt;&gt;L$1,Recharged_Feasible_mat!M59=1),(VLOOKUP(L$1,test!$A$3:$I$32,8,FALSE))-(VLOOKUP($A90,test!$A$3:$I$32,9,FALSE))-test!$B$34,0)</f>
        <v>0</v>
      </c>
      <c r="M90">
        <f>IF(AND(SUM(VLOOKUP($A90,test!$A$3:$F$32,2,FALSE),VLOOKUP(M$1,test!$A$3:$F$32,2,FALSE))&lt;test!$K$16,$A90&lt;&gt;M$1,Recharged_Feasible_mat!N59=1),(VLOOKUP(M$1,test!$A$3:$I$32,8,FALSE))-(VLOOKUP($A90,test!$A$3:$I$32,9,FALSE))-test!$B$34,0)</f>
        <v>0</v>
      </c>
      <c r="N90">
        <f>IF(AND(SUM(VLOOKUP($A90,test!$A$3:$F$32,2,FALSE),VLOOKUP(N$1,test!$A$3:$F$32,2,FALSE))&lt;test!$K$16,$A90&lt;&gt;N$1,Recharged_Feasible_mat!O59=1),(VLOOKUP(N$1,test!$A$3:$I$32,8,FALSE))-(VLOOKUP($A90,test!$A$3:$I$32,9,FALSE))-test!$B$34,0)</f>
        <v>20</v>
      </c>
      <c r="O90">
        <f>IF(AND(SUM(VLOOKUP($A90,test!$A$3:$F$32,2,FALSE),VLOOKUP(O$1,test!$A$3:$F$32,2,FALSE))&lt;test!$K$16,$A90&lt;&gt;O$1,Recharged_Feasible_mat!P59=1),(VLOOKUP(O$1,test!$A$3:$I$32,8,FALSE))-(VLOOKUP($A90,test!$A$3:$I$32,9,FALSE))-test!$B$34,0)</f>
        <v>80</v>
      </c>
      <c r="P90">
        <f>IF(AND(SUM(VLOOKUP($A90,test!$A$3:$F$32,2,FALSE),VLOOKUP(P$1,test!$A$3:$F$32,2,FALSE))&lt;test!$K$16,$A90&lt;&gt;P$1,Recharged_Feasible_mat!Q59=1),(VLOOKUP(P$1,test!$A$3:$I$32,8,FALSE))-(VLOOKUP($A90,test!$A$3:$I$32,9,FALSE))-test!$B$34,0)</f>
        <v>0</v>
      </c>
      <c r="Q90">
        <f>IF(AND(SUM(VLOOKUP($A90,test!$A$3:$F$32,2,FALSE),VLOOKUP(Q$1,test!$A$3:$F$32,2,FALSE))&lt;test!$K$16,$A90&lt;&gt;Q$1,Recharged_Feasible_mat!R59=1),(VLOOKUP(Q$1,test!$A$3:$I$32,8,FALSE))-(VLOOKUP($A90,test!$A$3:$I$32,9,FALSE))-test!$B$34,0)</f>
        <v>0</v>
      </c>
      <c r="R90">
        <f>IF(AND(SUM(VLOOKUP($A90,test!$A$3:$F$32,2,FALSE),VLOOKUP(R$1,test!$A$3:$F$32,2,FALSE))&lt;test!$K$16,$A90&lt;&gt;R$1,Recharged_Feasible_mat!S59=1),(VLOOKUP(R$1,test!$A$3:$I$32,8,FALSE))-(VLOOKUP($A90,test!$A$3:$I$32,9,FALSE))-test!$B$34,0)</f>
        <v>0</v>
      </c>
      <c r="S90">
        <f>IF(AND(SUM(VLOOKUP($A90,test!$A$3:$F$32,2,FALSE),VLOOKUP(S$1,test!$A$3:$F$32,2,FALSE))&lt;test!$K$16,$A90&lt;&gt;S$1,Recharged_Feasible_mat!T59=1),(VLOOKUP(S$1,test!$A$3:$I$32,8,FALSE))-(VLOOKUP($A90,test!$A$3:$I$32,9,FALSE))-test!$B$34,0)</f>
        <v>0</v>
      </c>
      <c r="T90">
        <f>IF(AND(SUM(VLOOKUP($A90,test!$A$3:$F$32,2,FALSE),VLOOKUP(T$1,test!$A$3:$F$32,2,FALSE))&lt;test!$K$16,$A90&lt;&gt;T$1,Recharged_Feasible_mat!U59=1),(VLOOKUP(T$1,test!$A$3:$I$32,8,FALSE))-(VLOOKUP($A90,test!$A$3:$I$32,9,FALSE))-test!$B$34,0)</f>
        <v>0</v>
      </c>
      <c r="U90">
        <f>IF(AND(SUM(VLOOKUP($A90,test!$A$3:$F$32,2,FALSE),VLOOKUP(U$1,test!$A$3:$F$32,2,FALSE))&lt;test!$K$16,$A90&lt;&gt;U$1,Recharged_Feasible_mat!V59=1),(VLOOKUP(U$1,test!$A$3:$I$32,8,FALSE))-(VLOOKUP($A90,test!$A$3:$I$32,9,FALSE))-test!$B$34,0)</f>
        <v>0</v>
      </c>
      <c r="V90">
        <f>IF(AND(SUM(VLOOKUP($A90,test!$A$3:$F$32,2,FALSE),VLOOKUP(V$1,test!$A$3:$F$32,2,FALSE))&lt;test!$K$16,$A90&lt;&gt;V$1,Recharged_Feasible_mat!W59=1),(VLOOKUP(V$1,test!$A$3:$I$32,8,FALSE))-(VLOOKUP($A90,test!$A$3:$I$32,9,FALSE))-test!$B$34,0)</f>
        <v>0</v>
      </c>
      <c r="W90">
        <f>IF(AND(SUM(VLOOKUP($A90,test!$A$3:$F$32,2,FALSE),VLOOKUP(W$1,test!$A$3:$F$32,2,FALSE))&lt;test!$K$16,$A90&lt;&gt;W$1,Recharged_Feasible_mat!X59=1),(VLOOKUP(W$1,test!$A$3:$I$32,8,FALSE))-(VLOOKUP($A90,test!$A$3:$I$32,9,FALSE))-test!$B$34,0)</f>
        <v>0</v>
      </c>
      <c r="X90">
        <f>IF(AND(SUM(VLOOKUP($A90,test!$A$3:$F$32,2,FALSE),VLOOKUP(X$1,test!$A$3:$F$32,2,FALSE))&lt;test!$K$16,$A90&lt;&gt;X$1,Recharged_Feasible_mat!Y59=1),(VLOOKUP(X$1,test!$A$3:$I$32,8,FALSE))-(VLOOKUP($A90,test!$A$3:$I$32,9,FALSE))-test!$B$34,0)</f>
        <v>5</v>
      </c>
      <c r="Y90">
        <f>IF(AND(SUM(VLOOKUP($A90,test!$A$3:$F$32,2,FALSE),VLOOKUP(Y$1,test!$A$3:$F$32,2,FALSE))&lt;test!$K$16,$A90&lt;&gt;Y$1,Recharged_Feasible_mat!Z59=1),(VLOOKUP(Y$1,test!$A$3:$I$32,8,FALSE))-(VLOOKUP($A90,test!$A$3:$I$32,9,FALSE))-test!$B$34,0)</f>
        <v>0</v>
      </c>
      <c r="Z90">
        <f>IF(AND(SUM(VLOOKUP($A90,test!$A$3:$F$32,2,FALSE),VLOOKUP(Z$1,test!$A$3:$F$32,2,FALSE))&lt;test!$K$16,$A90&lt;&gt;Z$1,Recharged_Feasible_mat!AA59=1),(VLOOKUP(Z$1,test!$A$3:$I$32,8,FALSE))-(VLOOKUP($A90,test!$A$3:$I$32,9,FALSE))-test!$B$34,0)</f>
        <v>0</v>
      </c>
      <c r="AA90">
        <f>IF(AND(SUM(VLOOKUP($A90,test!$A$3:$F$32,2,FALSE),VLOOKUP(AA$1,test!$A$3:$F$32,2,FALSE))&lt;test!$K$16,$A90&lt;&gt;AA$1,Recharged_Feasible_mat!AB59=1),(VLOOKUP(AA$1,test!$A$3:$I$32,8,FALSE))-(VLOOKUP($A90,test!$A$3:$I$32,9,FALSE))-test!$B$34,0)</f>
        <v>0</v>
      </c>
      <c r="AB90">
        <f>IF(AND(SUM(VLOOKUP($A90,test!$A$3:$F$32,2,FALSE),VLOOKUP(AB$1,test!$A$3:$F$32,2,FALSE))&lt;test!$K$16,$A90&lt;&gt;AB$1,Recharged_Feasible_mat!AC59=1),(VLOOKUP(AB$1,test!$A$3:$I$32,8,FALSE))-(VLOOKUP($A90,test!$A$3:$I$32,9,FALSE))-test!$B$34,0)</f>
        <v>0</v>
      </c>
      <c r="AC90">
        <f>IF(AND(SUM(VLOOKUP($A90,test!$A$3:$F$32,2,FALSE),VLOOKUP(AC$1,test!$A$3:$F$32,2,FALSE))&lt;test!$K$16,$A90&lt;&gt;AC$1,Recharged_Feasible_mat!AD59=1),(VLOOKUP(AC$1,test!$A$3:$I$32,8,FALSE))-(VLOOKUP($A90,test!$A$3:$I$32,9,FALSE))-test!$B$34,0)</f>
        <v>0</v>
      </c>
      <c r="AD90">
        <f>IF(AND(SUM(VLOOKUP($A90,test!$A$3:$F$32,2,FALSE),VLOOKUP(AD$1,test!$A$3:$F$32,2,FALSE))&lt;test!$K$16,$A90&lt;&gt;AD$1,Recharged_Feasible_mat!AE59=1),(VLOOKUP(AD$1,test!$A$3:$I$32,8,FALSE))-(VLOOKUP($A90,test!$A$3:$I$32,9,FALSE))-test!$B$34,0)</f>
        <v>0</v>
      </c>
      <c r="AE90">
        <f>IF(AND(SUM(VLOOKUP($A90,test!$A$3:$F$32,2,FALSE),VLOOKUP(AE$1,test!$A$3:$F$32,2,FALSE))&lt;test!$K$16,$A90&lt;&gt;AE$1,Recharged_Feasible_mat!AF59=1),(VLOOKUP(AE$1,test!$A$3:$I$32,8,FALSE))-(VLOOKUP($A90,test!$A$3:$I$32,9,FALSE))-test!$B$34,0)</f>
        <v>0</v>
      </c>
      <c r="AF90">
        <f>IF(AND(SUM(VLOOKUP($A90,test!$A$3:$F$32,2,FALSE),VLOOKUP(AF$1,test!$A$3:$F$32,2,FALSE))&lt;test!$K$16,$A90&lt;&gt;AF$1,Recharged_Feasible_mat!AG59=1),(VLOOKUP(AF$1,test!$A$3:$I$32,8,FALSE))-(VLOOKUP($A90,test!$A$3:$I$32,9,FALSE))-test!$B$34,0)</f>
        <v>0</v>
      </c>
    </row>
    <row r="91" spans="1:32" x14ac:dyDescent="0.25">
      <c r="A91" t="s">
        <v>38</v>
      </c>
      <c r="B91">
        <v>0</v>
      </c>
      <c r="C91">
        <f>IF(AND(SUM(VLOOKUP($A91,test!$A$3:$F$32,2,FALSE),VLOOKUP(C$1,test!$A$3:$F$32,2,FALSE))&lt;test!$K$16,$A91&lt;&gt;C$1,Recharged_Feasible_mat!D60=1),(VLOOKUP(C$1,test!$A$3:$I$32,8,FALSE))-(VLOOKUP($A91,test!$A$3:$I$32,9,FALSE))-test!$B$34,0)</f>
        <v>0</v>
      </c>
      <c r="D91">
        <f>IF(AND(SUM(VLOOKUP($A91,test!$A$3:$F$32,2,FALSE),VLOOKUP(D$1,test!$A$3:$F$32,2,FALSE))&lt;test!$K$16,$A91&lt;&gt;D$1,Recharged_Feasible_mat!E60=1),(VLOOKUP(D$1,test!$A$3:$I$32,8,FALSE))-(VLOOKUP($A91,test!$A$3:$I$32,9,FALSE))-test!$B$34,0)</f>
        <v>0</v>
      </c>
      <c r="E91">
        <f>IF(AND(SUM(VLOOKUP($A91,test!$A$3:$F$32,2,FALSE),VLOOKUP(E$1,test!$A$3:$F$32,2,FALSE))&lt;test!$K$16,$A91&lt;&gt;E$1,Recharged_Feasible_mat!F60=1),(VLOOKUP(E$1,test!$A$3:$I$32,8,FALSE))-(VLOOKUP($A91,test!$A$3:$I$32,9,FALSE))-test!$B$34,0)</f>
        <v>0</v>
      </c>
      <c r="F91">
        <f>IF(AND(SUM(VLOOKUP($A91,test!$A$3:$F$32,2,FALSE),VLOOKUP(F$1,test!$A$3:$F$32,2,FALSE))&lt;test!$K$16,$A91&lt;&gt;F$1,Recharged_Feasible_mat!G60=1),(VLOOKUP(F$1,test!$A$3:$I$32,8,FALSE))-(VLOOKUP($A91,test!$A$3:$I$32,9,FALSE))-test!$B$34,0)</f>
        <v>0</v>
      </c>
      <c r="G91">
        <f>IF(AND(SUM(VLOOKUP($A91,test!$A$3:$F$32,2,FALSE),VLOOKUP(G$1,test!$A$3:$F$32,2,FALSE))&lt;test!$K$16,$A91&lt;&gt;G$1,Recharged_Feasible_mat!H60=1),(VLOOKUP(G$1,test!$A$3:$I$32,8,FALSE))-(VLOOKUP($A91,test!$A$3:$I$32,9,FALSE))-test!$B$34,0)</f>
        <v>0</v>
      </c>
      <c r="H91">
        <f>IF(AND(SUM(VLOOKUP($A91,test!$A$3:$F$32,2,FALSE),VLOOKUP(H$1,test!$A$3:$F$32,2,FALSE))&lt;test!$K$16,$A91&lt;&gt;H$1,Recharged_Feasible_mat!I60=1),(VLOOKUP(H$1,test!$A$3:$I$32,8,FALSE))-(VLOOKUP($A91,test!$A$3:$I$32,9,FALSE))-test!$B$34,0)</f>
        <v>0</v>
      </c>
      <c r="I91">
        <f>IF(AND(SUM(VLOOKUP($A91,test!$A$3:$F$32,2,FALSE),VLOOKUP(I$1,test!$A$3:$F$32,2,FALSE))&lt;test!$K$16,$A91&lt;&gt;I$1,Recharged_Feasible_mat!J60=1),(VLOOKUP(I$1,test!$A$3:$I$32,8,FALSE))-(VLOOKUP($A91,test!$A$3:$I$32,9,FALSE))-test!$B$34,0)</f>
        <v>0</v>
      </c>
      <c r="J91">
        <f>IF(AND(SUM(VLOOKUP($A91,test!$A$3:$F$32,2,FALSE),VLOOKUP(J$1,test!$A$3:$F$32,2,FALSE))&lt;test!$K$16,$A91&lt;&gt;J$1,Recharged_Feasible_mat!K60=1),(VLOOKUP(J$1,test!$A$3:$I$32,8,FALSE))-(VLOOKUP($A91,test!$A$3:$I$32,9,FALSE))-test!$B$34,0)</f>
        <v>0</v>
      </c>
      <c r="K91">
        <f>IF(AND(SUM(VLOOKUP($A91,test!$A$3:$F$32,2,FALSE),VLOOKUP(K$1,test!$A$3:$F$32,2,FALSE))&lt;test!$K$16,$A91&lt;&gt;K$1,Recharged_Feasible_mat!L60=1),(VLOOKUP(K$1,test!$A$3:$I$32,8,FALSE))-(VLOOKUP($A91,test!$A$3:$I$32,9,FALSE))-test!$B$34,0)</f>
        <v>0</v>
      </c>
      <c r="L91">
        <f>IF(AND(SUM(VLOOKUP($A91,test!$A$3:$F$32,2,FALSE),VLOOKUP(L$1,test!$A$3:$F$32,2,FALSE))&lt;test!$K$16,$A91&lt;&gt;L$1,Recharged_Feasible_mat!M60=1),(VLOOKUP(L$1,test!$A$3:$I$32,8,FALSE))-(VLOOKUP($A91,test!$A$3:$I$32,9,FALSE))-test!$B$34,0)</f>
        <v>0</v>
      </c>
      <c r="M91">
        <f>IF(AND(SUM(VLOOKUP($A91,test!$A$3:$F$32,2,FALSE),VLOOKUP(M$1,test!$A$3:$F$32,2,FALSE))&lt;test!$K$16,$A91&lt;&gt;M$1,Recharged_Feasible_mat!N60=1),(VLOOKUP(M$1,test!$A$3:$I$32,8,FALSE))-(VLOOKUP($A91,test!$A$3:$I$32,9,FALSE))-test!$B$34,0)</f>
        <v>0</v>
      </c>
      <c r="N91">
        <f>IF(AND(SUM(VLOOKUP($A91,test!$A$3:$F$32,2,FALSE),VLOOKUP(N$1,test!$A$3:$F$32,2,FALSE))&lt;test!$K$16,$A91&lt;&gt;N$1,Recharged_Feasible_mat!O60=1),(VLOOKUP(N$1,test!$A$3:$I$32,8,FALSE))-(VLOOKUP($A91,test!$A$3:$I$32,9,FALSE))-test!$B$34,0)</f>
        <v>0</v>
      </c>
      <c r="O91">
        <f>IF(AND(SUM(VLOOKUP($A91,test!$A$3:$F$32,2,FALSE),VLOOKUP(O$1,test!$A$3:$F$32,2,FALSE))&lt;test!$K$16,$A91&lt;&gt;O$1,Recharged_Feasible_mat!P60=1),(VLOOKUP(O$1,test!$A$3:$I$32,8,FALSE))-(VLOOKUP($A91,test!$A$3:$I$32,9,FALSE))-test!$B$34,0)</f>
        <v>0</v>
      </c>
      <c r="P91">
        <f>IF(AND(SUM(VLOOKUP($A91,test!$A$3:$F$32,2,FALSE),VLOOKUP(P$1,test!$A$3:$F$32,2,FALSE))&lt;test!$K$16,$A91&lt;&gt;P$1,Recharged_Feasible_mat!Q60=1),(VLOOKUP(P$1,test!$A$3:$I$32,8,FALSE))-(VLOOKUP($A91,test!$A$3:$I$32,9,FALSE))-test!$B$34,0)</f>
        <v>0</v>
      </c>
      <c r="Q91">
        <f>IF(AND(SUM(VLOOKUP($A91,test!$A$3:$F$32,2,FALSE),VLOOKUP(Q$1,test!$A$3:$F$32,2,FALSE))&lt;test!$K$16,$A91&lt;&gt;Q$1,Recharged_Feasible_mat!R60=1),(VLOOKUP(Q$1,test!$A$3:$I$32,8,FALSE))-(VLOOKUP($A91,test!$A$3:$I$32,9,FALSE))-test!$B$34,0)</f>
        <v>0</v>
      </c>
      <c r="R91">
        <f>IF(AND(SUM(VLOOKUP($A91,test!$A$3:$F$32,2,FALSE),VLOOKUP(R$1,test!$A$3:$F$32,2,FALSE))&lt;test!$K$16,$A91&lt;&gt;R$1,Recharged_Feasible_mat!S60=1),(VLOOKUP(R$1,test!$A$3:$I$32,8,FALSE))-(VLOOKUP($A91,test!$A$3:$I$32,9,FALSE))-test!$B$34,0)</f>
        <v>0</v>
      </c>
      <c r="S91">
        <f>IF(AND(SUM(VLOOKUP($A91,test!$A$3:$F$32,2,FALSE),VLOOKUP(S$1,test!$A$3:$F$32,2,FALSE))&lt;test!$K$16,$A91&lt;&gt;S$1,Recharged_Feasible_mat!T60=1),(VLOOKUP(S$1,test!$A$3:$I$32,8,FALSE))-(VLOOKUP($A91,test!$A$3:$I$32,9,FALSE))-test!$B$34,0)</f>
        <v>0</v>
      </c>
      <c r="T91">
        <f>IF(AND(SUM(VLOOKUP($A91,test!$A$3:$F$32,2,FALSE),VLOOKUP(T$1,test!$A$3:$F$32,2,FALSE))&lt;test!$K$16,$A91&lt;&gt;T$1,Recharged_Feasible_mat!U60=1),(VLOOKUP(T$1,test!$A$3:$I$32,8,FALSE))-(VLOOKUP($A91,test!$A$3:$I$32,9,FALSE))-test!$B$34,0)</f>
        <v>0</v>
      </c>
      <c r="U91">
        <f>IF(AND(SUM(VLOOKUP($A91,test!$A$3:$F$32,2,FALSE),VLOOKUP(U$1,test!$A$3:$F$32,2,FALSE))&lt;test!$K$16,$A91&lt;&gt;U$1,Recharged_Feasible_mat!V60=1),(VLOOKUP(U$1,test!$A$3:$I$32,8,FALSE))-(VLOOKUP($A91,test!$A$3:$I$32,9,FALSE))-test!$B$34,0)</f>
        <v>0</v>
      </c>
      <c r="V91">
        <f>IF(AND(SUM(VLOOKUP($A91,test!$A$3:$F$32,2,FALSE),VLOOKUP(V$1,test!$A$3:$F$32,2,FALSE))&lt;test!$K$16,$A91&lt;&gt;V$1,Recharged_Feasible_mat!W60=1),(VLOOKUP(V$1,test!$A$3:$I$32,8,FALSE))-(VLOOKUP($A91,test!$A$3:$I$32,9,FALSE))-test!$B$34,0)</f>
        <v>0</v>
      </c>
      <c r="W91">
        <f>IF(AND(SUM(VLOOKUP($A91,test!$A$3:$F$32,2,FALSE),VLOOKUP(W$1,test!$A$3:$F$32,2,FALSE))&lt;test!$K$16,$A91&lt;&gt;W$1,Recharged_Feasible_mat!X60=1),(VLOOKUP(W$1,test!$A$3:$I$32,8,FALSE))-(VLOOKUP($A91,test!$A$3:$I$32,9,FALSE))-test!$B$34,0)</f>
        <v>0</v>
      </c>
      <c r="X91">
        <f>IF(AND(SUM(VLOOKUP($A91,test!$A$3:$F$32,2,FALSE),VLOOKUP(X$1,test!$A$3:$F$32,2,FALSE))&lt;test!$K$16,$A91&lt;&gt;X$1,Recharged_Feasible_mat!Y60=1),(VLOOKUP(X$1,test!$A$3:$I$32,8,FALSE))-(VLOOKUP($A91,test!$A$3:$I$32,9,FALSE))-test!$B$34,0)</f>
        <v>0</v>
      </c>
      <c r="Y91">
        <f>IF(AND(SUM(VLOOKUP($A91,test!$A$3:$F$32,2,FALSE),VLOOKUP(Y$1,test!$A$3:$F$32,2,FALSE))&lt;test!$K$16,$A91&lt;&gt;Y$1,Recharged_Feasible_mat!Z60=1),(VLOOKUP(Y$1,test!$A$3:$I$32,8,FALSE))-(VLOOKUP($A91,test!$A$3:$I$32,9,FALSE))-test!$B$34,0)</f>
        <v>0</v>
      </c>
      <c r="Z91">
        <f>IF(AND(SUM(VLOOKUP($A91,test!$A$3:$F$32,2,FALSE),VLOOKUP(Z$1,test!$A$3:$F$32,2,FALSE))&lt;test!$K$16,$A91&lt;&gt;Z$1,Recharged_Feasible_mat!AA60=1),(VLOOKUP(Z$1,test!$A$3:$I$32,8,FALSE))-(VLOOKUP($A91,test!$A$3:$I$32,9,FALSE))-test!$B$34,0)</f>
        <v>0</v>
      </c>
      <c r="AA91">
        <f>IF(AND(SUM(VLOOKUP($A91,test!$A$3:$F$32,2,FALSE),VLOOKUP(AA$1,test!$A$3:$F$32,2,FALSE))&lt;test!$K$16,$A91&lt;&gt;AA$1,Recharged_Feasible_mat!AB60=1),(VLOOKUP(AA$1,test!$A$3:$I$32,8,FALSE))-(VLOOKUP($A91,test!$A$3:$I$32,9,FALSE))-test!$B$34,0)</f>
        <v>0</v>
      </c>
      <c r="AB91">
        <f>IF(AND(SUM(VLOOKUP($A91,test!$A$3:$F$32,2,FALSE),VLOOKUP(AB$1,test!$A$3:$F$32,2,FALSE))&lt;test!$K$16,$A91&lt;&gt;AB$1,Recharged_Feasible_mat!AC60=1),(VLOOKUP(AB$1,test!$A$3:$I$32,8,FALSE))-(VLOOKUP($A91,test!$A$3:$I$32,9,FALSE))-test!$B$34,0)</f>
        <v>0</v>
      </c>
      <c r="AC91">
        <f>IF(AND(SUM(VLOOKUP($A91,test!$A$3:$F$32,2,FALSE),VLOOKUP(AC$1,test!$A$3:$F$32,2,FALSE))&lt;test!$K$16,$A91&lt;&gt;AC$1,Recharged_Feasible_mat!AD60=1),(VLOOKUP(AC$1,test!$A$3:$I$32,8,FALSE))-(VLOOKUP($A91,test!$A$3:$I$32,9,FALSE))-test!$B$34,0)</f>
        <v>0</v>
      </c>
      <c r="AD91">
        <f>IF(AND(SUM(VLOOKUP($A91,test!$A$3:$F$32,2,FALSE),VLOOKUP(AD$1,test!$A$3:$F$32,2,FALSE))&lt;test!$K$16,$A91&lt;&gt;AD$1,Recharged_Feasible_mat!AE60=1),(VLOOKUP(AD$1,test!$A$3:$I$32,8,FALSE))-(VLOOKUP($A91,test!$A$3:$I$32,9,FALSE))-test!$B$34,0)</f>
        <v>0</v>
      </c>
      <c r="AE91">
        <f>IF(AND(SUM(VLOOKUP($A91,test!$A$3:$F$32,2,FALSE),VLOOKUP(AE$1,test!$A$3:$F$32,2,FALSE))&lt;test!$K$16,$A91&lt;&gt;AE$1,Recharged_Feasible_mat!AF60=1),(VLOOKUP(AE$1,test!$A$3:$I$32,8,FALSE))-(VLOOKUP($A91,test!$A$3:$I$32,9,FALSE))-test!$B$34,0)</f>
        <v>0</v>
      </c>
      <c r="AF91">
        <f>IF(AND(SUM(VLOOKUP($A91,test!$A$3:$F$32,2,FALSE),VLOOKUP(AF$1,test!$A$3:$F$32,2,FALSE))&lt;test!$K$16,$A91&lt;&gt;AF$1,Recharged_Feasible_mat!AG60=1),(VLOOKUP(AF$1,test!$A$3:$I$32,8,FALSE))-(VLOOKUP($A91,test!$A$3:$I$32,9,FALSE))-test!$B$34,0)</f>
        <v>0</v>
      </c>
    </row>
    <row r="92" spans="1:32" x14ac:dyDescent="0.25">
      <c r="A92" t="s">
        <v>39</v>
      </c>
      <c r="B92">
        <v>0</v>
      </c>
      <c r="C92">
        <f>IF(AND(SUM(VLOOKUP($A92,test!$A$3:$F$32,2,FALSE),VLOOKUP(C$1,test!$A$3:$F$32,2,FALSE))&lt;test!$K$16,$A92&lt;&gt;C$1,Recharged_Feasible_mat!D61=1),(VLOOKUP(C$1,test!$A$3:$I$32,8,FALSE))-(VLOOKUP($A92,test!$A$3:$I$32,9,FALSE))-test!$B$34,0)</f>
        <v>0</v>
      </c>
      <c r="D92">
        <f>IF(AND(SUM(VLOOKUP($A92,test!$A$3:$F$32,2,FALSE),VLOOKUP(D$1,test!$A$3:$F$32,2,FALSE))&lt;test!$K$16,$A92&lt;&gt;D$1,Recharged_Feasible_mat!E61=1),(VLOOKUP(D$1,test!$A$3:$I$32,8,FALSE))-(VLOOKUP($A92,test!$A$3:$I$32,9,FALSE))-test!$B$34,0)</f>
        <v>0</v>
      </c>
      <c r="E92">
        <f>IF(AND(SUM(VLOOKUP($A92,test!$A$3:$F$32,2,FALSE),VLOOKUP(E$1,test!$A$3:$F$32,2,FALSE))&lt;test!$K$16,$A92&lt;&gt;E$1,Recharged_Feasible_mat!F61=1),(VLOOKUP(E$1,test!$A$3:$I$32,8,FALSE))-(VLOOKUP($A92,test!$A$3:$I$32,9,FALSE))-test!$B$34,0)</f>
        <v>0</v>
      </c>
      <c r="F92">
        <f>IF(AND(SUM(VLOOKUP($A92,test!$A$3:$F$32,2,FALSE),VLOOKUP(F$1,test!$A$3:$F$32,2,FALSE))&lt;test!$K$16,$A92&lt;&gt;F$1,Recharged_Feasible_mat!G61=1),(VLOOKUP(F$1,test!$A$3:$I$32,8,FALSE))-(VLOOKUP($A92,test!$A$3:$I$32,9,FALSE))-test!$B$34,0)</f>
        <v>0</v>
      </c>
      <c r="G92">
        <f>IF(AND(SUM(VLOOKUP($A92,test!$A$3:$F$32,2,FALSE),VLOOKUP(G$1,test!$A$3:$F$32,2,FALSE))&lt;test!$K$16,$A92&lt;&gt;G$1,Recharged_Feasible_mat!H61=1),(VLOOKUP(G$1,test!$A$3:$I$32,8,FALSE))-(VLOOKUP($A92,test!$A$3:$I$32,9,FALSE))-test!$B$34,0)</f>
        <v>0</v>
      </c>
      <c r="H92">
        <f>IF(AND(SUM(VLOOKUP($A92,test!$A$3:$F$32,2,FALSE),VLOOKUP(H$1,test!$A$3:$F$32,2,FALSE))&lt;test!$K$16,$A92&lt;&gt;H$1,Recharged_Feasible_mat!I61=1),(VLOOKUP(H$1,test!$A$3:$I$32,8,FALSE))-(VLOOKUP($A92,test!$A$3:$I$32,9,FALSE))-test!$B$34,0)</f>
        <v>0</v>
      </c>
      <c r="I92">
        <f>IF(AND(SUM(VLOOKUP($A92,test!$A$3:$F$32,2,FALSE),VLOOKUP(I$1,test!$A$3:$F$32,2,FALSE))&lt;test!$K$16,$A92&lt;&gt;I$1,Recharged_Feasible_mat!J61=1),(VLOOKUP(I$1,test!$A$3:$I$32,8,FALSE))-(VLOOKUP($A92,test!$A$3:$I$32,9,FALSE))-test!$B$34,0)</f>
        <v>0</v>
      </c>
      <c r="J92">
        <f>IF(AND(SUM(VLOOKUP($A92,test!$A$3:$F$32,2,FALSE),VLOOKUP(J$1,test!$A$3:$F$32,2,FALSE))&lt;test!$K$16,$A92&lt;&gt;J$1,Recharged_Feasible_mat!K61=1),(VLOOKUP(J$1,test!$A$3:$I$32,8,FALSE))-(VLOOKUP($A92,test!$A$3:$I$32,9,FALSE))-test!$B$34,0)</f>
        <v>0</v>
      </c>
      <c r="K92">
        <f>IF(AND(SUM(VLOOKUP($A92,test!$A$3:$F$32,2,FALSE),VLOOKUP(K$1,test!$A$3:$F$32,2,FALSE))&lt;test!$K$16,$A92&lt;&gt;K$1,Recharged_Feasible_mat!L61=1),(VLOOKUP(K$1,test!$A$3:$I$32,8,FALSE))-(VLOOKUP($A92,test!$A$3:$I$32,9,FALSE))-test!$B$34,0)</f>
        <v>0</v>
      </c>
      <c r="L92">
        <f>IF(AND(SUM(VLOOKUP($A92,test!$A$3:$F$32,2,FALSE),VLOOKUP(L$1,test!$A$3:$F$32,2,FALSE))&lt;test!$K$16,$A92&lt;&gt;L$1,Recharged_Feasible_mat!M61=1),(VLOOKUP(L$1,test!$A$3:$I$32,8,FALSE))-(VLOOKUP($A92,test!$A$3:$I$32,9,FALSE))-test!$B$34,0)</f>
        <v>0</v>
      </c>
      <c r="M92">
        <f>IF(AND(SUM(VLOOKUP($A92,test!$A$3:$F$32,2,FALSE),VLOOKUP(M$1,test!$A$3:$F$32,2,FALSE))&lt;test!$K$16,$A92&lt;&gt;M$1,Recharged_Feasible_mat!N61=1),(VLOOKUP(M$1,test!$A$3:$I$32,8,FALSE))-(VLOOKUP($A92,test!$A$3:$I$32,9,FALSE))-test!$B$34,0)</f>
        <v>0</v>
      </c>
      <c r="N92">
        <f>IF(AND(SUM(VLOOKUP($A92,test!$A$3:$F$32,2,FALSE),VLOOKUP(N$1,test!$A$3:$F$32,2,FALSE))&lt;test!$K$16,$A92&lt;&gt;N$1,Recharged_Feasible_mat!O61=1),(VLOOKUP(N$1,test!$A$3:$I$32,8,FALSE))-(VLOOKUP($A92,test!$A$3:$I$32,9,FALSE))-test!$B$34,0)</f>
        <v>0</v>
      </c>
      <c r="O92">
        <f>IF(AND(SUM(VLOOKUP($A92,test!$A$3:$F$32,2,FALSE),VLOOKUP(O$1,test!$A$3:$F$32,2,FALSE))&lt;test!$K$16,$A92&lt;&gt;O$1,Recharged_Feasible_mat!P61=1),(VLOOKUP(O$1,test!$A$3:$I$32,8,FALSE))-(VLOOKUP($A92,test!$A$3:$I$32,9,FALSE))-test!$B$34,0)</f>
        <v>0</v>
      </c>
      <c r="P92">
        <f>IF(AND(SUM(VLOOKUP($A92,test!$A$3:$F$32,2,FALSE),VLOOKUP(P$1,test!$A$3:$F$32,2,FALSE))&lt;test!$K$16,$A92&lt;&gt;P$1,Recharged_Feasible_mat!Q61=1),(VLOOKUP(P$1,test!$A$3:$I$32,8,FALSE))-(VLOOKUP($A92,test!$A$3:$I$32,9,FALSE))-test!$B$34,0)</f>
        <v>0</v>
      </c>
      <c r="Q92">
        <f>IF(AND(SUM(VLOOKUP($A92,test!$A$3:$F$32,2,FALSE),VLOOKUP(Q$1,test!$A$3:$F$32,2,FALSE))&lt;test!$K$16,$A92&lt;&gt;Q$1,Recharged_Feasible_mat!R61=1),(VLOOKUP(Q$1,test!$A$3:$I$32,8,FALSE))-(VLOOKUP($A92,test!$A$3:$I$32,9,FALSE))-test!$B$34,0)</f>
        <v>0</v>
      </c>
      <c r="R92">
        <f>IF(AND(SUM(VLOOKUP($A92,test!$A$3:$F$32,2,FALSE),VLOOKUP(R$1,test!$A$3:$F$32,2,FALSE))&lt;test!$K$16,$A92&lt;&gt;R$1,Recharged_Feasible_mat!S61=1),(VLOOKUP(R$1,test!$A$3:$I$32,8,FALSE))-(VLOOKUP($A92,test!$A$3:$I$32,9,FALSE))-test!$B$34,0)</f>
        <v>0</v>
      </c>
      <c r="S92">
        <f>IF(AND(SUM(VLOOKUP($A92,test!$A$3:$F$32,2,FALSE),VLOOKUP(S$1,test!$A$3:$F$32,2,FALSE))&lt;test!$K$16,$A92&lt;&gt;S$1,Recharged_Feasible_mat!T61=1),(VLOOKUP(S$1,test!$A$3:$I$32,8,FALSE))-(VLOOKUP($A92,test!$A$3:$I$32,9,FALSE))-test!$B$34,0)</f>
        <v>0</v>
      </c>
      <c r="T92">
        <f>IF(AND(SUM(VLOOKUP($A92,test!$A$3:$F$32,2,FALSE),VLOOKUP(T$1,test!$A$3:$F$32,2,FALSE))&lt;test!$K$16,$A92&lt;&gt;T$1,Recharged_Feasible_mat!U61=1),(VLOOKUP(T$1,test!$A$3:$I$32,8,FALSE))-(VLOOKUP($A92,test!$A$3:$I$32,9,FALSE))-test!$B$34,0)</f>
        <v>0</v>
      </c>
      <c r="U92">
        <f>IF(AND(SUM(VLOOKUP($A92,test!$A$3:$F$32,2,FALSE),VLOOKUP(U$1,test!$A$3:$F$32,2,FALSE))&lt;test!$K$16,$A92&lt;&gt;U$1,Recharged_Feasible_mat!V61=1),(VLOOKUP(U$1,test!$A$3:$I$32,8,FALSE))-(VLOOKUP($A92,test!$A$3:$I$32,9,FALSE))-test!$B$34,0)</f>
        <v>0</v>
      </c>
      <c r="V92">
        <f>IF(AND(SUM(VLOOKUP($A92,test!$A$3:$F$32,2,FALSE),VLOOKUP(V$1,test!$A$3:$F$32,2,FALSE))&lt;test!$K$16,$A92&lt;&gt;V$1,Recharged_Feasible_mat!W61=1),(VLOOKUP(V$1,test!$A$3:$I$32,8,FALSE))-(VLOOKUP($A92,test!$A$3:$I$32,9,FALSE))-test!$B$34,0)</f>
        <v>0</v>
      </c>
      <c r="W92">
        <f>IF(AND(SUM(VLOOKUP($A92,test!$A$3:$F$32,2,FALSE),VLOOKUP(W$1,test!$A$3:$F$32,2,FALSE))&lt;test!$K$16,$A92&lt;&gt;W$1,Recharged_Feasible_mat!X61=1),(VLOOKUP(W$1,test!$A$3:$I$32,8,FALSE))-(VLOOKUP($A92,test!$A$3:$I$32,9,FALSE))-test!$B$34,0)</f>
        <v>0</v>
      </c>
      <c r="X92">
        <f>IF(AND(SUM(VLOOKUP($A92,test!$A$3:$F$32,2,FALSE),VLOOKUP(X$1,test!$A$3:$F$32,2,FALSE))&lt;test!$K$16,$A92&lt;&gt;X$1,Recharged_Feasible_mat!Y61=1),(VLOOKUP(X$1,test!$A$3:$I$32,8,FALSE))-(VLOOKUP($A92,test!$A$3:$I$32,9,FALSE))-test!$B$34,0)</f>
        <v>0</v>
      </c>
      <c r="Y92">
        <f>IF(AND(SUM(VLOOKUP($A92,test!$A$3:$F$32,2,FALSE),VLOOKUP(Y$1,test!$A$3:$F$32,2,FALSE))&lt;test!$K$16,$A92&lt;&gt;Y$1,Recharged_Feasible_mat!Z61=1),(VLOOKUP(Y$1,test!$A$3:$I$32,8,FALSE))-(VLOOKUP($A92,test!$A$3:$I$32,9,FALSE))-test!$B$34,0)</f>
        <v>0</v>
      </c>
      <c r="Z92">
        <f>IF(AND(SUM(VLOOKUP($A92,test!$A$3:$F$32,2,FALSE),VLOOKUP(Z$1,test!$A$3:$F$32,2,FALSE))&lt;test!$K$16,$A92&lt;&gt;Z$1,Recharged_Feasible_mat!AA61=1),(VLOOKUP(Z$1,test!$A$3:$I$32,8,FALSE))-(VLOOKUP($A92,test!$A$3:$I$32,9,FALSE))-test!$B$34,0)</f>
        <v>0</v>
      </c>
      <c r="AA92">
        <f>IF(AND(SUM(VLOOKUP($A92,test!$A$3:$F$32,2,FALSE),VLOOKUP(AA$1,test!$A$3:$F$32,2,FALSE))&lt;test!$K$16,$A92&lt;&gt;AA$1,Recharged_Feasible_mat!AB61=1),(VLOOKUP(AA$1,test!$A$3:$I$32,8,FALSE))-(VLOOKUP($A92,test!$A$3:$I$32,9,FALSE))-test!$B$34,0)</f>
        <v>0</v>
      </c>
      <c r="AB92">
        <f>IF(AND(SUM(VLOOKUP($A92,test!$A$3:$F$32,2,FALSE),VLOOKUP(AB$1,test!$A$3:$F$32,2,FALSE))&lt;test!$K$16,$A92&lt;&gt;AB$1,Recharged_Feasible_mat!AC61=1),(VLOOKUP(AB$1,test!$A$3:$I$32,8,FALSE))-(VLOOKUP($A92,test!$A$3:$I$32,9,FALSE))-test!$B$34,0)</f>
        <v>0</v>
      </c>
      <c r="AC92">
        <f>IF(AND(SUM(VLOOKUP($A92,test!$A$3:$F$32,2,FALSE),VLOOKUP(AC$1,test!$A$3:$F$32,2,FALSE))&lt;test!$K$16,$A92&lt;&gt;AC$1,Recharged_Feasible_mat!AD61=1),(VLOOKUP(AC$1,test!$A$3:$I$32,8,FALSE))-(VLOOKUP($A92,test!$A$3:$I$32,9,FALSE))-test!$B$34,0)</f>
        <v>0</v>
      </c>
      <c r="AD92">
        <f>IF(AND(SUM(VLOOKUP($A92,test!$A$3:$F$32,2,FALSE),VLOOKUP(AD$1,test!$A$3:$F$32,2,FALSE))&lt;test!$K$16,$A92&lt;&gt;AD$1,Recharged_Feasible_mat!AE61=1),(VLOOKUP(AD$1,test!$A$3:$I$32,8,FALSE))-(VLOOKUP($A92,test!$A$3:$I$32,9,FALSE))-test!$B$34,0)</f>
        <v>0</v>
      </c>
      <c r="AE92">
        <f>IF(AND(SUM(VLOOKUP($A92,test!$A$3:$F$32,2,FALSE),VLOOKUP(AE$1,test!$A$3:$F$32,2,FALSE))&lt;test!$K$16,$A92&lt;&gt;AE$1,Recharged_Feasible_mat!AF61=1),(VLOOKUP(AE$1,test!$A$3:$I$32,8,FALSE))-(VLOOKUP($A92,test!$A$3:$I$32,9,FALSE))-test!$B$34,0)</f>
        <v>0</v>
      </c>
      <c r="AF92">
        <f>IF(AND(SUM(VLOOKUP($A92,test!$A$3:$F$32,2,FALSE),VLOOKUP(AF$1,test!$A$3:$F$32,2,FALSE))&lt;test!$K$16,$A92&lt;&gt;AF$1,Recharged_Feasible_mat!AG61=1),(VLOOKUP(AF$1,test!$A$3:$I$32,8,FALSE))-(VLOOKUP($A92,test!$A$3:$I$32,9,FALSE))-test!$B$34,0)</f>
        <v>0</v>
      </c>
    </row>
    <row r="93" spans="1:32" x14ac:dyDescent="0.25">
      <c r="A93" t="s">
        <v>40</v>
      </c>
      <c r="B93">
        <v>0</v>
      </c>
      <c r="C93">
        <f>IF(AND(SUM(VLOOKUP($A93,test!$A$3:$F$32,2,FALSE),VLOOKUP(C$1,test!$A$3:$F$32,2,FALSE))&lt;test!$K$16,$A93&lt;&gt;C$1,Recharged_Feasible_mat!D62=1),(VLOOKUP(C$1,test!$A$3:$I$32,8,FALSE))-(VLOOKUP($A93,test!$A$3:$I$32,9,FALSE))-test!$B$34,0)</f>
        <v>0</v>
      </c>
      <c r="D93">
        <f>IF(AND(SUM(VLOOKUP($A93,test!$A$3:$F$32,2,FALSE),VLOOKUP(D$1,test!$A$3:$F$32,2,FALSE))&lt;test!$K$16,$A93&lt;&gt;D$1,Recharged_Feasible_mat!E62=1),(VLOOKUP(D$1,test!$A$3:$I$32,8,FALSE))-(VLOOKUP($A93,test!$A$3:$I$32,9,FALSE))-test!$B$34,0)</f>
        <v>0</v>
      </c>
      <c r="E93">
        <f>IF(AND(SUM(VLOOKUP($A93,test!$A$3:$F$32,2,FALSE),VLOOKUP(E$1,test!$A$3:$F$32,2,FALSE))&lt;test!$K$16,$A93&lt;&gt;E$1,Recharged_Feasible_mat!F62=1),(VLOOKUP(E$1,test!$A$3:$I$32,8,FALSE))-(VLOOKUP($A93,test!$A$3:$I$32,9,FALSE))-test!$B$34,0)</f>
        <v>0</v>
      </c>
      <c r="F93">
        <f>IF(AND(SUM(VLOOKUP($A93,test!$A$3:$F$32,2,FALSE),VLOOKUP(F$1,test!$A$3:$F$32,2,FALSE))&lt;test!$K$16,$A93&lt;&gt;F$1,Recharged_Feasible_mat!G62=1),(VLOOKUP(F$1,test!$A$3:$I$32,8,FALSE))-(VLOOKUP($A93,test!$A$3:$I$32,9,FALSE))-test!$B$34,0)</f>
        <v>0</v>
      </c>
      <c r="G93">
        <f>IF(AND(SUM(VLOOKUP($A93,test!$A$3:$F$32,2,FALSE),VLOOKUP(G$1,test!$A$3:$F$32,2,FALSE))&lt;test!$K$16,$A93&lt;&gt;G$1,Recharged_Feasible_mat!H62=1),(VLOOKUP(G$1,test!$A$3:$I$32,8,FALSE))-(VLOOKUP($A93,test!$A$3:$I$32,9,FALSE))-test!$B$34,0)</f>
        <v>0</v>
      </c>
      <c r="H93">
        <f>IF(AND(SUM(VLOOKUP($A93,test!$A$3:$F$32,2,FALSE),VLOOKUP(H$1,test!$A$3:$F$32,2,FALSE))&lt;test!$K$16,$A93&lt;&gt;H$1,Recharged_Feasible_mat!I62=1),(VLOOKUP(H$1,test!$A$3:$I$32,8,FALSE))-(VLOOKUP($A93,test!$A$3:$I$32,9,FALSE))-test!$B$34,0)</f>
        <v>0</v>
      </c>
      <c r="I93">
        <f>IF(AND(SUM(VLOOKUP($A93,test!$A$3:$F$32,2,FALSE),VLOOKUP(I$1,test!$A$3:$F$32,2,FALSE))&lt;test!$K$16,$A93&lt;&gt;I$1,Recharged_Feasible_mat!J62=1),(VLOOKUP(I$1,test!$A$3:$I$32,8,FALSE))-(VLOOKUP($A93,test!$A$3:$I$32,9,FALSE))-test!$B$34,0)</f>
        <v>0</v>
      </c>
      <c r="J93">
        <f>IF(AND(SUM(VLOOKUP($A93,test!$A$3:$F$32,2,FALSE),VLOOKUP(J$1,test!$A$3:$F$32,2,FALSE))&lt;test!$K$16,$A93&lt;&gt;J$1,Recharged_Feasible_mat!K62=1),(VLOOKUP(J$1,test!$A$3:$I$32,8,FALSE))-(VLOOKUP($A93,test!$A$3:$I$32,9,FALSE))-test!$B$34,0)</f>
        <v>45</v>
      </c>
      <c r="K93">
        <f>IF(AND(SUM(VLOOKUP($A93,test!$A$3:$F$32,2,FALSE),VLOOKUP(K$1,test!$A$3:$F$32,2,FALSE))&lt;test!$K$16,$A93&lt;&gt;K$1,Recharged_Feasible_mat!L62=1),(VLOOKUP(K$1,test!$A$3:$I$32,8,FALSE))-(VLOOKUP($A93,test!$A$3:$I$32,9,FALSE))-test!$B$34,0)</f>
        <v>0</v>
      </c>
      <c r="L93">
        <f>IF(AND(SUM(VLOOKUP($A93,test!$A$3:$F$32,2,FALSE),VLOOKUP(L$1,test!$A$3:$F$32,2,FALSE))&lt;test!$K$16,$A93&lt;&gt;L$1,Recharged_Feasible_mat!M62=1),(VLOOKUP(L$1,test!$A$3:$I$32,8,FALSE))-(VLOOKUP($A93,test!$A$3:$I$32,9,FALSE))-test!$B$34,0)</f>
        <v>0</v>
      </c>
      <c r="M93">
        <f>IF(AND(SUM(VLOOKUP($A93,test!$A$3:$F$32,2,FALSE),VLOOKUP(M$1,test!$A$3:$F$32,2,FALSE))&lt;test!$K$16,$A93&lt;&gt;M$1,Recharged_Feasible_mat!N62=1),(VLOOKUP(M$1,test!$A$3:$I$32,8,FALSE))-(VLOOKUP($A93,test!$A$3:$I$32,9,FALSE))-test!$B$34,0)</f>
        <v>0</v>
      </c>
      <c r="N93">
        <f>IF(AND(SUM(VLOOKUP($A93,test!$A$3:$F$32,2,FALSE),VLOOKUP(N$1,test!$A$3:$F$32,2,FALSE))&lt;test!$K$16,$A93&lt;&gt;N$1,Recharged_Feasible_mat!O62=1),(VLOOKUP(N$1,test!$A$3:$I$32,8,FALSE))-(VLOOKUP($A93,test!$A$3:$I$32,9,FALSE))-test!$B$34,0)</f>
        <v>0</v>
      </c>
      <c r="O93">
        <f>IF(AND(SUM(VLOOKUP($A93,test!$A$3:$F$32,2,FALSE),VLOOKUP(O$1,test!$A$3:$F$32,2,FALSE))&lt;test!$K$16,$A93&lt;&gt;O$1,Recharged_Feasible_mat!P62=1),(VLOOKUP(O$1,test!$A$3:$I$32,8,FALSE))-(VLOOKUP($A93,test!$A$3:$I$32,9,FALSE))-test!$B$34,0)</f>
        <v>0</v>
      </c>
      <c r="P93">
        <f>IF(AND(SUM(VLOOKUP($A93,test!$A$3:$F$32,2,FALSE),VLOOKUP(P$1,test!$A$3:$F$32,2,FALSE))&lt;test!$K$16,$A93&lt;&gt;P$1,Recharged_Feasible_mat!Q62=1),(VLOOKUP(P$1,test!$A$3:$I$32,8,FALSE))-(VLOOKUP($A93,test!$A$3:$I$32,9,FALSE))-test!$B$34,0)</f>
        <v>0</v>
      </c>
      <c r="Q93">
        <f>IF(AND(SUM(VLOOKUP($A93,test!$A$3:$F$32,2,FALSE),VLOOKUP(Q$1,test!$A$3:$F$32,2,FALSE))&lt;test!$K$16,$A93&lt;&gt;Q$1,Recharged_Feasible_mat!R62=1),(VLOOKUP(Q$1,test!$A$3:$I$32,8,FALSE))-(VLOOKUP($A93,test!$A$3:$I$32,9,FALSE))-test!$B$34,0)</f>
        <v>0</v>
      </c>
      <c r="R93">
        <f>IF(AND(SUM(VLOOKUP($A93,test!$A$3:$F$32,2,FALSE),VLOOKUP(R$1,test!$A$3:$F$32,2,FALSE))&lt;test!$K$16,$A93&lt;&gt;R$1,Recharged_Feasible_mat!S62=1),(VLOOKUP(R$1,test!$A$3:$I$32,8,FALSE))-(VLOOKUP($A93,test!$A$3:$I$32,9,FALSE))-test!$B$34,0)</f>
        <v>0</v>
      </c>
      <c r="S93">
        <f>IF(AND(SUM(VLOOKUP($A93,test!$A$3:$F$32,2,FALSE),VLOOKUP(S$1,test!$A$3:$F$32,2,FALSE))&lt;test!$K$16,$A93&lt;&gt;S$1,Recharged_Feasible_mat!T62=1),(VLOOKUP(S$1,test!$A$3:$I$32,8,FALSE))-(VLOOKUP($A93,test!$A$3:$I$32,9,FALSE))-test!$B$34,0)</f>
        <v>0</v>
      </c>
      <c r="T93">
        <f>IF(AND(SUM(VLOOKUP($A93,test!$A$3:$F$32,2,FALSE),VLOOKUP(T$1,test!$A$3:$F$32,2,FALSE))&lt;test!$K$16,$A93&lt;&gt;T$1,Recharged_Feasible_mat!U62=1),(VLOOKUP(T$1,test!$A$3:$I$32,8,FALSE))-(VLOOKUP($A93,test!$A$3:$I$32,9,FALSE))-test!$B$34,0)</f>
        <v>0</v>
      </c>
      <c r="U93">
        <f>IF(AND(SUM(VLOOKUP($A93,test!$A$3:$F$32,2,FALSE),VLOOKUP(U$1,test!$A$3:$F$32,2,FALSE))&lt;test!$K$16,$A93&lt;&gt;U$1,Recharged_Feasible_mat!V62=1),(VLOOKUP(U$1,test!$A$3:$I$32,8,FALSE))-(VLOOKUP($A93,test!$A$3:$I$32,9,FALSE))-test!$B$34,0)</f>
        <v>0</v>
      </c>
      <c r="V93">
        <f>IF(AND(SUM(VLOOKUP($A93,test!$A$3:$F$32,2,FALSE),VLOOKUP(V$1,test!$A$3:$F$32,2,FALSE))&lt;test!$K$16,$A93&lt;&gt;V$1,Recharged_Feasible_mat!W62=1),(VLOOKUP(V$1,test!$A$3:$I$32,8,FALSE))-(VLOOKUP($A93,test!$A$3:$I$32,9,FALSE))-test!$B$34,0)</f>
        <v>0</v>
      </c>
      <c r="W93">
        <f>IF(AND(SUM(VLOOKUP($A93,test!$A$3:$F$32,2,FALSE),VLOOKUP(W$1,test!$A$3:$F$32,2,FALSE))&lt;test!$K$16,$A93&lt;&gt;W$1,Recharged_Feasible_mat!X62=1),(VLOOKUP(W$1,test!$A$3:$I$32,8,FALSE))-(VLOOKUP($A93,test!$A$3:$I$32,9,FALSE))-test!$B$34,0)</f>
        <v>0</v>
      </c>
      <c r="X93">
        <f>IF(AND(SUM(VLOOKUP($A93,test!$A$3:$F$32,2,FALSE),VLOOKUP(X$1,test!$A$3:$F$32,2,FALSE))&lt;test!$K$16,$A93&lt;&gt;X$1,Recharged_Feasible_mat!Y62=1),(VLOOKUP(X$1,test!$A$3:$I$32,8,FALSE))-(VLOOKUP($A93,test!$A$3:$I$32,9,FALSE))-test!$B$34,0)</f>
        <v>0</v>
      </c>
      <c r="Y93">
        <f>IF(AND(SUM(VLOOKUP($A93,test!$A$3:$F$32,2,FALSE),VLOOKUP(Y$1,test!$A$3:$F$32,2,FALSE))&lt;test!$K$16,$A93&lt;&gt;Y$1,Recharged_Feasible_mat!Z62=1),(VLOOKUP(Y$1,test!$A$3:$I$32,8,FALSE))-(VLOOKUP($A93,test!$A$3:$I$32,9,FALSE))-test!$B$34,0)</f>
        <v>0</v>
      </c>
      <c r="Z93">
        <f>IF(AND(SUM(VLOOKUP($A93,test!$A$3:$F$32,2,FALSE),VLOOKUP(Z$1,test!$A$3:$F$32,2,FALSE))&lt;test!$K$16,$A93&lt;&gt;Z$1,Recharged_Feasible_mat!AA62=1),(VLOOKUP(Z$1,test!$A$3:$I$32,8,FALSE))-(VLOOKUP($A93,test!$A$3:$I$32,9,FALSE))-test!$B$34,0)</f>
        <v>0</v>
      </c>
      <c r="AA93">
        <f>IF(AND(SUM(VLOOKUP($A93,test!$A$3:$F$32,2,FALSE),VLOOKUP(AA$1,test!$A$3:$F$32,2,FALSE))&lt;test!$K$16,$A93&lt;&gt;AA$1,Recharged_Feasible_mat!AB62=1),(VLOOKUP(AA$1,test!$A$3:$I$32,8,FALSE))-(VLOOKUP($A93,test!$A$3:$I$32,9,FALSE))-test!$B$34,0)</f>
        <v>0</v>
      </c>
      <c r="AB93">
        <f>IF(AND(SUM(VLOOKUP($A93,test!$A$3:$F$32,2,FALSE),VLOOKUP(AB$1,test!$A$3:$F$32,2,FALSE))&lt;test!$K$16,$A93&lt;&gt;AB$1,Recharged_Feasible_mat!AC62=1),(VLOOKUP(AB$1,test!$A$3:$I$32,8,FALSE))-(VLOOKUP($A93,test!$A$3:$I$32,9,FALSE))-test!$B$34,0)</f>
        <v>0</v>
      </c>
      <c r="AC93">
        <f>IF(AND(SUM(VLOOKUP($A93,test!$A$3:$F$32,2,FALSE),VLOOKUP(AC$1,test!$A$3:$F$32,2,FALSE))&lt;test!$K$16,$A93&lt;&gt;AC$1,Recharged_Feasible_mat!AD62=1),(VLOOKUP(AC$1,test!$A$3:$I$32,8,FALSE))-(VLOOKUP($A93,test!$A$3:$I$32,9,FALSE))-test!$B$34,0)</f>
        <v>0</v>
      </c>
      <c r="AD93">
        <f>IF(AND(SUM(VLOOKUP($A93,test!$A$3:$F$32,2,FALSE),VLOOKUP(AD$1,test!$A$3:$F$32,2,FALSE))&lt;test!$K$16,$A93&lt;&gt;AD$1,Recharged_Feasible_mat!AE62=1),(VLOOKUP(AD$1,test!$A$3:$I$32,8,FALSE))-(VLOOKUP($A93,test!$A$3:$I$32,9,FALSE))-test!$B$34,0)</f>
        <v>0</v>
      </c>
      <c r="AE93">
        <f>IF(AND(SUM(VLOOKUP($A93,test!$A$3:$F$32,2,FALSE),VLOOKUP(AE$1,test!$A$3:$F$32,2,FALSE))&lt;test!$K$16,$A93&lt;&gt;AE$1,Recharged_Feasible_mat!AF62=1),(VLOOKUP(AE$1,test!$A$3:$I$32,8,FALSE))-(VLOOKUP($A93,test!$A$3:$I$32,9,FALSE))-test!$B$34,0)</f>
        <v>0</v>
      </c>
      <c r="AF93">
        <f>IF(AND(SUM(VLOOKUP($A93,test!$A$3:$F$32,2,FALSE),VLOOKUP(AF$1,test!$A$3:$F$32,2,FALSE))&lt;test!$K$16,$A93&lt;&gt;AF$1,Recharged_Feasible_mat!AG62=1),(VLOOKUP(AF$1,test!$A$3:$I$32,8,FALSE))-(VLOOKUP($A93,test!$A$3:$I$32,9,FALSE))-test!$B$34,0)</f>
        <v>0</v>
      </c>
    </row>
    <row r="94" spans="1:32" x14ac:dyDescent="0.25">
      <c r="A94" t="s">
        <v>41</v>
      </c>
      <c r="B94">
        <v>0</v>
      </c>
      <c r="C94">
        <f>IF(AND(SUM(VLOOKUP($A94,test!$A$3:$F$32,2,FALSE),VLOOKUP(C$1,test!$A$3:$F$32,2,FALSE))&lt;test!$K$16,$A94&lt;&gt;C$1,Recharged_Feasible_mat!D63=1),(VLOOKUP(C$1,test!$A$3:$I$32,8,FALSE))-(VLOOKUP($A94,test!$A$3:$I$32,9,FALSE))-test!$B$34,0)</f>
        <v>0</v>
      </c>
      <c r="D94">
        <f>IF(AND(SUM(VLOOKUP($A94,test!$A$3:$F$32,2,FALSE),VLOOKUP(D$1,test!$A$3:$F$32,2,FALSE))&lt;test!$K$16,$A94&lt;&gt;D$1,Recharged_Feasible_mat!E63=1),(VLOOKUP(D$1,test!$A$3:$I$32,8,FALSE))-(VLOOKUP($A94,test!$A$3:$I$32,9,FALSE))-test!$B$34,0)</f>
        <v>0</v>
      </c>
      <c r="E94">
        <f>IF(AND(SUM(VLOOKUP($A94,test!$A$3:$F$32,2,FALSE),VLOOKUP(E$1,test!$A$3:$F$32,2,FALSE))&lt;test!$K$16,$A94&lt;&gt;E$1,Recharged_Feasible_mat!F63=1),(VLOOKUP(E$1,test!$A$3:$I$32,8,FALSE))-(VLOOKUP($A94,test!$A$3:$I$32,9,FALSE))-test!$B$34,0)</f>
        <v>0</v>
      </c>
      <c r="F94">
        <f>IF(AND(SUM(VLOOKUP($A94,test!$A$3:$F$32,2,FALSE),VLOOKUP(F$1,test!$A$3:$F$32,2,FALSE))&lt;test!$K$16,$A94&lt;&gt;F$1,Recharged_Feasible_mat!G63=1),(VLOOKUP(F$1,test!$A$3:$I$32,8,FALSE))-(VLOOKUP($A94,test!$A$3:$I$32,9,FALSE))-test!$B$34,0)</f>
        <v>0</v>
      </c>
      <c r="G94">
        <f>IF(AND(SUM(VLOOKUP($A94,test!$A$3:$F$32,2,FALSE),VLOOKUP(G$1,test!$A$3:$F$32,2,FALSE))&lt;test!$K$16,$A94&lt;&gt;G$1,Recharged_Feasible_mat!H63=1),(VLOOKUP(G$1,test!$A$3:$I$32,8,FALSE))-(VLOOKUP($A94,test!$A$3:$I$32,9,FALSE))-test!$B$34,0)</f>
        <v>0</v>
      </c>
      <c r="H94">
        <f>IF(AND(SUM(VLOOKUP($A94,test!$A$3:$F$32,2,FALSE),VLOOKUP(H$1,test!$A$3:$F$32,2,FALSE))&lt;test!$K$16,$A94&lt;&gt;H$1,Recharged_Feasible_mat!I63=1),(VLOOKUP(H$1,test!$A$3:$I$32,8,FALSE))-(VLOOKUP($A94,test!$A$3:$I$32,9,FALSE))-test!$B$34,0)</f>
        <v>0</v>
      </c>
      <c r="I94">
        <f>IF(AND(SUM(VLOOKUP($A94,test!$A$3:$F$32,2,FALSE),VLOOKUP(I$1,test!$A$3:$F$32,2,FALSE))&lt;test!$K$16,$A94&lt;&gt;I$1,Recharged_Feasible_mat!J63=1),(VLOOKUP(I$1,test!$A$3:$I$32,8,FALSE))-(VLOOKUP($A94,test!$A$3:$I$32,9,FALSE))-test!$B$34,0)</f>
        <v>0</v>
      </c>
      <c r="J94">
        <f>IF(AND(SUM(VLOOKUP($A94,test!$A$3:$F$32,2,FALSE),VLOOKUP(J$1,test!$A$3:$F$32,2,FALSE))&lt;test!$K$16,$A94&lt;&gt;J$1,Recharged_Feasible_mat!K63=1),(VLOOKUP(J$1,test!$A$3:$I$32,8,FALSE))-(VLOOKUP($A94,test!$A$3:$I$32,9,FALSE))-test!$B$34,0)</f>
        <v>0</v>
      </c>
      <c r="K94">
        <f>IF(AND(SUM(VLOOKUP($A94,test!$A$3:$F$32,2,FALSE),VLOOKUP(K$1,test!$A$3:$F$32,2,FALSE))&lt;test!$K$16,$A94&lt;&gt;K$1,Recharged_Feasible_mat!L63=1),(VLOOKUP(K$1,test!$A$3:$I$32,8,FALSE))-(VLOOKUP($A94,test!$A$3:$I$32,9,FALSE))-test!$B$34,0)</f>
        <v>0</v>
      </c>
      <c r="L94">
        <f>IF(AND(SUM(VLOOKUP($A94,test!$A$3:$F$32,2,FALSE),VLOOKUP(L$1,test!$A$3:$F$32,2,FALSE))&lt;test!$K$16,$A94&lt;&gt;L$1,Recharged_Feasible_mat!M63=1),(VLOOKUP(L$1,test!$A$3:$I$32,8,FALSE))-(VLOOKUP($A94,test!$A$3:$I$32,9,FALSE))-test!$B$34,0)</f>
        <v>0</v>
      </c>
      <c r="M94">
        <f>IF(AND(SUM(VLOOKUP($A94,test!$A$3:$F$32,2,FALSE),VLOOKUP(M$1,test!$A$3:$F$32,2,FALSE))&lt;test!$K$16,$A94&lt;&gt;M$1,Recharged_Feasible_mat!N63=1),(VLOOKUP(M$1,test!$A$3:$I$32,8,FALSE))-(VLOOKUP($A94,test!$A$3:$I$32,9,FALSE))-test!$B$34,0)</f>
        <v>0</v>
      </c>
      <c r="N94">
        <f>IF(AND(SUM(VLOOKUP($A94,test!$A$3:$F$32,2,FALSE),VLOOKUP(N$1,test!$A$3:$F$32,2,FALSE))&lt;test!$K$16,$A94&lt;&gt;N$1,Recharged_Feasible_mat!O63=1),(VLOOKUP(N$1,test!$A$3:$I$32,8,FALSE))-(VLOOKUP($A94,test!$A$3:$I$32,9,FALSE))-test!$B$34,0)</f>
        <v>0</v>
      </c>
      <c r="O94">
        <f>IF(AND(SUM(VLOOKUP($A94,test!$A$3:$F$32,2,FALSE),VLOOKUP(O$1,test!$A$3:$F$32,2,FALSE))&lt;test!$K$16,$A94&lt;&gt;O$1,Recharged_Feasible_mat!P63=1),(VLOOKUP(O$1,test!$A$3:$I$32,8,FALSE))-(VLOOKUP($A94,test!$A$3:$I$32,9,FALSE))-test!$B$34,0)</f>
        <v>0</v>
      </c>
      <c r="P94">
        <f>IF(AND(SUM(VLOOKUP($A94,test!$A$3:$F$32,2,FALSE),VLOOKUP(P$1,test!$A$3:$F$32,2,FALSE))&lt;test!$K$16,$A94&lt;&gt;P$1,Recharged_Feasible_mat!Q63=1),(VLOOKUP(P$1,test!$A$3:$I$32,8,FALSE))-(VLOOKUP($A94,test!$A$3:$I$32,9,FALSE))-test!$B$34,0)</f>
        <v>0</v>
      </c>
      <c r="Q94">
        <f>IF(AND(SUM(VLOOKUP($A94,test!$A$3:$F$32,2,FALSE),VLOOKUP(Q$1,test!$A$3:$F$32,2,FALSE))&lt;test!$K$16,$A94&lt;&gt;Q$1,Recharged_Feasible_mat!R63=1),(VLOOKUP(Q$1,test!$A$3:$I$32,8,FALSE))-(VLOOKUP($A94,test!$A$3:$I$32,9,FALSE))-test!$B$34,0)</f>
        <v>0</v>
      </c>
      <c r="R94">
        <f>IF(AND(SUM(VLOOKUP($A94,test!$A$3:$F$32,2,FALSE),VLOOKUP(R$1,test!$A$3:$F$32,2,FALSE))&lt;test!$K$16,$A94&lt;&gt;R$1,Recharged_Feasible_mat!S63=1),(VLOOKUP(R$1,test!$A$3:$I$32,8,FALSE))-(VLOOKUP($A94,test!$A$3:$I$32,9,FALSE))-test!$B$34,0)</f>
        <v>0</v>
      </c>
      <c r="S94">
        <f>IF(AND(SUM(VLOOKUP($A94,test!$A$3:$F$32,2,FALSE),VLOOKUP(S$1,test!$A$3:$F$32,2,FALSE))&lt;test!$K$16,$A94&lt;&gt;S$1,Recharged_Feasible_mat!T63=1),(VLOOKUP(S$1,test!$A$3:$I$32,8,FALSE))-(VLOOKUP($A94,test!$A$3:$I$32,9,FALSE))-test!$B$34,0)</f>
        <v>0</v>
      </c>
      <c r="T94">
        <f>IF(AND(SUM(VLOOKUP($A94,test!$A$3:$F$32,2,FALSE),VLOOKUP(T$1,test!$A$3:$F$32,2,FALSE))&lt;test!$K$16,$A94&lt;&gt;T$1,Recharged_Feasible_mat!U63=1),(VLOOKUP(T$1,test!$A$3:$I$32,8,FALSE))-(VLOOKUP($A94,test!$A$3:$I$32,9,FALSE))-test!$B$34,0)</f>
        <v>0</v>
      </c>
      <c r="U94">
        <f>IF(AND(SUM(VLOOKUP($A94,test!$A$3:$F$32,2,FALSE),VLOOKUP(U$1,test!$A$3:$F$32,2,FALSE))&lt;test!$K$16,$A94&lt;&gt;U$1,Recharged_Feasible_mat!V63=1),(VLOOKUP(U$1,test!$A$3:$I$32,8,FALSE))-(VLOOKUP($A94,test!$A$3:$I$32,9,FALSE))-test!$B$34,0)</f>
        <v>0</v>
      </c>
      <c r="V94">
        <f>IF(AND(SUM(VLOOKUP($A94,test!$A$3:$F$32,2,FALSE),VLOOKUP(V$1,test!$A$3:$F$32,2,FALSE))&lt;test!$K$16,$A94&lt;&gt;V$1,Recharged_Feasible_mat!W63=1),(VLOOKUP(V$1,test!$A$3:$I$32,8,FALSE))-(VLOOKUP($A94,test!$A$3:$I$32,9,FALSE))-test!$B$34,0)</f>
        <v>0</v>
      </c>
      <c r="W94">
        <f>IF(AND(SUM(VLOOKUP($A94,test!$A$3:$F$32,2,FALSE),VLOOKUP(W$1,test!$A$3:$F$32,2,FALSE))&lt;test!$K$16,$A94&lt;&gt;W$1,Recharged_Feasible_mat!X63=1),(VLOOKUP(W$1,test!$A$3:$I$32,8,FALSE))-(VLOOKUP($A94,test!$A$3:$I$32,9,FALSE))-test!$B$34,0)</f>
        <v>0</v>
      </c>
      <c r="X94">
        <f>IF(AND(SUM(VLOOKUP($A94,test!$A$3:$F$32,2,FALSE),VLOOKUP(X$1,test!$A$3:$F$32,2,FALSE))&lt;test!$K$16,$A94&lt;&gt;X$1,Recharged_Feasible_mat!Y63=1),(VLOOKUP(X$1,test!$A$3:$I$32,8,FALSE))-(VLOOKUP($A94,test!$A$3:$I$32,9,FALSE))-test!$B$34,0)</f>
        <v>0</v>
      </c>
      <c r="Y94">
        <f>IF(AND(SUM(VLOOKUP($A94,test!$A$3:$F$32,2,FALSE),VLOOKUP(Y$1,test!$A$3:$F$32,2,FALSE))&lt;test!$K$16,$A94&lt;&gt;Y$1,Recharged_Feasible_mat!Z63=1),(VLOOKUP(Y$1,test!$A$3:$I$32,8,FALSE))-(VLOOKUP($A94,test!$A$3:$I$32,9,FALSE))-test!$B$34,0)</f>
        <v>0</v>
      </c>
      <c r="Z94">
        <f>IF(AND(SUM(VLOOKUP($A94,test!$A$3:$F$32,2,FALSE),VLOOKUP(Z$1,test!$A$3:$F$32,2,FALSE))&lt;test!$K$16,$A94&lt;&gt;Z$1,Recharged_Feasible_mat!AA63=1),(VLOOKUP(Z$1,test!$A$3:$I$32,8,FALSE))-(VLOOKUP($A94,test!$A$3:$I$32,9,FALSE))-test!$B$34,0)</f>
        <v>0</v>
      </c>
      <c r="AA94">
        <f>IF(AND(SUM(VLOOKUP($A94,test!$A$3:$F$32,2,FALSE),VLOOKUP(AA$1,test!$A$3:$F$32,2,FALSE))&lt;test!$K$16,$A94&lt;&gt;AA$1,Recharged_Feasible_mat!AB63=1),(VLOOKUP(AA$1,test!$A$3:$I$32,8,FALSE))-(VLOOKUP($A94,test!$A$3:$I$32,9,FALSE))-test!$B$34,0)</f>
        <v>0</v>
      </c>
      <c r="AB94">
        <f>IF(AND(SUM(VLOOKUP($A94,test!$A$3:$F$32,2,FALSE),VLOOKUP(AB$1,test!$A$3:$F$32,2,FALSE))&lt;test!$K$16,$A94&lt;&gt;AB$1,Recharged_Feasible_mat!AC63=1),(VLOOKUP(AB$1,test!$A$3:$I$32,8,FALSE))-(VLOOKUP($A94,test!$A$3:$I$32,9,FALSE))-test!$B$34,0)</f>
        <v>0</v>
      </c>
      <c r="AC94">
        <f>IF(AND(SUM(VLOOKUP($A94,test!$A$3:$F$32,2,FALSE),VLOOKUP(AC$1,test!$A$3:$F$32,2,FALSE))&lt;test!$K$16,$A94&lt;&gt;AC$1,Recharged_Feasible_mat!AD63=1),(VLOOKUP(AC$1,test!$A$3:$I$32,8,FALSE))-(VLOOKUP($A94,test!$A$3:$I$32,9,FALSE))-test!$B$34,0)</f>
        <v>0</v>
      </c>
      <c r="AD94">
        <f>IF(AND(SUM(VLOOKUP($A94,test!$A$3:$F$32,2,FALSE),VLOOKUP(AD$1,test!$A$3:$F$32,2,FALSE))&lt;test!$K$16,$A94&lt;&gt;AD$1,Recharged_Feasible_mat!AE63=1),(VLOOKUP(AD$1,test!$A$3:$I$32,8,FALSE))-(VLOOKUP($A94,test!$A$3:$I$32,9,FALSE))-test!$B$34,0)</f>
        <v>0</v>
      </c>
      <c r="AE94">
        <f>IF(AND(SUM(VLOOKUP($A94,test!$A$3:$F$32,2,FALSE),VLOOKUP(AE$1,test!$A$3:$F$32,2,FALSE))&lt;test!$K$16,$A94&lt;&gt;AE$1,Recharged_Feasible_mat!AF63=1),(VLOOKUP(AE$1,test!$A$3:$I$32,8,FALSE))-(VLOOKUP($A94,test!$A$3:$I$32,9,FALSE))-test!$B$34,0)</f>
        <v>0</v>
      </c>
      <c r="AF94">
        <f>IF(AND(SUM(VLOOKUP($A94,test!$A$3:$F$32,2,FALSE),VLOOKUP(AF$1,test!$A$3:$F$32,2,FALSE))&lt;test!$K$16,$A94&lt;&gt;AF$1,Recharged_Feasible_mat!AG63=1),(VLOOKUP(AF$1,test!$A$3:$I$32,8,FALSE))-(VLOOKUP($A94,test!$A$3:$I$32,9,FALSE))-test!$B$34,0)</f>
        <v>0</v>
      </c>
    </row>
    <row r="95" spans="1:32" x14ac:dyDescent="0.25">
      <c r="A95" t="s">
        <v>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6</v>
      </c>
      <c r="B96">
        <v>0</v>
      </c>
      <c r="C96">
        <f>IF(AND(SUM(VLOOKUP($A96,test!$A$3:$F$32,2,FALSE),VLOOKUP(C$1,test!$A$3:$F$32,2,FALSE))&lt;test!$K$16,$A96&lt;&gt;C$1,Recharged_Feasible_mat!D65=1),(VLOOKUP(C$1,test!$A$3:$I$32,8,FALSE))-(VLOOKUP($A96,test!$A$3:$I$32,9,FALSE))-test!$B$35,0)</f>
        <v>0</v>
      </c>
      <c r="D96">
        <f>IF(AND(SUM(VLOOKUP($A96,test!$A$3:$F$32,2,FALSE),VLOOKUP(D$1,test!$A$3:$F$32,2,FALSE))&lt;test!$K$16,$A96&lt;&gt;D$1,Recharged_Feasible_mat!E65=1),(VLOOKUP(D$1,test!$A$3:$I$32,8,FALSE))-(VLOOKUP($A96,test!$A$3:$I$32,9,FALSE))-test!$B$35,0)</f>
        <v>0</v>
      </c>
      <c r="E96">
        <f>IF(AND(SUM(VLOOKUP($A96,test!$A$3:$F$32,2,FALSE),VLOOKUP(E$1,test!$A$3:$F$32,2,FALSE))&lt;test!$K$16,$A96&lt;&gt;E$1,Recharged_Feasible_mat!F65=1),(VLOOKUP(E$1,test!$A$3:$I$32,8,FALSE))-(VLOOKUP($A96,test!$A$3:$I$32,9,FALSE))-test!$B$35,0)</f>
        <v>75</v>
      </c>
      <c r="F96">
        <f>IF(AND(SUM(VLOOKUP($A96,test!$A$3:$F$32,2,FALSE),VLOOKUP(F$1,test!$A$3:$F$32,2,FALSE))&lt;test!$K$16,$A96&lt;&gt;F$1,Recharged_Feasible_mat!G65=1),(VLOOKUP(F$1,test!$A$3:$I$32,8,FALSE))-(VLOOKUP($A96,test!$A$3:$I$32,9,FALSE))-test!$B$35,0)</f>
        <v>165</v>
      </c>
      <c r="G96">
        <f>IF(AND(SUM(VLOOKUP($A96,test!$A$3:$F$32,2,FALSE),VLOOKUP(G$1,test!$A$3:$F$32,2,FALSE))&lt;test!$K$16,$A96&lt;&gt;G$1,Recharged_Feasible_mat!H65=1),(VLOOKUP(G$1,test!$A$3:$I$32,8,FALSE))-(VLOOKUP($A96,test!$A$3:$I$32,9,FALSE))-test!$B$35,0)</f>
        <v>225</v>
      </c>
      <c r="H96">
        <f>IF(AND(SUM(VLOOKUP($A96,test!$A$3:$F$32,2,FALSE),VLOOKUP(H$1,test!$A$3:$F$32,2,FALSE))&lt;test!$K$16,$A96&lt;&gt;H$1,Recharged_Feasible_mat!I65=1),(VLOOKUP(H$1,test!$A$3:$I$32,8,FALSE))-(VLOOKUP($A96,test!$A$3:$I$32,9,FALSE))-test!$B$35,0)</f>
        <v>285</v>
      </c>
      <c r="I96">
        <f>IF(AND(SUM(VLOOKUP($A96,test!$A$3:$F$32,2,FALSE),VLOOKUP(I$1,test!$A$3:$F$32,2,FALSE))&lt;test!$K$16,$A96&lt;&gt;I$1,Recharged_Feasible_mat!J65=1),(VLOOKUP(I$1,test!$A$3:$I$32,8,FALSE))-(VLOOKUP($A96,test!$A$3:$I$32,9,FALSE))-test!$B$35,0)</f>
        <v>345</v>
      </c>
      <c r="J96">
        <f>IF(AND(SUM(VLOOKUP($A96,test!$A$3:$F$32,2,FALSE),VLOOKUP(J$1,test!$A$3:$F$32,2,FALSE))&lt;test!$K$16,$A96&lt;&gt;J$1,Recharged_Feasible_mat!K65=1),(VLOOKUP(J$1,test!$A$3:$I$32,8,FALSE))-(VLOOKUP($A96,test!$A$3:$I$32,9,FALSE))-test!$B$35,0)</f>
        <v>435</v>
      </c>
      <c r="K96">
        <f>IF(AND(SUM(VLOOKUP($A96,test!$A$3:$F$32,2,FALSE),VLOOKUP(K$1,test!$A$3:$F$32,2,FALSE))&lt;test!$K$16,$A96&lt;&gt;K$1,Recharged_Feasible_mat!L65=1),(VLOOKUP(K$1,test!$A$3:$I$32,8,FALSE))-(VLOOKUP($A96,test!$A$3:$I$32,9,FALSE))-test!$B$35,0)</f>
        <v>0</v>
      </c>
      <c r="L96">
        <f>IF(AND(SUM(VLOOKUP($A96,test!$A$3:$F$32,2,FALSE),VLOOKUP(L$1,test!$A$3:$F$32,2,FALSE))&lt;test!$K$16,$A96&lt;&gt;L$1,Recharged_Feasible_mat!M65=1),(VLOOKUP(L$1,test!$A$3:$I$32,8,FALSE))-(VLOOKUP($A96,test!$A$3:$I$32,9,FALSE))-test!$B$35,0)</f>
        <v>0</v>
      </c>
      <c r="M96">
        <f>IF(AND(SUM(VLOOKUP($A96,test!$A$3:$F$32,2,FALSE),VLOOKUP(M$1,test!$A$3:$F$32,2,FALSE))&lt;test!$K$16,$A96&lt;&gt;M$1,Recharged_Feasible_mat!N65=1),(VLOOKUP(M$1,test!$A$3:$I$32,8,FALSE))-(VLOOKUP($A96,test!$A$3:$I$32,9,FALSE))-test!$B$35,0)</f>
        <v>40</v>
      </c>
      <c r="N96">
        <f>IF(AND(SUM(VLOOKUP($A96,test!$A$3:$F$32,2,FALSE),VLOOKUP(N$1,test!$A$3:$F$32,2,FALSE))&lt;test!$K$16,$A96&lt;&gt;N$1,Recharged_Feasible_mat!O65=1),(VLOOKUP(N$1,test!$A$3:$I$32,8,FALSE))-(VLOOKUP($A96,test!$A$3:$I$32,9,FALSE))-test!$B$35,0)</f>
        <v>400</v>
      </c>
      <c r="O96">
        <f>IF(AND(SUM(VLOOKUP($A96,test!$A$3:$F$32,2,FALSE),VLOOKUP(O$1,test!$A$3:$F$32,2,FALSE))&lt;test!$K$16,$A96&lt;&gt;O$1,Recharged_Feasible_mat!P65=1),(VLOOKUP(O$1,test!$A$3:$I$32,8,FALSE))-(VLOOKUP($A96,test!$A$3:$I$32,9,FALSE))-test!$B$35,0)</f>
        <v>460</v>
      </c>
      <c r="P96">
        <f>IF(AND(SUM(VLOOKUP($A96,test!$A$3:$F$32,2,FALSE),VLOOKUP(P$1,test!$A$3:$F$32,2,FALSE))&lt;test!$K$16,$A96&lt;&gt;P$1,Recharged_Feasible_mat!Q65=1),(VLOOKUP(P$1,test!$A$3:$I$32,8,FALSE))-(VLOOKUP($A96,test!$A$3:$I$32,9,FALSE))-test!$B$35,0)</f>
        <v>0</v>
      </c>
      <c r="Q96">
        <f>IF(AND(SUM(VLOOKUP($A96,test!$A$3:$F$32,2,FALSE),VLOOKUP(Q$1,test!$A$3:$F$32,2,FALSE))&lt;test!$K$16,$A96&lt;&gt;Q$1,Recharged_Feasible_mat!R65=1),(VLOOKUP(Q$1,test!$A$3:$I$32,8,FALSE))-(VLOOKUP($A96,test!$A$3:$I$32,9,FALSE))-test!$B$35,0)</f>
        <v>0</v>
      </c>
      <c r="R96">
        <f>IF(AND(SUM(VLOOKUP($A96,test!$A$3:$F$32,2,FALSE),VLOOKUP(R$1,test!$A$3:$F$32,2,FALSE))&lt;test!$K$16,$A96&lt;&gt;R$1,Recharged_Feasible_mat!S65=1),(VLOOKUP(R$1,test!$A$3:$I$32,8,FALSE))-(VLOOKUP($A96,test!$A$3:$I$32,9,FALSE))-test!$B$35,0)</f>
        <v>0</v>
      </c>
      <c r="S96">
        <f>IF(AND(SUM(VLOOKUP($A96,test!$A$3:$F$32,2,FALSE),VLOOKUP(S$1,test!$A$3:$F$32,2,FALSE))&lt;test!$K$16,$A96&lt;&gt;S$1,Recharged_Feasible_mat!T65=1),(VLOOKUP(S$1,test!$A$3:$I$32,8,FALSE))-(VLOOKUP($A96,test!$A$3:$I$32,9,FALSE))-test!$B$35,0)</f>
        <v>0</v>
      </c>
      <c r="T96">
        <f>IF(AND(SUM(VLOOKUP($A96,test!$A$3:$F$32,2,FALSE),VLOOKUP(T$1,test!$A$3:$F$32,2,FALSE))&lt;test!$K$16,$A96&lt;&gt;T$1,Recharged_Feasible_mat!U65=1),(VLOOKUP(T$1,test!$A$3:$I$32,8,FALSE))-(VLOOKUP($A96,test!$A$3:$I$32,9,FALSE))-test!$B$35,0)</f>
        <v>55</v>
      </c>
      <c r="U96">
        <f>IF(AND(SUM(VLOOKUP($A96,test!$A$3:$F$32,2,FALSE),VLOOKUP(U$1,test!$A$3:$F$32,2,FALSE))&lt;test!$K$16,$A96&lt;&gt;U$1,Recharged_Feasible_mat!V65=1),(VLOOKUP(U$1,test!$A$3:$I$32,8,FALSE))-(VLOOKUP($A96,test!$A$3:$I$32,9,FALSE))-test!$B$35,0)</f>
        <v>145</v>
      </c>
      <c r="V96">
        <f>IF(AND(SUM(VLOOKUP($A96,test!$A$3:$F$32,2,FALSE),VLOOKUP(V$1,test!$A$3:$F$32,2,FALSE))&lt;test!$K$16,$A96&lt;&gt;V$1,Recharged_Feasible_mat!W65=1),(VLOOKUP(V$1,test!$A$3:$I$32,8,FALSE))-(VLOOKUP($A96,test!$A$3:$I$32,9,FALSE))-test!$B$35,0)</f>
        <v>235</v>
      </c>
      <c r="W96">
        <f>IF(AND(SUM(VLOOKUP($A96,test!$A$3:$F$32,2,FALSE),VLOOKUP(W$1,test!$A$3:$F$32,2,FALSE))&lt;test!$K$16,$A96&lt;&gt;W$1,Recharged_Feasible_mat!X65=1),(VLOOKUP(W$1,test!$A$3:$I$32,8,FALSE))-(VLOOKUP($A96,test!$A$3:$I$32,9,FALSE))-test!$B$35,0)</f>
        <v>325</v>
      </c>
      <c r="X96">
        <f>IF(AND(SUM(VLOOKUP($A96,test!$A$3:$F$32,2,FALSE),VLOOKUP(X$1,test!$A$3:$F$32,2,FALSE))&lt;test!$K$16,$A96&lt;&gt;X$1,Recharged_Feasible_mat!Y65=1),(VLOOKUP(X$1,test!$A$3:$I$32,8,FALSE))-(VLOOKUP($A96,test!$A$3:$I$32,9,FALSE))-test!$B$35,0)</f>
        <v>385</v>
      </c>
      <c r="Y96">
        <f>IF(AND(SUM(VLOOKUP($A96,test!$A$3:$F$32,2,FALSE),VLOOKUP(Y$1,test!$A$3:$F$32,2,FALSE))&lt;test!$K$16,$A96&lt;&gt;Y$1,Recharged_Feasible_mat!Z65=1),(VLOOKUP(Y$1,test!$A$3:$I$32,8,FALSE))-(VLOOKUP($A96,test!$A$3:$I$32,9,FALSE))-test!$B$35,0)</f>
        <v>0</v>
      </c>
      <c r="Z96">
        <f>IF(AND(SUM(VLOOKUP($A96,test!$A$3:$F$32,2,FALSE),VLOOKUP(Z$1,test!$A$3:$F$32,2,FALSE))&lt;test!$K$16,$A96&lt;&gt;Z$1,Recharged_Feasible_mat!AA65=1),(VLOOKUP(Z$1,test!$A$3:$I$32,8,FALSE))-(VLOOKUP($A96,test!$A$3:$I$32,9,FALSE))-test!$B$35,0)</f>
        <v>0</v>
      </c>
      <c r="AA96">
        <f>IF(AND(SUM(VLOOKUP($A96,test!$A$3:$F$32,2,FALSE),VLOOKUP(AA$1,test!$A$3:$F$32,2,FALSE))&lt;test!$K$16,$A96&lt;&gt;AA$1,Recharged_Feasible_mat!AB65=1),(VLOOKUP(AA$1,test!$A$3:$I$32,8,FALSE))-(VLOOKUP($A96,test!$A$3:$I$32,9,FALSE))-test!$B$35,0)</f>
        <v>105</v>
      </c>
      <c r="AB96">
        <f>IF(AND(SUM(VLOOKUP($A96,test!$A$3:$F$32,2,FALSE),VLOOKUP(AB$1,test!$A$3:$F$32,2,FALSE))&lt;test!$K$16,$A96&lt;&gt;AB$1,Recharged_Feasible_mat!AC65=1),(VLOOKUP(AB$1,test!$A$3:$I$32,8,FALSE))-(VLOOKUP($A96,test!$A$3:$I$32,9,FALSE))-test!$B$35,0)</f>
        <v>165</v>
      </c>
      <c r="AC96">
        <f>IF(AND(SUM(VLOOKUP($A96,test!$A$3:$F$32,2,FALSE),VLOOKUP(AC$1,test!$A$3:$F$32,2,FALSE))&lt;test!$K$16,$A96&lt;&gt;AC$1,Recharged_Feasible_mat!AD65=1),(VLOOKUP(AC$1,test!$A$3:$I$32,8,FALSE))-(VLOOKUP($A96,test!$A$3:$I$32,9,FALSE))-test!$B$35,0)</f>
        <v>285</v>
      </c>
      <c r="AD96">
        <f>IF(AND(SUM(VLOOKUP($A96,test!$A$3:$F$32,2,FALSE),VLOOKUP(AD$1,test!$A$3:$F$32,2,FALSE))&lt;test!$K$16,$A96&lt;&gt;AD$1,Recharged_Feasible_mat!AE65=1),(VLOOKUP(AD$1,test!$A$3:$I$32,8,FALSE))-(VLOOKUP($A96,test!$A$3:$I$32,9,FALSE))-test!$B$35,0)</f>
        <v>0</v>
      </c>
      <c r="AE96">
        <f>IF(AND(SUM(VLOOKUP($A96,test!$A$3:$F$32,2,FALSE),VLOOKUP(AE$1,test!$A$3:$F$32,2,FALSE))&lt;test!$K$16,$A96&lt;&gt;AE$1,Recharged_Feasible_mat!AF65=1),(VLOOKUP(AE$1,test!$A$3:$I$32,8,FALSE))-(VLOOKUP($A96,test!$A$3:$I$32,9,FALSE))-test!$B$35,0)</f>
        <v>105</v>
      </c>
      <c r="AF96">
        <f>IF(AND(SUM(VLOOKUP($A96,test!$A$3:$F$32,2,FALSE),VLOOKUP(AF$1,test!$A$3:$F$32,2,FALSE))&lt;test!$K$16,$A96&lt;&gt;AF$1,Recharged_Feasible_mat!AG65=1),(VLOOKUP(AF$1,test!$A$3:$I$32,8,FALSE))-(VLOOKUP($A96,test!$A$3:$I$32,9,FALSE))-test!$B$35,0)</f>
        <v>0</v>
      </c>
    </row>
    <row r="97" spans="1:32" x14ac:dyDescent="0.25">
      <c r="A97" t="s">
        <v>9</v>
      </c>
      <c r="B97">
        <v>0</v>
      </c>
      <c r="C97">
        <f>IF(AND(SUM(VLOOKUP($A97,test!$A$3:$F$32,2,FALSE),VLOOKUP(C$1,test!$A$3:$F$32,2,FALSE))&lt;test!$K$16,$A97&lt;&gt;C$1,Recharged_Feasible_mat!D66=1),(VLOOKUP(C$1,test!$A$3:$I$32,8,FALSE))-(VLOOKUP($A97,test!$A$3:$I$32,9,FALSE))-test!$B$35,0)</f>
        <v>0</v>
      </c>
      <c r="D97">
        <f>IF(AND(SUM(VLOOKUP($A97,test!$A$3:$F$32,2,FALSE),VLOOKUP(D$1,test!$A$3:$F$32,2,FALSE))&lt;test!$K$16,$A97&lt;&gt;D$1,Recharged_Feasible_mat!E66=1),(VLOOKUP(D$1,test!$A$3:$I$32,8,FALSE))-(VLOOKUP($A97,test!$A$3:$I$32,9,FALSE))-test!$B$35,0)</f>
        <v>0</v>
      </c>
      <c r="E97">
        <f>IF(AND(SUM(VLOOKUP($A97,test!$A$3:$F$32,2,FALSE),VLOOKUP(E$1,test!$A$3:$F$32,2,FALSE))&lt;test!$K$16,$A97&lt;&gt;E$1,Recharged_Feasible_mat!F66=1),(VLOOKUP(E$1,test!$A$3:$I$32,8,FALSE))-(VLOOKUP($A97,test!$A$3:$I$32,9,FALSE))-test!$B$35,0)</f>
        <v>0</v>
      </c>
      <c r="F97">
        <f>IF(AND(SUM(VLOOKUP($A97,test!$A$3:$F$32,2,FALSE),VLOOKUP(F$1,test!$A$3:$F$32,2,FALSE))&lt;test!$K$16,$A97&lt;&gt;F$1,Recharged_Feasible_mat!G66=1),(VLOOKUP(F$1,test!$A$3:$I$32,8,FALSE))-(VLOOKUP($A97,test!$A$3:$I$32,9,FALSE))-test!$B$35,0)</f>
        <v>0</v>
      </c>
      <c r="G97">
        <f>IF(AND(SUM(VLOOKUP($A97,test!$A$3:$F$32,2,FALSE),VLOOKUP(G$1,test!$A$3:$F$32,2,FALSE))&lt;test!$K$16,$A97&lt;&gt;G$1,Recharged_Feasible_mat!H66=1),(VLOOKUP(G$1,test!$A$3:$I$32,8,FALSE))-(VLOOKUP($A97,test!$A$3:$I$32,9,FALSE))-test!$B$35,0)</f>
        <v>45</v>
      </c>
      <c r="H97">
        <f>IF(AND(SUM(VLOOKUP($A97,test!$A$3:$F$32,2,FALSE),VLOOKUP(H$1,test!$A$3:$F$32,2,FALSE))&lt;test!$K$16,$A97&lt;&gt;H$1,Recharged_Feasible_mat!I66=1),(VLOOKUP(H$1,test!$A$3:$I$32,8,FALSE))-(VLOOKUP($A97,test!$A$3:$I$32,9,FALSE))-test!$B$35,0)</f>
        <v>105</v>
      </c>
      <c r="I97">
        <f>IF(AND(SUM(VLOOKUP($A97,test!$A$3:$F$32,2,FALSE),VLOOKUP(I$1,test!$A$3:$F$32,2,FALSE))&lt;test!$K$16,$A97&lt;&gt;I$1,Recharged_Feasible_mat!J66=1),(VLOOKUP(I$1,test!$A$3:$I$32,8,FALSE))-(VLOOKUP($A97,test!$A$3:$I$32,9,FALSE))-test!$B$35,0)</f>
        <v>165</v>
      </c>
      <c r="J97">
        <f>IF(AND(SUM(VLOOKUP($A97,test!$A$3:$F$32,2,FALSE),VLOOKUP(J$1,test!$A$3:$F$32,2,FALSE))&lt;test!$K$16,$A97&lt;&gt;J$1,Recharged_Feasible_mat!K66=1),(VLOOKUP(J$1,test!$A$3:$I$32,8,FALSE))-(VLOOKUP($A97,test!$A$3:$I$32,9,FALSE))-test!$B$35,0)</f>
        <v>255</v>
      </c>
      <c r="K97">
        <f>IF(AND(SUM(VLOOKUP($A97,test!$A$3:$F$32,2,FALSE),VLOOKUP(K$1,test!$A$3:$F$32,2,FALSE))&lt;test!$K$16,$A97&lt;&gt;K$1,Recharged_Feasible_mat!L66=1),(VLOOKUP(K$1,test!$A$3:$I$32,8,FALSE))-(VLOOKUP($A97,test!$A$3:$I$32,9,FALSE))-test!$B$35,0)</f>
        <v>0</v>
      </c>
      <c r="L97">
        <f>IF(AND(SUM(VLOOKUP($A97,test!$A$3:$F$32,2,FALSE),VLOOKUP(L$1,test!$A$3:$F$32,2,FALSE))&lt;test!$K$16,$A97&lt;&gt;L$1,Recharged_Feasible_mat!M66=1),(VLOOKUP(L$1,test!$A$3:$I$32,8,FALSE))-(VLOOKUP($A97,test!$A$3:$I$32,9,FALSE))-test!$B$35,0)</f>
        <v>0</v>
      </c>
      <c r="M97">
        <f>IF(AND(SUM(VLOOKUP($A97,test!$A$3:$F$32,2,FALSE),VLOOKUP(M$1,test!$A$3:$F$32,2,FALSE))&lt;test!$K$16,$A97&lt;&gt;M$1,Recharged_Feasible_mat!N66=1),(VLOOKUP(M$1,test!$A$3:$I$32,8,FALSE))-(VLOOKUP($A97,test!$A$3:$I$32,9,FALSE))-test!$B$35,0)</f>
        <v>0</v>
      </c>
      <c r="N97">
        <f>IF(AND(SUM(VLOOKUP($A97,test!$A$3:$F$32,2,FALSE),VLOOKUP(N$1,test!$A$3:$F$32,2,FALSE))&lt;test!$K$16,$A97&lt;&gt;N$1,Recharged_Feasible_mat!O66=1),(VLOOKUP(N$1,test!$A$3:$I$32,8,FALSE))-(VLOOKUP($A97,test!$A$3:$I$32,9,FALSE))-test!$B$35,0)</f>
        <v>220</v>
      </c>
      <c r="O97">
        <f>IF(AND(SUM(VLOOKUP($A97,test!$A$3:$F$32,2,FALSE),VLOOKUP(O$1,test!$A$3:$F$32,2,FALSE))&lt;test!$K$16,$A97&lt;&gt;O$1,Recharged_Feasible_mat!P66=1),(VLOOKUP(O$1,test!$A$3:$I$32,8,FALSE))-(VLOOKUP($A97,test!$A$3:$I$32,9,FALSE))-test!$B$35,0)</f>
        <v>280</v>
      </c>
      <c r="P97">
        <f>IF(AND(SUM(VLOOKUP($A97,test!$A$3:$F$32,2,FALSE),VLOOKUP(P$1,test!$A$3:$F$32,2,FALSE))&lt;test!$K$16,$A97&lt;&gt;P$1,Recharged_Feasible_mat!Q66=1),(VLOOKUP(P$1,test!$A$3:$I$32,8,FALSE))-(VLOOKUP($A97,test!$A$3:$I$32,9,FALSE))-test!$B$35,0)</f>
        <v>0</v>
      </c>
      <c r="Q97">
        <f>IF(AND(SUM(VLOOKUP($A97,test!$A$3:$F$32,2,FALSE),VLOOKUP(Q$1,test!$A$3:$F$32,2,FALSE))&lt;test!$K$16,$A97&lt;&gt;Q$1,Recharged_Feasible_mat!R66=1),(VLOOKUP(Q$1,test!$A$3:$I$32,8,FALSE))-(VLOOKUP($A97,test!$A$3:$I$32,9,FALSE))-test!$B$35,0)</f>
        <v>0</v>
      </c>
      <c r="R97">
        <f>IF(AND(SUM(VLOOKUP($A97,test!$A$3:$F$32,2,FALSE),VLOOKUP(R$1,test!$A$3:$F$32,2,FALSE))&lt;test!$K$16,$A97&lt;&gt;R$1,Recharged_Feasible_mat!S66=1),(VLOOKUP(R$1,test!$A$3:$I$32,8,FALSE))-(VLOOKUP($A97,test!$A$3:$I$32,9,FALSE))-test!$B$35,0)</f>
        <v>0</v>
      </c>
      <c r="S97">
        <f>IF(AND(SUM(VLOOKUP($A97,test!$A$3:$F$32,2,FALSE),VLOOKUP(S$1,test!$A$3:$F$32,2,FALSE))&lt;test!$K$16,$A97&lt;&gt;S$1,Recharged_Feasible_mat!T66=1),(VLOOKUP(S$1,test!$A$3:$I$32,8,FALSE))-(VLOOKUP($A97,test!$A$3:$I$32,9,FALSE))-test!$B$35,0)</f>
        <v>0</v>
      </c>
      <c r="T97">
        <f>IF(AND(SUM(VLOOKUP($A97,test!$A$3:$F$32,2,FALSE),VLOOKUP(T$1,test!$A$3:$F$32,2,FALSE))&lt;test!$K$16,$A97&lt;&gt;T$1,Recharged_Feasible_mat!U66=1),(VLOOKUP(T$1,test!$A$3:$I$32,8,FALSE))-(VLOOKUP($A97,test!$A$3:$I$32,9,FALSE))-test!$B$35,0)</f>
        <v>0</v>
      </c>
      <c r="U97">
        <f>IF(AND(SUM(VLOOKUP($A97,test!$A$3:$F$32,2,FALSE),VLOOKUP(U$1,test!$A$3:$F$32,2,FALSE))&lt;test!$K$16,$A97&lt;&gt;U$1,Recharged_Feasible_mat!V66=1),(VLOOKUP(U$1,test!$A$3:$I$32,8,FALSE))-(VLOOKUP($A97,test!$A$3:$I$32,9,FALSE))-test!$B$35,0)</f>
        <v>0</v>
      </c>
      <c r="V97">
        <f>IF(AND(SUM(VLOOKUP($A97,test!$A$3:$F$32,2,FALSE),VLOOKUP(V$1,test!$A$3:$F$32,2,FALSE))&lt;test!$K$16,$A97&lt;&gt;V$1,Recharged_Feasible_mat!W66=1),(VLOOKUP(V$1,test!$A$3:$I$32,8,FALSE))-(VLOOKUP($A97,test!$A$3:$I$32,9,FALSE))-test!$B$35,0)</f>
        <v>55</v>
      </c>
      <c r="W97">
        <f>IF(AND(SUM(VLOOKUP($A97,test!$A$3:$F$32,2,FALSE),VLOOKUP(W$1,test!$A$3:$F$32,2,FALSE))&lt;test!$K$16,$A97&lt;&gt;W$1,Recharged_Feasible_mat!X66=1),(VLOOKUP(W$1,test!$A$3:$I$32,8,FALSE))-(VLOOKUP($A97,test!$A$3:$I$32,9,FALSE))-test!$B$35,0)</f>
        <v>145</v>
      </c>
      <c r="X97">
        <f>IF(AND(SUM(VLOOKUP($A97,test!$A$3:$F$32,2,FALSE),VLOOKUP(X$1,test!$A$3:$F$32,2,FALSE))&lt;test!$K$16,$A97&lt;&gt;X$1,Recharged_Feasible_mat!Y66=1),(VLOOKUP(X$1,test!$A$3:$I$32,8,FALSE))-(VLOOKUP($A97,test!$A$3:$I$32,9,FALSE))-test!$B$35,0)</f>
        <v>205</v>
      </c>
      <c r="Y97">
        <f>IF(AND(SUM(VLOOKUP($A97,test!$A$3:$F$32,2,FALSE),VLOOKUP(Y$1,test!$A$3:$F$32,2,FALSE))&lt;test!$K$16,$A97&lt;&gt;Y$1,Recharged_Feasible_mat!Z66=1),(VLOOKUP(Y$1,test!$A$3:$I$32,8,FALSE))-(VLOOKUP($A97,test!$A$3:$I$32,9,FALSE))-test!$B$35,0)</f>
        <v>0</v>
      </c>
      <c r="Z97">
        <f>IF(AND(SUM(VLOOKUP($A97,test!$A$3:$F$32,2,FALSE),VLOOKUP(Z$1,test!$A$3:$F$32,2,FALSE))&lt;test!$K$16,$A97&lt;&gt;Z$1,Recharged_Feasible_mat!AA66=1),(VLOOKUP(Z$1,test!$A$3:$I$32,8,FALSE))-(VLOOKUP($A97,test!$A$3:$I$32,9,FALSE))-test!$B$35,0)</f>
        <v>0</v>
      </c>
      <c r="AA97">
        <f>IF(AND(SUM(VLOOKUP($A97,test!$A$3:$F$32,2,FALSE),VLOOKUP(AA$1,test!$A$3:$F$32,2,FALSE))&lt;test!$K$16,$A97&lt;&gt;AA$1,Recharged_Feasible_mat!AB66=1),(VLOOKUP(AA$1,test!$A$3:$I$32,8,FALSE))-(VLOOKUP($A97,test!$A$3:$I$32,9,FALSE))-test!$B$35,0)</f>
        <v>0</v>
      </c>
      <c r="AB97">
        <f>IF(AND(SUM(VLOOKUP($A97,test!$A$3:$F$32,2,FALSE),VLOOKUP(AB$1,test!$A$3:$F$32,2,FALSE))&lt;test!$K$16,$A97&lt;&gt;AB$1,Recharged_Feasible_mat!AC66=1),(VLOOKUP(AB$1,test!$A$3:$I$32,8,FALSE))-(VLOOKUP($A97,test!$A$3:$I$32,9,FALSE))-test!$B$35,0)</f>
        <v>0</v>
      </c>
      <c r="AC97">
        <f>IF(AND(SUM(VLOOKUP($A97,test!$A$3:$F$32,2,FALSE),VLOOKUP(AC$1,test!$A$3:$F$32,2,FALSE))&lt;test!$K$16,$A97&lt;&gt;AC$1,Recharged_Feasible_mat!AD66=1),(VLOOKUP(AC$1,test!$A$3:$I$32,8,FALSE))-(VLOOKUP($A97,test!$A$3:$I$32,9,FALSE))-test!$B$35,0)</f>
        <v>105</v>
      </c>
      <c r="AD97">
        <f>IF(AND(SUM(VLOOKUP($A97,test!$A$3:$F$32,2,FALSE),VLOOKUP(AD$1,test!$A$3:$F$32,2,FALSE))&lt;test!$K$16,$A97&lt;&gt;AD$1,Recharged_Feasible_mat!AE66=1),(VLOOKUP(AD$1,test!$A$3:$I$32,8,FALSE))-(VLOOKUP($A97,test!$A$3:$I$32,9,FALSE))-test!$B$35,0)</f>
        <v>0</v>
      </c>
      <c r="AE97">
        <f>IF(AND(SUM(VLOOKUP($A97,test!$A$3:$F$32,2,FALSE),VLOOKUP(AE$1,test!$A$3:$F$32,2,FALSE))&lt;test!$K$16,$A97&lt;&gt;AE$1,Recharged_Feasible_mat!AF66=1),(VLOOKUP(AE$1,test!$A$3:$I$32,8,FALSE))-(VLOOKUP($A97,test!$A$3:$I$32,9,FALSE))-test!$B$35,0)</f>
        <v>0</v>
      </c>
      <c r="AF97">
        <f>IF(AND(SUM(VLOOKUP($A97,test!$A$3:$F$32,2,FALSE),VLOOKUP(AF$1,test!$A$3:$F$32,2,FALSE))&lt;test!$K$16,$A97&lt;&gt;AF$1,Recharged_Feasible_mat!AG66=1),(VLOOKUP(AF$1,test!$A$3:$I$32,8,FALSE))-(VLOOKUP($A97,test!$A$3:$I$32,9,FALSE))-test!$B$35,0)</f>
        <v>0</v>
      </c>
    </row>
    <row r="98" spans="1:32" x14ac:dyDescent="0.25">
      <c r="A98" t="s">
        <v>10</v>
      </c>
      <c r="B98">
        <v>0</v>
      </c>
      <c r="C98">
        <f>IF(AND(SUM(VLOOKUP($A98,test!$A$3:$F$32,2,FALSE),VLOOKUP(C$1,test!$A$3:$F$32,2,FALSE))&lt;test!$K$16,$A98&lt;&gt;C$1,Recharged_Feasible_mat!D67=1),(VLOOKUP(C$1,test!$A$3:$I$32,8,FALSE))-(VLOOKUP($A98,test!$A$3:$I$32,9,FALSE))-test!$B$35,0)</f>
        <v>0</v>
      </c>
      <c r="D98">
        <f>IF(AND(SUM(VLOOKUP($A98,test!$A$3:$F$32,2,FALSE),VLOOKUP(D$1,test!$A$3:$F$32,2,FALSE))&lt;test!$K$16,$A98&lt;&gt;D$1,Recharged_Feasible_mat!E67=1),(VLOOKUP(D$1,test!$A$3:$I$32,8,FALSE))-(VLOOKUP($A98,test!$A$3:$I$32,9,FALSE))-test!$B$35,0)</f>
        <v>0</v>
      </c>
      <c r="E98">
        <f>IF(AND(SUM(VLOOKUP($A98,test!$A$3:$F$32,2,FALSE),VLOOKUP(E$1,test!$A$3:$F$32,2,FALSE))&lt;test!$K$16,$A98&lt;&gt;E$1,Recharged_Feasible_mat!F67=1),(VLOOKUP(E$1,test!$A$3:$I$32,8,FALSE))-(VLOOKUP($A98,test!$A$3:$I$32,9,FALSE))-test!$B$35,0)</f>
        <v>0</v>
      </c>
      <c r="F98">
        <f>IF(AND(SUM(VLOOKUP($A98,test!$A$3:$F$32,2,FALSE),VLOOKUP(F$1,test!$A$3:$F$32,2,FALSE))&lt;test!$K$16,$A98&lt;&gt;F$1,Recharged_Feasible_mat!G67=1),(VLOOKUP(F$1,test!$A$3:$I$32,8,FALSE))-(VLOOKUP($A98,test!$A$3:$I$32,9,FALSE))-test!$B$35,0)</f>
        <v>0</v>
      </c>
      <c r="G98">
        <f>IF(AND(SUM(VLOOKUP($A98,test!$A$3:$F$32,2,FALSE),VLOOKUP(G$1,test!$A$3:$F$32,2,FALSE))&lt;test!$K$16,$A98&lt;&gt;G$1,Recharged_Feasible_mat!H67=1),(VLOOKUP(G$1,test!$A$3:$I$32,8,FALSE))-(VLOOKUP($A98,test!$A$3:$I$32,9,FALSE))-test!$B$35,0)</f>
        <v>0</v>
      </c>
      <c r="H98">
        <f>IF(AND(SUM(VLOOKUP($A98,test!$A$3:$F$32,2,FALSE),VLOOKUP(H$1,test!$A$3:$F$32,2,FALSE))&lt;test!$K$16,$A98&lt;&gt;H$1,Recharged_Feasible_mat!I67=1),(VLOOKUP(H$1,test!$A$3:$I$32,8,FALSE))-(VLOOKUP($A98,test!$A$3:$I$32,9,FALSE))-test!$B$35,0)</f>
        <v>15</v>
      </c>
      <c r="I98">
        <f>IF(AND(SUM(VLOOKUP($A98,test!$A$3:$F$32,2,FALSE),VLOOKUP(I$1,test!$A$3:$F$32,2,FALSE))&lt;test!$K$16,$A98&lt;&gt;I$1,Recharged_Feasible_mat!J67=1),(VLOOKUP(I$1,test!$A$3:$I$32,8,FALSE))-(VLOOKUP($A98,test!$A$3:$I$32,9,FALSE))-test!$B$35,0)</f>
        <v>75</v>
      </c>
      <c r="J98">
        <f>IF(AND(SUM(VLOOKUP($A98,test!$A$3:$F$32,2,FALSE),VLOOKUP(J$1,test!$A$3:$F$32,2,FALSE))&lt;test!$K$16,$A98&lt;&gt;J$1,Recharged_Feasible_mat!K67=1),(VLOOKUP(J$1,test!$A$3:$I$32,8,FALSE))-(VLOOKUP($A98,test!$A$3:$I$32,9,FALSE))-test!$B$35,0)</f>
        <v>165</v>
      </c>
      <c r="K98">
        <f>IF(AND(SUM(VLOOKUP($A98,test!$A$3:$F$32,2,FALSE),VLOOKUP(K$1,test!$A$3:$F$32,2,FALSE))&lt;test!$K$16,$A98&lt;&gt;K$1,Recharged_Feasible_mat!L67=1),(VLOOKUP(K$1,test!$A$3:$I$32,8,FALSE))-(VLOOKUP($A98,test!$A$3:$I$32,9,FALSE))-test!$B$35,0)</f>
        <v>0</v>
      </c>
      <c r="L98">
        <f>IF(AND(SUM(VLOOKUP($A98,test!$A$3:$F$32,2,FALSE),VLOOKUP(L$1,test!$A$3:$F$32,2,FALSE))&lt;test!$K$16,$A98&lt;&gt;L$1,Recharged_Feasible_mat!M67=1),(VLOOKUP(L$1,test!$A$3:$I$32,8,FALSE))-(VLOOKUP($A98,test!$A$3:$I$32,9,FALSE))-test!$B$35,0)</f>
        <v>0</v>
      </c>
      <c r="M98">
        <f>IF(AND(SUM(VLOOKUP($A98,test!$A$3:$F$32,2,FALSE),VLOOKUP(M$1,test!$A$3:$F$32,2,FALSE))&lt;test!$K$16,$A98&lt;&gt;M$1,Recharged_Feasible_mat!N67=1),(VLOOKUP(M$1,test!$A$3:$I$32,8,FALSE))-(VLOOKUP($A98,test!$A$3:$I$32,9,FALSE))-test!$B$35,0)</f>
        <v>0</v>
      </c>
      <c r="N98">
        <f>IF(AND(SUM(VLOOKUP($A98,test!$A$3:$F$32,2,FALSE),VLOOKUP(N$1,test!$A$3:$F$32,2,FALSE))&lt;test!$K$16,$A98&lt;&gt;N$1,Recharged_Feasible_mat!O67=1),(VLOOKUP(N$1,test!$A$3:$I$32,8,FALSE))-(VLOOKUP($A98,test!$A$3:$I$32,9,FALSE))-test!$B$35,0)</f>
        <v>130</v>
      </c>
      <c r="O98">
        <f>IF(AND(SUM(VLOOKUP($A98,test!$A$3:$F$32,2,FALSE),VLOOKUP(O$1,test!$A$3:$F$32,2,FALSE))&lt;test!$K$16,$A98&lt;&gt;O$1,Recharged_Feasible_mat!P67=1),(VLOOKUP(O$1,test!$A$3:$I$32,8,FALSE))-(VLOOKUP($A98,test!$A$3:$I$32,9,FALSE))-test!$B$35,0)</f>
        <v>190</v>
      </c>
      <c r="P98">
        <f>IF(AND(SUM(VLOOKUP($A98,test!$A$3:$F$32,2,FALSE),VLOOKUP(P$1,test!$A$3:$F$32,2,FALSE))&lt;test!$K$16,$A98&lt;&gt;P$1,Recharged_Feasible_mat!Q67=1),(VLOOKUP(P$1,test!$A$3:$I$32,8,FALSE))-(VLOOKUP($A98,test!$A$3:$I$32,9,FALSE))-test!$B$35,0)</f>
        <v>0</v>
      </c>
      <c r="Q98">
        <f>IF(AND(SUM(VLOOKUP($A98,test!$A$3:$F$32,2,FALSE),VLOOKUP(Q$1,test!$A$3:$F$32,2,FALSE))&lt;test!$K$16,$A98&lt;&gt;Q$1,Recharged_Feasible_mat!R67=1),(VLOOKUP(Q$1,test!$A$3:$I$32,8,FALSE))-(VLOOKUP($A98,test!$A$3:$I$32,9,FALSE))-test!$B$35,0)</f>
        <v>0</v>
      </c>
      <c r="R98">
        <f>IF(AND(SUM(VLOOKUP($A98,test!$A$3:$F$32,2,FALSE),VLOOKUP(R$1,test!$A$3:$F$32,2,FALSE))&lt;test!$K$16,$A98&lt;&gt;R$1,Recharged_Feasible_mat!S67=1),(VLOOKUP(R$1,test!$A$3:$I$32,8,FALSE))-(VLOOKUP($A98,test!$A$3:$I$32,9,FALSE))-test!$B$35,0)</f>
        <v>0</v>
      </c>
      <c r="S98">
        <f>IF(AND(SUM(VLOOKUP($A98,test!$A$3:$F$32,2,FALSE),VLOOKUP(S$1,test!$A$3:$F$32,2,FALSE))&lt;test!$K$16,$A98&lt;&gt;S$1,Recharged_Feasible_mat!T67=1),(VLOOKUP(S$1,test!$A$3:$I$32,8,FALSE))-(VLOOKUP($A98,test!$A$3:$I$32,9,FALSE))-test!$B$35,0)</f>
        <v>0</v>
      </c>
      <c r="T98">
        <f>IF(AND(SUM(VLOOKUP($A98,test!$A$3:$F$32,2,FALSE),VLOOKUP(T$1,test!$A$3:$F$32,2,FALSE))&lt;test!$K$16,$A98&lt;&gt;T$1,Recharged_Feasible_mat!U67=1),(VLOOKUP(T$1,test!$A$3:$I$32,8,FALSE))-(VLOOKUP($A98,test!$A$3:$I$32,9,FALSE))-test!$B$35,0)</f>
        <v>0</v>
      </c>
      <c r="U98">
        <f>IF(AND(SUM(VLOOKUP($A98,test!$A$3:$F$32,2,FALSE),VLOOKUP(U$1,test!$A$3:$F$32,2,FALSE))&lt;test!$K$16,$A98&lt;&gt;U$1,Recharged_Feasible_mat!V67=1),(VLOOKUP(U$1,test!$A$3:$I$32,8,FALSE))-(VLOOKUP($A98,test!$A$3:$I$32,9,FALSE))-test!$B$35,0)</f>
        <v>0</v>
      </c>
      <c r="V98">
        <f>IF(AND(SUM(VLOOKUP($A98,test!$A$3:$F$32,2,FALSE),VLOOKUP(V$1,test!$A$3:$F$32,2,FALSE))&lt;test!$K$16,$A98&lt;&gt;V$1,Recharged_Feasible_mat!W67=1),(VLOOKUP(V$1,test!$A$3:$I$32,8,FALSE))-(VLOOKUP($A98,test!$A$3:$I$32,9,FALSE))-test!$B$35,0)</f>
        <v>0</v>
      </c>
      <c r="W98">
        <f>IF(AND(SUM(VLOOKUP($A98,test!$A$3:$F$32,2,FALSE),VLOOKUP(W$1,test!$A$3:$F$32,2,FALSE))&lt;test!$K$16,$A98&lt;&gt;W$1,Recharged_Feasible_mat!X67=1),(VLOOKUP(W$1,test!$A$3:$I$32,8,FALSE))-(VLOOKUP($A98,test!$A$3:$I$32,9,FALSE))-test!$B$35,0)</f>
        <v>55</v>
      </c>
      <c r="X98">
        <f>IF(AND(SUM(VLOOKUP($A98,test!$A$3:$F$32,2,FALSE),VLOOKUP(X$1,test!$A$3:$F$32,2,FALSE))&lt;test!$K$16,$A98&lt;&gt;X$1,Recharged_Feasible_mat!Y67=1),(VLOOKUP(X$1,test!$A$3:$I$32,8,FALSE))-(VLOOKUP($A98,test!$A$3:$I$32,9,FALSE))-test!$B$35,0)</f>
        <v>115</v>
      </c>
      <c r="Y98">
        <f>IF(AND(SUM(VLOOKUP($A98,test!$A$3:$F$32,2,FALSE),VLOOKUP(Y$1,test!$A$3:$F$32,2,FALSE))&lt;test!$K$16,$A98&lt;&gt;Y$1,Recharged_Feasible_mat!Z67=1),(VLOOKUP(Y$1,test!$A$3:$I$32,8,FALSE))-(VLOOKUP($A98,test!$A$3:$I$32,9,FALSE))-test!$B$35,0)</f>
        <v>0</v>
      </c>
      <c r="Z98">
        <f>IF(AND(SUM(VLOOKUP($A98,test!$A$3:$F$32,2,FALSE),VLOOKUP(Z$1,test!$A$3:$F$32,2,FALSE))&lt;test!$K$16,$A98&lt;&gt;Z$1,Recharged_Feasible_mat!AA67=1),(VLOOKUP(Z$1,test!$A$3:$I$32,8,FALSE))-(VLOOKUP($A98,test!$A$3:$I$32,9,FALSE))-test!$B$35,0)</f>
        <v>0</v>
      </c>
      <c r="AA98">
        <f>IF(AND(SUM(VLOOKUP($A98,test!$A$3:$F$32,2,FALSE),VLOOKUP(AA$1,test!$A$3:$F$32,2,FALSE))&lt;test!$K$16,$A98&lt;&gt;AA$1,Recharged_Feasible_mat!AB67=1),(VLOOKUP(AA$1,test!$A$3:$I$32,8,FALSE))-(VLOOKUP($A98,test!$A$3:$I$32,9,FALSE))-test!$B$35,0)</f>
        <v>0</v>
      </c>
      <c r="AB98">
        <f>IF(AND(SUM(VLOOKUP($A98,test!$A$3:$F$32,2,FALSE),VLOOKUP(AB$1,test!$A$3:$F$32,2,FALSE))&lt;test!$K$16,$A98&lt;&gt;AB$1,Recharged_Feasible_mat!AC67=1),(VLOOKUP(AB$1,test!$A$3:$I$32,8,FALSE))-(VLOOKUP($A98,test!$A$3:$I$32,9,FALSE))-test!$B$35,0)</f>
        <v>0</v>
      </c>
      <c r="AC98">
        <f>IF(AND(SUM(VLOOKUP($A98,test!$A$3:$F$32,2,FALSE),VLOOKUP(AC$1,test!$A$3:$F$32,2,FALSE))&lt;test!$K$16,$A98&lt;&gt;AC$1,Recharged_Feasible_mat!AD67=1),(VLOOKUP(AC$1,test!$A$3:$I$32,8,FALSE))-(VLOOKUP($A98,test!$A$3:$I$32,9,FALSE))-test!$B$35,0)</f>
        <v>15</v>
      </c>
      <c r="AD98">
        <f>IF(AND(SUM(VLOOKUP($A98,test!$A$3:$F$32,2,FALSE),VLOOKUP(AD$1,test!$A$3:$F$32,2,FALSE))&lt;test!$K$16,$A98&lt;&gt;AD$1,Recharged_Feasible_mat!AE67=1),(VLOOKUP(AD$1,test!$A$3:$I$32,8,FALSE))-(VLOOKUP($A98,test!$A$3:$I$32,9,FALSE))-test!$B$35,0)</f>
        <v>0</v>
      </c>
      <c r="AE98">
        <f>IF(AND(SUM(VLOOKUP($A98,test!$A$3:$F$32,2,FALSE),VLOOKUP(AE$1,test!$A$3:$F$32,2,FALSE))&lt;test!$K$16,$A98&lt;&gt;AE$1,Recharged_Feasible_mat!AF67=1),(VLOOKUP(AE$1,test!$A$3:$I$32,8,FALSE))-(VLOOKUP($A98,test!$A$3:$I$32,9,FALSE))-test!$B$35,0)</f>
        <v>0</v>
      </c>
      <c r="AF98">
        <f>IF(AND(SUM(VLOOKUP($A98,test!$A$3:$F$32,2,FALSE),VLOOKUP(AF$1,test!$A$3:$F$32,2,FALSE))&lt;test!$K$16,$A98&lt;&gt;AF$1,Recharged_Feasible_mat!AG67=1),(VLOOKUP(AF$1,test!$A$3:$I$32,8,FALSE))-(VLOOKUP($A98,test!$A$3:$I$32,9,FALSE))-test!$B$35,0)</f>
        <v>0</v>
      </c>
    </row>
    <row r="99" spans="1:32" x14ac:dyDescent="0.25">
      <c r="A99" t="s">
        <v>11</v>
      </c>
      <c r="B99">
        <v>0</v>
      </c>
      <c r="C99">
        <f>IF(AND(SUM(VLOOKUP($A99,test!$A$3:$F$32,2,FALSE),VLOOKUP(C$1,test!$A$3:$F$32,2,FALSE))&lt;test!$K$16,$A99&lt;&gt;C$1,Recharged_Feasible_mat!D68=1),(VLOOKUP(C$1,test!$A$3:$I$32,8,FALSE))-(VLOOKUP($A99,test!$A$3:$I$32,9,FALSE))-test!$B$35,0)</f>
        <v>0</v>
      </c>
      <c r="D99">
        <f>IF(AND(SUM(VLOOKUP($A99,test!$A$3:$F$32,2,FALSE),VLOOKUP(D$1,test!$A$3:$F$32,2,FALSE))&lt;test!$K$16,$A99&lt;&gt;D$1,Recharged_Feasible_mat!E68=1),(VLOOKUP(D$1,test!$A$3:$I$32,8,FALSE))-(VLOOKUP($A99,test!$A$3:$I$32,9,FALSE))-test!$B$35,0)</f>
        <v>0</v>
      </c>
      <c r="E99">
        <f>IF(AND(SUM(VLOOKUP($A99,test!$A$3:$F$32,2,FALSE),VLOOKUP(E$1,test!$A$3:$F$32,2,FALSE))&lt;test!$K$16,$A99&lt;&gt;E$1,Recharged_Feasible_mat!F68=1),(VLOOKUP(E$1,test!$A$3:$I$32,8,FALSE))-(VLOOKUP($A99,test!$A$3:$I$32,9,FALSE))-test!$B$35,0)</f>
        <v>0</v>
      </c>
      <c r="F99">
        <f>IF(AND(SUM(VLOOKUP($A99,test!$A$3:$F$32,2,FALSE),VLOOKUP(F$1,test!$A$3:$F$32,2,FALSE))&lt;test!$K$16,$A99&lt;&gt;F$1,Recharged_Feasible_mat!G68=1),(VLOOKUP(F$1,test!$A$3:$I$32,8,FALSE))-(VLOOKUP($A99,test!$A$3:$I$32,9,FALSE))-test!$B$35,0)</f>
        <v>0</v>
      </c>
      <c r="G99">
        <f>IF(AND(SUM(VLOOKUP($A99,test!$A$3:$F$32,2,FALSE),VLOOKUP(G$1,test!$A$3:$F$32,2,FALSE))&lt;test!$K$16,$A99&lt;&gt;G$1,Recharged_Feasible_mat!H68=1),(VLOOKUP(G$1,test!$A$3:$I$32,8,FALSE))-(VLOOKUP($A99,test!$A$3:$I$32,9,FALSE))-test!$B$35,0)</f>
        <v>0</v>
      </c>
      <c r="H99">
        <f>IF(AND(SUM(VLOOKUP($A99,test!$A$3:$F$32,2,FALSE),VLOOKUP(H$1,test!$A$3:$F$32,2,FALSE))&lt;test!$K$16,$A99&lt;&gt;H$1,Recharged_Feasible_mat!I68=1),(VLOOKUP(H$1,test!$A$3:$I$32,8,FALSE))-(VLOOKUP($A99,test!$A$3:$I$32,9,FALSE))-test!$B$35,0)</f>
        <v>0</v>
      </c>
      <c r="I99">
        <f>IF(AND(SUM(VLOOKUP($A99,test!$A$3:$F$32,2,FALSE),VLOOKUP(I$1,test!$A$3:$F$32,2,FALSE))&lt;test!$K$16,$A99&lt;&gt;I$1,Recharged_Feasible_mat!J68=1),(VLOOKUP(I$1,test!$A$3:$I$32,8,FALSE))-(VLOOKUP($A99,test!$A$3:$I$32,9,FALSE))-test!$B$35,0)</f>
        <v>0</v>
      </c>
      <c r="J99">
        <f>IF(AND(SUM(VLOOKUP($A99,test!$A$3:$F$32,2,FALSE),VLOOKUP(J$1,test!$A$3:$F$32,2,FALSE))&lt;test!$K$16,$A99&lt;&gt;J$1,Recharged_Feasible_mat!K68=1),(VLOOKUP(J$1,test!$A$3:$I$32,8,FALSE))-(VLOOKUP($A99,test!$A$3:$I$32,9,FALSE))-test!$B$35,0)</f>
        <v>75</v>
      </c>
      <c r="K99">
        <f>IF(AND(SUM(VLOOKUP($A99,test!$A$3:$F$32,2,FALSE),VLOOKUP(K$1,test!$A$3:$F$32,2,FALSE))&lt;test!$K$16,$A99&lt;&gt;K$1,Recharged_Feasible_mat!L68=1),(VLOOKUP(K$1,test!$A$3:$I$32,8,FALSE))-(VLOOKUP($A99,test!$A$3:$I$32,9,FALSE))-test!$B$35,0)</f>
        <v>0</v>
      </c>
      <c r="L99">
        <f>IF(AND(SUM(VLOOKUP($A99,test!$A$3:$F$32,2,FALSE),VLOOKUP(L$1,test!$A$3:$F$32,2,FALSE))&lt;test!$K$16,$A99&lt;&gt;L$1,Recharged_Feasible_mat!M68=1),(VLOOKUP(L$1,test!$A$3:$I$32,8,FALSE))-(VLOOKUP($A99,test!$A$3:$I$32,9,FALSE))-test!$B$35,0)</f>
        <v>0</v>
      </c>
      <c r="M99">
        <f>IF(AND(SUM(VLOOKUP($A99,test!$A$3:$F$32,2,FALSE),VLOOKUP(M$1,test!$A$3:$F$32,2,FALSE))&lt;test!$K$16,$A99&lt;&gt;M$1,Recharged_Feasible_mat!N68=1),(VLOOKUP(M$1,test!$A$3:$I$32,8,FALSE))-(VLOOKUP($A99,test!$A$3:$I$32,9,FALSE))-test!$B$35,0)</f>
        <v>0</v>
      </c>
      <c r="N99">
        <f>IF(AND(SUM(VLOOKUP($A99,test!$A$3:$F$32,2,FALSE),VLOOKUP(N$1,test!$A$3:$F$32,2,FALSE))&lt;test!$K$16,$A99&lt;&gt;N$1,Recharged_Feasible_mat!O68=1),(VLOOKUP(N$1,test!$A$3:$I$32,8,FALSE))-(VLOOKUP($A99,test!$A$3:$I$32,9,FALSE))-test!$B$35,0)</f>
        <v>40</v>
      </c>
      <c r="O99">
        <f>IF(AND(SUM(VLOOKUP($A99,test!$A$3:$F$32,2,FALSE),VLOOKUP(O$1,test!$A$3:$F$32,2,FALSE))&lt;test!$K$16,$A99&lt;&gt;O$1,Recharged_Feasible_mat!P68=1),(VLOOKUP(O$1,test!$A$3:$I$32,8,FALSE))-(VLOOKUP($A99,test!$A$3:$I$32,9,FALSE))-test!$B$35,0)</f>
        <v>100</v>
      </c>
      <c r="P99">
        <f>IF(AND(SUM(VLOOKUP($A99,test!$A$3:$F$32,2,FALSE),VLOOKUP(P$1,test!$A$3:$F$32,2,FALSE))&lt;test!$K$16,$A99&lt;&gt;P$1,Recharged_Feasible_mat!Q68=1),(VLOOKUP(P$1,test!$A$3:$I$32,8,FALSE))-(VLOOKUP($A99,test!$A$3:$I$32,9,FALSE))-test!$B$35,0)</f>
        <v>0</v>
      </c>
      <c r="Q99">
        <f>IF(AND(SUM(VLOOKUP($A99,test!$A$3:$F$32,2,FALSE),VLOOKUP(Q$1,test!$A$3:$F$32,2,FALSE))&lt;test!$K$16,$A99&lt;&gt;Q$1,Recharged_Feasible_mat!R68=1),(VLOOKUP(Q$1,test!$A$3:$I$32,8,FALSE))-(VLOOKUP($A99,test!$A$3:$I$32,9,FALSE))-test!$B$35,0)</f>
        <v>0</v>
      </c>
      <c r="R99">
        <f>IF(AND(SUM(VLOOKUP($A99,test!$A$3:$F$32,2,FALSE),VLOOKUP(R$1,test!$A$3:$F$32,2,FALSE))&lt;test!$K$16,$A99&lt;&gt;R$1,Recharged_Feasible_mat!S68=1),(VLOOKUP(R$1,test!$A$3:$I$32,8,FALSE))-(VLOOKUP($A99,test!$A$3:$I$32,9,FALSE))-test!$B$35,0)</f>
        <v>0</v>
      </c>
      <c r="S99">
        <f>IF(AND(SUM(VLOOKUP($A99,test!$A$3:$F$32,2,FALSE),VLOOKUP(S$1,test!$A$3:$F$32,2,FALSE))&lt;test!$K$16,$A99&lt;&gt;S$1,Recharged_Feasible_mat!T68=1),(VLOOKUP(S$1,test!$A$3:$I$32,8,FALSE))-(VLOOKUP($A99,test!$A$3:$I$32,9,FALSE))-test!$B$35,0)</f>
        <v>0</v>
      </c>
      <c r="T99">
        <f>IF(AND(SUM(VLOOKUP($A99,test!$A$3:$F$32,2,FALSE),VLOOKUP(T$1,test!$A$3:$F$32,2,FALSE))&lt;test!$K$16,$A99&lt;&gt;T$1,Recharged_Feasible_mat!U68=1),(VLOOKUP(T$1,test!$A$3:$I$32,8,FALSE))-(VLOOKUP($A99,test!$A$3:$I$32,9,FALSE))-test!$B$35,0)</f>
        <v>0</v>
      </c>
      <c r="U99">
        <f>IF(AND(SUM(VLOOKUP($A99,test!$A$3:$F$32,2,FALSE),VLOOKUP(U$1,test!$A$3:$F$32,2,FALSE))&lt;test!$K$16,$A99&lt;&gt;U$1,Recharged_Feasible_mat!V68=1),(VLOOKUP(U$1,test!$A$3:$I$32,8,FALSE))-(VLOOKUP($A99,test!$A$3:$I$32,9,FALSE))-test!$B$35,0)</f>
        <v>0</v>
      </c>
      <c r="V99">
        <f>IF(AND(SUM(VLOOKUP($A99,test!$A$3:$F$32,2,FALSE),VLOOKUP(V$1,test!$A$3:$F$32,2,FALSE))&lt;test!$K$16,$A99&lt;&gt;V$1,Recharged_Feasible_mat!W68=1),(VLOOKUP(V$1,test!$A$3:$I$32,8,FALSE))-(VLOOKUP($A99,test!$A$3:$I$32,9,FALSE))-test!$B$35,0)</f>
        <v>0</v>
      </c>
      <c r="W99">
        <f>IF(AND(SUM(VLOOKUP($A99,test!$A$3:$F$32,2,FALSE),VLOOKUP(W$1,test!$A$3:$F$32,2,FALSE))&lt;test!$K$16,$A99&lt;&gt;W$1,Recharged_Feasible_mat!X68=1),(VLOOKUP(W$1,test!$A$3:$I$32,8,FALSE))-(VLOOKUP($A99,test!$A$3:$I$32,9,FALSE))-test!$B$35,0)</f>
        <v>0</v>
      </c>
      <c r="X99">
        <f>IF(AND(SUM(VLOOKUP($A99,test!$A$3:$F$32,2,FALSE),VLOOKUP(X$1,test!$A$3:$F$32,2,FALSE))&lt;test!$K$16,$A99&lt;&gt;X$1,Recharged_Feasible_mat!Y68=1),(VLOOKUP(X$1,test!$A$3:$I$32,8,FALSE))-(VLOOKUP($A99,test!$A$3:$I$32,9,FALSE))-test!$B$35,0)</f>
        <v>25</v>
      </c>
      <c r="Y99">
        <f>IF(AND(SUM(VLOOKUP($A99,test!$A$3:$F$32,2,FALSE),VLOOKUP(Y$1,test!$A$3:$F$32,2,FALSE))&lt;test!$K$16,$A99&lt;&gt;Y$1,Recharged_Feasible_mat!Z68=1),(VLOOKUP(Y$1,test!$A$3:$I$32,8,FALSE))-(VLOOKUP($A99,test!$A$3:$I$32,9,FALSE))-test!$B$35,0)</f>
        <v>0</v>
      </c>
      <c r="Z99">
        <f>IF(AND(SUM(VLOOKUP($A99,test!$A$3:$F$32,2,FALSE),VLOOKUP(Z$1,test!$A$3:$F$32,2,FALSE))&lt;test!$K$16,$A99&lt;&gt;Z$1,Recharged_Feasible_mat!AA68=1),(VLOOKUP(Z$1,test!$A$3:$I$32,8,FALSE))-(VLOOKUP($A99,test!$A$3:$I$32,9,FALSE))-test!$B$35,0)</f>
        <v>0</v>
      </c>
      <c r="AA99">
        <f>IF(AND(SUM(VLOOKUP($A99,test!$A$3:$F$32,2,FALSE),VLOOKUP(AA$1,test!$A$3:$F$32,2,FALSE))&lt;test!$K$16,$A99&lt;&gt;AA$1,Recharged_Feasible_mat!AB68=1),(VLOOKUP(AA$1,test!$A$3:$I$32,8,FALSE))-(VLOOKUP($A99,test!$A$3:$I$32,9,FALSE))-test!$B$35,0)</f>
        <v>0</v>
      </c>
      <c r="AB99">
        <f>IF(AND(SUM(VLOOKUP($A99,test!$A$3:$F$32,2,FALSE),VLOOKUP(AB$1,test!$A$3:$F$32,2,FALSE))&lt;test!$K$16,$A99&lt;&gt;AB$1,Recharged_Feasible_mat!AC68=1),(VLOOKUP(AB$1,test!$A$3:$I$32,8,FALSE))-(VLOOKUP($A99,test!$A$3:$I$32,9,FALSE))-test!$B$35,0)</f>
        <v>0</v>
      </c>
      <c r="AC99">
        <f>IF(AND(SUM(VLOOKUP($A99,test!$A$3:$F$32,2,FALSE),VLOOKUP(AC$1,test!$A$3:$F$32,2,FALSE))&lt;test!$K$16,$A99&lt;&gt;AC$1,Recharged_Feasible_mat!AD68=1),(VLOOKUP(AC$1,test!$A$3:$I$32,8,FALSE))-(VLOOKUP($A99,test!$A$3:$I$32,9,FALSE))-test!$B$35,0)</f>
        <v>0</v>
      </c>
      <c r="AD99">
        <f>IF(AND(SUM(VLOOKUP($A99,test!$A$3:$F$32,2,FALSE),VLOOKUP(AD$1,test!$A$3:$F$32,2,FALSE))&lt;test!$K$16,$A99&lt;&gt;AD$1,Recharged_Feasible_mat!AE68=1),(VLOOKUP(AD$1,test!$A$3:$I$32,8,FALSE))-(VLOOKUP($A99,test!$A$3:$I$32,9,FALSE))-test!$B$35,0)</f>
        <v>0</v>
      </c>
      <c r="AE99">
        <f>IF(AND(SUM(VLOOKUP($A99,test!$A$3:$F$32,2,FALSE),VLOOKUP(AE$1,test!$A$3:$F$32,2,FALSE))&lt;test!$K$16,$A99&lt;&gt;AE$1,Recharged_Feasible_mat!AF68=1),(VLOOKUP(AE$1,test!$A$3:$I$32,8,FALSE))-(VLOOKUP($A99,test!$A$3:$I$32,9,FALSE))-test!$B$35,0)</f>
        <v>0</v>
      </c>
      <c r="AF99">
        <f>IF(AND(SUM(VLOOKUP($A99,test!$A$3:$F$32,2,FALSE),VLOOKUP(AF$1,test!$A$3:$F$32,2,FALSE))&lt;test!$K$16,$A99&lt;&gt;AF$1,Recharged_Feasible_mat!AG68=1),(VLOOKUP(AF$1,test!$A$3:$I$32,8,FALSE))-(VLOOKUP($A99,test!$A$3:$I$32,9,FALSE))-test!$B$35,0)</f>
        <v>0</v>
      </c>
    </row>
    <row r="100" spans="1:32" x14ac:dyDescent="0.25">
      <c r="A100" t="s">
        <v>12</v>
      </c>
      <c r="B100">
        <v>0</v>
      </c>
      <c r="C100">
        <f>IF(AND(SUM(VLOOKUP($A100,test!$A$3:$F$32,2,FALSE),VLOOKUP(C$1,test!$A$3:$F$32,2,FALSE))&lt;test!$K$16,$A100&lt;&gt;C$1,Recharged_Feasible_mat!D69=1),(VLOOKUP(C$1,test!$A$3:$I$32,8,FALSE))-(VLOOKUP($A100,test!$A$3:$I$32,9,FALSE))-test!$B$35,0)</f>
        <v>0</v>
      </c>
      <c r="D100">
        <f>IF(AND(SUM(VLOOKUP($A100,test!$A$3:$F$32,2,FALSE),VLOOKUP(D$1,test!$A$3:$F$32,2,FALSE))&lt;test!$K$16,$A100&lt;&gt;D$1,Recharged_Feasible_mat!E69=1),(VLOOKUP(D$1,test!$A$3:$I$32,8,FALSE))-(VLOOKUP($A100,test!$A$3:$I$32,9,FALSE))-test!$B$35,0)</f>
        <v>0</v>
      </c>
      <c r="E100">
        <f>IF(AND(SUM(VLOOKUP($A100,test!$A$3:$F$32,2,FALSE),VLOOKUP(E$1,test!$A$3:$F$32,2,FALSE))&lt;test!$K$16,$A100&lt;&gt;E$1,Recharged_Feasible_mat!F69=1),(VLOOKUP(E$1,test!$A$3:$I$32,8,FALSE))-(VLOOKUP($A100,test!$A$3:$I$32,9,FALSE))-test!$B$35,0)</f>
        <v>0</v>
      </c>
      <c r="F100">
        <f>IF(AND(SUM(VLOOKUP($A100,test!$A$3:$F$32,2,FALSE),VLOOKUP(F$1,test!$A$3:$F$32,2,FALSE))&lt;test!$K$16,$A100&lt;&gt;F$1,Recharged_Feasible_mat!G69=1),(VLOOKUP(F$1,test!$A$3:$I$32,8,FALSE))-(VLOOKUP($A100,test!$A$3:$I$32,9,FALSE))-test!$B$35,0)</f>
        <v>0</v>
      </c>
      <c r="G100">
        <f>IF(AND(SUM(VLOOKUP($A100,test!$A$3:$F$32,2,FALSE),VLOOKUP(G$1,test!$A$3:$F$32,2,FALSE))&lt;test!$K$16,$A100&lt;&gt;G$1,Recharged_Feasible_mat!H69=1),(VLOOKUP(G$1,test!$A$3:$I$32,8,FALSE))-(VLOOKUP($A100,test!$A$3:$I$32,9,FALSE))-test!$B$35,0)</f>
        <v>0</v>
      </c>
      <c r="H100">
        <f>IF(AND(SUM(VLOOKUP($A100,test!$A$3:$F$32,2,FALSE),VLOOKUP(H$1,test!$A$3:$F$32,2,FALSE))&lt;test!$K$16,$A100&lt;&gt;H$1,Recharged_Feasible_mat!I69=1),(VLOOKUP(H$1,test!$A$3:$I$32,8,FALSE))-(VLOOKUP($A100,test!$A$3:$I$32,9,FALSE))-test!$B$35,0)</f>
        <v>0</v>
      </c>
      <c r="I100">
        <f>IF(AND(SUM(VLOOKUP($A100,test!$A$3:$F$32,2,FALSE),VLOOKUP(I$1,test!$A$3:$F$32,2,FALSE))&lt;test!$K$16,$A100&lt;&gt;I$1,Recharged_Feasible_mat!J69=1),(VLOOKUP(I$1,test!$A$3:$I$32,8,FALSE))-(VLOOKUP($A100,test!$A$3:$I$32,9,FALSE))-test!$B$35,0)</f>
        <v>0</v>
      </c>
      <c r="J100">
        <f>IF(AND(SUM(VLOOKUP($A100,test!$A$3:$F$32,2,FALSE),VLOOKUP(J$1,test!$A$3:$F$32,2,FALSE))&lt;test!$K$16,$A100&lt;&gt;J$1,Recharged_Feasible_mat!K69=1),(VLOOKUP(J$1,test!$A$3:$I$32,8,FALSE))-(VLOOKUP($A100,test!$A$3:$I$32,9,FALSE))-test!$B$35,0)</f>
        <v>15</v>
      </c>
      <c r="K100">
        <f>IF(AND(SUM(VLOOKUP($A100,test!$A$3:$F$32,2,FALSE),VLOOKUP(K$1,test!$A$3:$F$32,2,FALSE))&lt;test!$K$16,$A100&lt;&gt;K$1,Recharged_Feasible_mat!L69=1),(VLOOKUP(K$1,test!$A$3:$I$32,8,FALSE))-(VLOOKUP($A100,test!$A$3:$I$32,9,FALSE))-test!$B$35,0)</f>
        <v>0</v>
      </c>
      <c r="L100">
        <f>IF(AND(SUM(VLOOKUP($A100,test!$A$3:$F$32,2,FALSE),VLOOKUP(L$1,test!$A$3:$F$32,2,FALSE))&lt;test!$K$16,$A100&lt;&gt;L$1,Recharged_Feasible_mat!M69=1),(VLOOKUP(L$1,test!$A$3:$I$32,8,FALSE))-(VLOOKUP($A100,test!$A$3:$I$32,9,FALSE))-test!$B$35,0)</f>
        <v>0</v>
      </c>
      <c r="M100">
        <f>IF(AND(SUM(VLOOKUP($A100,test!$A$3:$F$32,2,FALSE),VLOOKUP(M$1,test!$A$3:$F$32,2,FALSE))&lt;test!$K$16,$A100&lt;&gt;M$1,Recharged_Feasible_mat!N69=1),(VLOOKUP(M$1,test!$A$3:$I$32,8,FALSE))-(VLOOKUP($A100,test!$A$3:$I$32,9,FALSE))-test!$B$35,0)</f>
        <v>0</v>
      </c>
      <c r="N100">
        <f>IF(AND(SUM(VLOOKUP($A100,test!$A$3:$F$32,2,FALSE),VLOOKUP(N$1,test!$A$3:$F$32,2,FALSE))&lt;test!$K$16,$A100&lt;&gt;N$1,Recharged_Feasible_mat!O69=1),(VLOOKUP(N$1,test!$A$3:$I$32,8,FALSE))-(VLOOKUP($A100,test!$A$3:$I$32,9,FALSE))-test!$B$35,0)</f>
        <v>0</v>
      </c>
      <c r="O100">
        <f>IF(AND(SUM(VLOOKUP($A100,test!$A$3:$F$32,2,FALSE),VLOOKUP(O$1,test!$A$3:$F$32,2,FALSE))&lt;test!$K$16,$A100&lt;&gt;O$1,Recharged_Feasible_mat!P69=1),(VLOOKUP(O$1,test!$A$3:$I$32,8,FALSE))-(VLOOKUP($A100,test!$A$3:$I$32,9,FALSE))-test!$B$35,0)</f>
        <v>40</v>
      </c>
      <c r="P100">
        <f>IF(AND(SUM(VLOOKUP($A100,test!$A$3:$F$32,2,FALSE),VLOOKUP(P$1,test!$A$3:$F$32,2,FALSE))&lt;test!$K$16,$A100&lt;&gt;P$1,Recharged_Feasible_mat!Q69=1),(VLOOKUP(P$1,test!$A$3:$I$32,8,FALSE))-(VLOOKUP($A100,test!$A$3:$I$32,9,FALSE))-test!$B$35,0)</f>
        <v>0</v>
      </c>
      <c r="Q100">
        <f>IF(AND(SUM(VLOOKUP($A100,test!$A$3:$F$32,2,FALSE),VLOOKUP(Q$1,test!$A$3:$F$32,2,FALSE))&lt;test!$K$16,$A100&lt;&gt;Q$1,Recharged_Feasible_mat!R69=1),(VLOOKUP(Q$1,test!$A$3:$I$32,8,FALSE))-(VLOOKUP($A100,test!$A$3:$I$32,9,FALSE))-test!$B$35,0)</f>
        <v>0</v>
      </c>
      <c r="R100">
        <f>IF(AND(SUM(VLOOKUP($A100,test!$A$3:$F$32,2,FALSE),VLOOKUP(R$1,test!$A$3:$F$32,2,FALSE))&lt;test!$K$16,$A100&lt;&gt;R$1,Recharged_Feasible_mat!S69=1),(VLOOKUP(R$1,test!$A$3:$I$32,8,FALSE))-(VLOOKUP($A100,test!$A$3:$I$32,9,FALSE))-test!$B$35,0)</f>
        <v>0</v>
      </c>
      <c r="S100">
        <f>IF(AND(SUM(VLOOKUP($A100,test!$A$3:$F$32,2,FALSE),VLOOKUP(S$1,test!$A$3:$F$32,2,FALSE))&lt;test!$K$16,$A100&lt;&gt;S$1,Recharged_Feasible_mat!T69=1),(VLOOKUP(S$1,test!$A$3:$I$32,8,FALSE))-(VLOOKUP($A100,test!$A$3:$I$32,9,FALSE))-test!$B$35,0)</f>
        <v>0</v>
      </c>
      <c r="T100">
        <f>IF(AND(SUM(VLOOKUP($A100,test!$A$3:$F$32,2,FALSE),VLOOKUP(T$1,test!$A$3:$F$32,2,FALSE))&lt;test!$K$16,$A100&lt;&gt;T$1,Recharged_Feasible_mat!U69=1),(VLOOKUP(T$1,test!$A$3:$I$32,8,FALSE))-(VLOOKUP($A100,test!$A$3:$I$32,9,FALSE))-test!$B$35,0)</f>
        <v>0</v>
      </c>
      <c r="U100">
        <f>IF(AND(SUM(VLOOKUP($A100,test!$A$3:$F$32,2,FALSE),VLOOKUP(U$1,test!$A$3:$F$32,2,FALSE))&lt;test!$K$16,$A100&lt;&gt;U$1,Recharged_Feasible_mat!V69=1),(VLOOKUP(U$1,test!$A$3:$I$32,8,FALSE))-(VLOOKUP($A100,test!$A$3:$I$32,9,FALSE))-test!$B$35,0)</f>
        <v>0</v>
      </c>
      <c r="V100">
        <f>IF(AND(SUM(VLOOKUP($A100,test!$A$3:$F$32,2,FALSE),VLOOKUP(V$1,test!$A$3:$F$32,2,FALSE))&lt;test!$K$16,$A100&lt;&gt;V$1,Recharged_Feasible_mat!W69=1),(VLOOKUP(V$1,test!$A$3:$I$32,8,FALSE))-(VLOOKUP($A100,test!$A$3:$I$32,9,FALSE))-test!$B$35,0)</f>
        <v>0</v>
      </c>
      <c r="W100">
        <f>IF(AND(SUM(VLOOKUP($A100,test!$A$3:$F$32,2,FALSE),VLOOKUP(W$1,test!$A$3:$F$32,2,FALSE))&lt;test!$K$16,$A100&lt;&gt;W$1,Recharged_Feasible_mat!X69=1),(VLOOKUP(W$1,test!$A$3:$I$32,8,FALSE))-(VLOOKUP($A100,test!$A$3:$I$32,9,FALSE))-test!$B$35,0)</f>
        <v>0</v>
      </c>
      <c r="X100">
        <f>IF(AND(SUM(VLOOKUP($A100,test!$A$3:$F$32,2,FALSE),VLOOKUP(X$1,test!$A$3:$F$32,2,FALSE))&lt;test!$K$16,$A100&lt;&gt;X$1,Recharged_Feasible_mat!Y69=1),(VLOOKUP(X$1,test!$A$3:$I$32,8,FALSE))-(VLOOKUP($A100,test!$A$3:$I$32,9,FALSE))-test!$B$35,0)</f>
        <v>0</v>
      </c>
      <c r="Y100">
        <f>IF(AND(SUM(VLOOKUP($A100,test!$A$3:$F$32,2,FALSE),VLOOKUP(Y$1,test!$A$3:$F$32,2,FALSE))&lt;test!$K$16,$A100&lt;&gt;Y$1,Recharged_Feasible_mat!Z69=1),(VLOOKUP(Y$1,test!$A$3:$I$32,8,FALSE))-(VLOOKUP($A100,test!$A$3:$I$32,9,FALSE))-test!$B$35,0)</f>
        <v>0</v>
      </c>
      <c r="Z100">
        <f>IF(AND(SUM(VLOOKUP($A100,test!$A$3:$F$32,2,FALSE),VLOOKUP(Z$1,test!$A$3:$F$32,2,FALSE))&lt;test!$K$16,$A100&lt;&gt;Z$1,Recharged_Feasible_mat!AA69=1),(VLOOKUP(Z$1,test!$A$3:$I$32,8,FALSE))-(VLOOKUP($A100,test!$A$3:$I$32,9,FALSE))-test!$B$35,0)</f>
        <v>0</v>
      </c>
      <c r="AA100">
        <f>IF(AND(SUM(VLOOKUP($A100,test!$A$3:$F$32,2,FALSE),VLOOKUP(AA$1,test!$A$3:$F$32,2,FALSE))&lt;test!$K$16,$A100&lt;&gt;AA$1,Recharged_Feasible_mat!AB69=1),(VLOOKUP(AA$1,test!$A$3:$I$32,8,FALSE))-(VLOOKUP($A100,test!$A$3:$I$32,9,FALSE))-test!$B$35,0)</f>
        <v>0</v>
      </c>
      <c r="AB100">
        <f>IF(AND(SUM(VLOOKUP($A100,test!$A$3:$F$32,2,FALSE),VLOOKUP(AB$1,test!$A$3:$F$32,2,FALSE))&lt;test!$K$16,$A100&lt;&gt;AB$1,Recharged_Feasible_mat!AC69=1),(VLOOKUP(AB$1,test!$A$3:$I$32,8,FALSE))-(VLOOKUP($A100,test!$A$3:$I$32,9,FALSE))-test!$B$35,0)</f>
        <v>0</v>
      </c>
      <c r="AC100">
        <f>IF(AND(SUM(VLOOKUP($A100,test!$A$3:$F$32,2,FALSE),VLOOKUP(AC$1,test!$A$3:$F$32,2,FALSE))&lt;test!$K$16,$A100&lt;&gt;AC$1,Recharged_Feasible_mat!AD69=1),(VLOOKUP(AC$1,test!$A$3:$I$32,8,FALSE))-(VLOOKUP($A100,test!$A$3:$I$32,9,FALSE))-test!$B$35,0)</f>
        <v>0</v>
      </c>
      <c r="AD100">
        <f>IF(AND(SUM(VLOOKUP($A100,test!$A$3:$F$32,2,FALSE),VLOOKUP(AD$1,test!$A$3:$F$32,2,FALSE))&lt;test!$K$16,$A100&lt;&gt;AD$1,Recharged_Feasible_mat!AE69=1),(VLOOKUP(AD$1,test!$A$3:$I$32,8,FALSE))-(VLOOKUP($A100,test!$A$3:$I$32,9,FALSE))-test!$B$35,0)</f>
        <v>0</v>
      </c>
      <c r="AE100">
        <f>IF(AND(SUM(VLOOKUP($A100,test!$A$3:$F$32,2,FALSE),VLOOKUP(AE$1,test!$A$3:$F$32,2,FALSE))&lt;test!$K$16,$A100&lt;&gt;AE$1,Recharged_Feasible_mat!AF69=1),(VLOOKUP(AE$1,test!$A$3:$I$32,8,FALSE))-(VLOOKUP($A100,test!$A$3:$I$32,9,FALSE))-test!$B$35,0)</f>
        <v>0</v>
      </c>
      <c r="AF100">
        <f>IF(AND(SUM(VLOOKUP($A100,test!$A$3:$F$32,2,FALSE),VLOOKUP(AF$1,test!$A$3:$F$32,2,FALSE))&lt;test!$K$16,$A100&lt;&gt;AF$1,Recharged_Feasible_mat!AG69=1),(VLOOKUP(AF$1,test!$A$3:$I$32,8,FALSE))-(VLOOKUP($A100,test!$A$3:$I$32,9,FALSE))-test!$B$35,0)</f>
        <v>0</v>
      </c>
    </row>
    <row r="101" spans="1:32" x14ac:dyDescent="0.25">
      <c r="A101" t="s">
        <v>13</v>
      </c>
      <c r="B101">
        <v>0</v>
      </c>
      <c r="C101">
        <f>IF(AND(SUM(VLOOKUP($A101,test!$A$3:$F$32,2,FALSE),VLOOKUP(C$1,test!$A$3:$F$32,2,FALSE))&lt;test!$K$16,$A101&lt;&gt;C$1,Recharged_Feasible_mat!D70=1),(VLOOKUP(C$1,test!$A$3:$I$32,8,FALSE))-(VLOOKUP($A101,test!$A$3:$I$32,9,FALSE))-test!$B$35,0)</f>
        <v>0</v>
      </c>
      <c r="D101">
        <f>IF(AND(SUM(VLOOKUP($A101,test!$A$3:$F$32,2,FALSE),VLOOKUP(D$1,test!$A$3:$F$32,2,FALSE))&lt;test!$K$16,$A101&lt;&gt;D$1,Recharged_Feasible_mat!E70=1),(VLOOKUP(D$1,test!$A$3:$I$32,8,FALSE))-(VLOOKUP($A101,test!$A$3:$I$32,9,FALSE))-test!$B$35,0)</f>
        <v>0</v>
      </c>
      <c r="E101">
        <f>IF(AND(SUM(VLOOKUP($A101,test!$A$3:$F$32,2,FALSE),VLOOKUP(E$1,test!$A$3:$F$32,2,FALSE))&lt;test!$K$16,$A101&lt;&gt;E$1,Recharged_Feasible_mat!F70=1),(VLOOKUP(E$1,test!$A$3:$I$32,8,FALSE))-(VLOOKUP($A101,test!$A$3:$I$32,9,FALSE))-test!$B$35,0)</f>
        <v>0</v>
      </c>
      <c r="F101">
        <f>IF(AND(SUM(VLOOKUP($A101,test!$A$3:$F$32,2,FALSE),VLOOKUP(F$1,test!$A$3:$F$32,2,FALSE))&lt;test!$K$16,$A101&lt;&gt;F$1,Recharged_Feasible_mat!G70=1),(VLOOKUP(F$1,test!$A$3:$I$32,8,FALSE))-(VLOOKUP($A101,test!$A$3:$I$32,9,FALSE))-test!$B$35,0)</f>
        <v>0</v>
      </c>
      <c r="G101">
        <f>IF(AND(SUM(VLOOKUP($A101,test!$A$3:$F$32,2,FALSE),VLOOKUP(G$1,test!$A$3:$F$32,2,FALSE))&lt;test!$K$16,$A101&lt;&gt;G$1,Recharged_Feasible_mat!H70=1),(VLOOKUP(G$1,test!$A$3:$I$32,8,FALSE))-(VLOOKUP($A101,test!$A$3:$I$32,9,FALSE))-test!$B$35,0)</f>
        <v>0</v>
      </c>
      <c r="H101">
        <f>IF(AND(SUM(VLOOKUP($A101,test!$A$3:$F$32,2,FALSE),VLOOKUP(H$1,test!$A$3:$F$32,2,FALSE))&lt;test!$K$16,$A101&lt;&gt;H$1,Recharged_Feasible_mat!I70=1),(VLOOKUP(H$1,test!$A$3:$I$32,8,FALSE))-(VLOOKUP($A101,test!$A$3:$I$32,9,FALSE))-test!$B$35,0)</f>
        <v>0</v>
      </c>
      <c r="I101">
        <f>IF(AND(SUM(VLOOKUP($A101,test!$A$3:$F$32,2,FALSE),VLOOKUP(I$1,test!$A$3:$F$32,2,FALSE))&lt;test!$K$16,$A101&lt;&gt;I$1,Recharged_Feasible_mat!J70=1),(VLOOKUP(I$1,test!$A$3:$I$32,8,FALSE))-(VLOOKUP($A101,test!$A$3:$I$32,9,FALSE))-test!$B$35,0)</f>
        <v>0</v>
      </c>
      <c r="J101">
        <f>IF(AND(SUM(VLOOKUP($A101,test!$A$3:$F$32,2,FALSE),VLOOKUP(J$1,test!$A$3:$F$32,2,FALSE))&lt;test!$K$16,$A101&lt;&gt;J$1,Recharged_Feasible_mat!K70=1),(VLOOKUP(J$1,test!$A$3:$I$32,8,FALSE))-(VLOOKUP($A101,test!$A$3:$I$32,9,FALSE))-test!$B$35,0)</f>
        <v>0</v>
      </c>
      <c r="K101">
        <f>IF(AND(SUM(VLOOKUP($A101,test!$A$3:$F$32,2,FALSE),VLOOKUP(K$1,test!$A$3:$F$32,2,FALSE))&lt;test!$K$16,$A101&lt;&gt;K$1,Recharged_Feasible_mat!L70=1),(VLOOKUP(K$1,test!$A$3:$I$32,8,FALSE))-(VLOOKUP($A101,test!$A$3:$I$32,9,FALSE))-test!$B$35,0)</f>
        <v>0</v>
      </c>
      <c r="L101">
        <f>IF(AND(SUM(VLOOKUP($A101,test!$A$3:$F$32,2,FALSE),VLOOKUP(L$1,test!$A$3:$F$32,2,FALSE))&lt;test!$K$16,$A101&lt;&gt;L$1,Recharged_Feasible_mat!M70=1),(VLOOKUP(L$1,test!$A$3:$I$32,8,FALSE))-(VLOOKUP($A101,test!$A$3:$I$32,9,FALSE))-test!$B$35,0)</f>
        <v>0</v>
      </c>
      <c r="M101">
        <f>IF(AND(SUM(VLOOKUP($A101,test!$A$3:$F$32,2,FALSE),VLOOKUP(M$1,test!$A$3:$F$32,2,FALSE))&lt;test!$K$16,$A101&lt;&gt;M$1,Recharged_Feasible_mat!N70=1),(VLOOKUP(M$1,test!$A$3:$I$32,8,FALSE))-(VLOOKUP($A101,test!$A$3:$I$32,9,FALSE))-test!$B$35,0)</f>
        <v>0</v>
      </c>
      <c r="N101">
        <f>IF(AND(SUM(VLOOKUP($A101,test!$A$3:$F$32,2,FALSE),VLOOKUP(N$1,test!$A$3:$F$32,2,FALSE))&lt;test!$K$16,$A101&lt;&gt;N$1,Recharged_Feasible_mat!O70=1),(VLOOKUP(N$1,test!$A$3:$I$32,8,FALSE))-(VLOOKUP($A101,test!$A$3:$I$32,9,FALSE))-test!$B$35,0)</f>
        <v>0</v>
      </c>
      <c r="O101">
        <f>IF(AND(SUM(VLOOKUP($A101,test!$A$3:$F$32,2,FALSE),VLOOKUP(O$1,test!$A$3:$F$32,2,FALSE))&lt;test!$K$16,$A101&lt;&gt;O$1,Recharged_Feasible_mat!P70=1),(VLOOKUP(O$1,test!$A$3:$I$32,8,FALSE))-(VLOOKUP($A101,test!$A$3:$I$32,9,FALSE))-test!$B$35,0)</f>
        <v>0</v>
      </c>
      <c r="P101">
        <f>IF(AND(SUM(VLOOKUP($A101,test!$A$3:$F$32,2,FALSE),VLOOKUP(P$1,test!$A$3:$F$32,2,FALSE))&lt;test!$K$16,$A101&lt;&gt;P$1,Recharged_Feasible_mat!Q70=1),(VLOOKUP(P$1,test!$A$3:$I$32,8,FALSE))-(VLOOKUP($A101,test!$A$3:$I$32,9,FALSE))-test!$B$35,0)</f>
        <v>0</v>
      </c>
      <c r="Q101">
        <f>IF(AND(SUM(VLOOKUP($A101,test!$A$3:$F$32,2,FALSE),VLOOKUP(Q$1,test!$A$3:$F$32,2,FALSE))&lt;test!$K$16,$A101&lt;&gt;Q$1,Recharged_Feasible_mat!R70=1),(VLOOKUP(Q$1,test!$A$3:$I$32,8,FALSE))-(VLOOKUP($A101,test!$A$3:$I$32,9,FALSE))-test!$B$35,0)</f>
        <v>0</v>
      </c>
      <c r="R101">
        <f>IF(AND(SUM(VLOOKUP($A101,test!$A$3:$F$32,2,FALSE),VLOOKUP(R$1,test!$A$3:$F$32,2,FALSE))&lt;test!$K$16,$A101&lt;&gt;R$1,Recharged_Feasible_mat!S70=1),(VLOOKUP(R$1,test!$A$3:$I$32,8,FALSE))-(VLOOKUP($A101,test!$A$3:$I$32,9,FALSE))-test!$B$35,0)</f>
        <v>0</v>
      </c>
      <c r="S101">
        <f>IF(AND(SUM(VLOOKUP($A101,test!$A$3:$F$32,2,FALSE),VLOOKUP(S$1,test!$A$3:$F$32,2,FALSE))&lt;test!$K$16,$A101&lt;&gt;S$1,Recharged_Feasible_mat!T70=1),(VLOOKUP(S$1,test!$A$3:$I$32,8,FALSE))-(VLOOKUP($A101,test!$A$3:$I$32,9,FALSE))-test!$B$35,0)</f>
        <v>0</v>
      </c>
      <c r="T101">
        <f>IF(AND(SUM(VLOOKUP($A101,test!$A$3:$F$32,2,FALSE),VLOOKUP(T$1,test!$A$3:$F$32,2,FALSE))&lt;test!$K$16,$A101&lt;&gt;T$1,Recharged_Feasible_mat!U70=1),(VLOOKUP(T$1,test!$A$3:$I$32,8,FALSE))-(VLOOKUP($A101,test!$A$3:$I$32,9,FALSE))-test!$B$35,0)</f>
        <v>0</v>
      </c>
      <c r="U101">
        <f>IF(AND(SUM(VLOOKUP($A101,test!$A$3:$F$32,2,FALSE),VLOOKUP(U$1,test!$A$3:$F$32,2,FALSE))&lt;test!$K$16,$A101&lt;&gt;U$1,Recharged_Feasible_mat!V70=1),(VLOOKUP(U$1,test!$A$3:$I$32,8,FALSE))-(VLOOKUP($A101,test!$A$3:$I$32,9,FALSE))-test!$B$35,0)</f>
        <v>0</v>
      </c>
      <c r="V101">
        <f>IF(AND(SUM(VLOOKUP($A101,test!$A$3:$F$32,2,FALSE),VLOOKUP(V$1,test!$A$3:$F$32,2,FALSE))&lt;test!$K$16,$A101&lt;&gt;V$1,Recharged_Feasible_mat!W70=1),(VLOOKUP(V$1,test!$A$3:$I$32,8,FALSE))-(VLOOKUP($A101,test!$A$3:$I$32,9,FALSE))-test!$B$35,0)</f>
        <v>0</v>
      </c>
      <c r="W101">
        <f>IF(AND(SUM(VLOOKUP($A101,test!$A$3:$F$32,2,FALSE),VLOOKUP(W$1,test!$A$3:$F$32,2,FALSE))&lt;test!$K$16,$A101&lt;&gt;W$1,Recharged_Feasible_mat!X70=1),(VLOOKUP(W$1,test!$A$3:$I$32,8,FALSE))-(VLOOKUP($A101,test!$A$3:$I$32,9,FALSE))-test!$B$35,0)</f>
        <v>0</v>
      </c>
      <c r="X101">
        <f>IF(AND(SUM(VLOOKUP($A101,test!$A$3:$F$32,2,FALSE),VLOOKUP(X$1,test!$A$3:$F$32,2,FALSE))&lt;test!$K$16,$A101&lt;&gt;X$1,Recharged_Feasible_mat!Y70=1),(VLOOKUP(X$1,test!$A$3:$I$32,8,FALSE))-(VLOOKUP($A101,test!$A$3:$I$32,9,FALSE))-test!$B$35,0)</f>
        <v>0</v>
      </c>
      <c r="Y101">
        <f>IF(AND(SUM(VLOOKUP($A101,test!$A$3:$F$32,2,FALSE),VLOOKUP(Y$1,test!$A$3:$F$32,2,FALSE))&lt;test!$K$16,$A101&lt;&gt;Y$1,Recharged_Feasible_mat!Z70=1),(VLOOKUP(Y$1,test!$A$3:$I$32,8,FALSE))-(VLOOKUP($A101,test!$A$3:$I$32,9,FALSE))-test!$B$35,0)</f>
        <v>0</v>
      </c>
      <c r="Z101">
        <f>IF(AND(SUM(VLOOKUP($A101,test!$A$3:$F$32,2,FALSE),VLOOKUP(Z$1,test!$A$3:$F$32,2,FALSE))&lt;test!$K$16,$A101&lt;&gt;Z$1,Recharged_Feasible_mat!AA70=1),(VLOOKUP(Z$1,test!$A$3:$I$32,8,FALSE))-(VLOOKUP($A101,test!$A$3:$I$32,9,FALSE))-test!$B$35,0)</f>
        <v>0</v>
      </c>
      <c r="AA101">
        <f>IF(AND(SUM(VLOOKUP($A101,test!$A$3:$F$32,2,FALSE),VLOOKUP(AA$1,test!$A$3:$F$32,2,FALSE))&lt;test!$K$16,$A101&lt;&gt;AA$1,Recharged_Feasible_mat!AB70=1),(VLOOKUP(AA$1,test!$A$3:$I$32,8,FALSE))-(VLOOKUP($A101,test!$A$3:$I$32,9,FALSE))-test!$B$35,0)</f>
        <v>0</v>
      </c>
      <c r="AB101">
        <f>IF(AND(SUM(VLOOKUP($A101,test!$A$3:$F$32,2,FALSE),VLOOKUP(AB$1,test!$A$3:$F$32,2,FALSE))&lt;test!$K$16,$A101&lt;&gt;AB$1,Recharged_Feasible_mat!AC70=1),(VLOOKUP(AB$1,test!$A$3:$I$32,8,FALSE))-(VLOOKUP($A101,test!$A$3:$I$32,9,FALSE))-test!$B$35,0)</f>
        <v>0</v>
      </c>
      <c r="AC101">
        <f>IF(AND(SUM(VLOOKUP($A101,test!$A$3:$F$32,2,FALSE),VLOOKUP(AC$1,test!$A$3:$F$32,2,FALSE))&lt;test!$K$16,$A101&lt;&gt;AC$1,Recharged_Feasible_mat!AD70=1),(VLOOKUP(AC$1,test!$A$3:$I$32,8,FALSE))-(VLOOKUP($A101,test!$A$3:$I$32,9,FALSE))-test!$B$35,0)</f>
        <v>0</v>
      </c>
      <c r="AD101">
        <f>IF(AND(SUM(VLOOKUP($A101,test!$A$3:$F$32,2,FALSE),VLOOKUP(AD$1,test!$A$3:$F$32,2,FALSE))&lt;test!$K$16,$A101&lt;&gt;AD$1,Recharged_Feasible_mat!AE70=1),(VLOOKUP(AD$1,test!$A$3:$I$32,8,FALSE))-(VLOOKUP($A101,test!$A$3:$I$32,9,FALSE))-test!$B$35,0)</f>
        <v>0</v>
      </c>
      <c r="AE101">
        <f>IF(AND(SUM(VLOOKUP($A101,test!$A$3:$F$32,2,FALSE),VLOOKUP(AE$1,test!$A$3:$F$32,2,FALSE))&lt;test!$K$16,$A101&lt;&gt;AE$1,Recharged_Feasible_mat!AF70=1),(VLOOKUP(AE$1,test!$A$3:$I$32,8,FALSE))-(VLOOKUP($A101,test!$A$3:$I$32,9,FALSE))-test!$B$35,0)</f>
        <v>0</v>
      </c>
      <c r="AF101">
        <f>IF(AND(SUM(VLOOKUP($A101,test!$A$3:$F$32,2,FALSE),VLOOKUP(AF$1,test!$A$3:$F$32,2,FALSE))&lt;test!$K$16,$A101&lt;&gt;AF$1,Recharged_Feasible_mat!AG70=1),(VLOOKUP(AF$1,test!$A$3:$I$32,8,FALSE))-(VLOOKUP($A101,test!$A$3:$I$32,9,FALSE))-test!$B$35,0)</f>
        <v>0</v>
      </c>
    </row>
    <row r="102" spans="1:32" x14ac:dyDescent="0.25">
      <c r="A102" t="s">
        <v>14</v>
      </c>
      <c r="B102">
        <v>0</v>
      </c>
      <c r="C102">
        <f>IF(AND(SUM(VLOOKUP($A102,test!$A$3:$F$32,2,FALSE),VLOOKUP(C$1,test!$A$3:$F$32,2,FALSE))&lt;test!$K$16,$A102&lt;&gt;C$1,Recharged_Feasible_mat!D71=1),(VLOOKUP(C$1,test!$A$3:$I$32,8,FALSE))-(VLOOKUP($A102,test!$A$3:$I$32,9,FALSE))-test!$B$35,0)</f>
        <v>0</v>
      </c>
      <c r="D102">
        <f>IF(AND(SUM(VLOOKUP($A102,test!$A$3:$F$32,2,FALSE),VLOOKUP(D$1,test!$A$3:$F$32,2,FALSE))&lt;test!$K$16,$A102&lt;&gt;D$1,Recharged_Feasible_mat!E71=1),(VLOOKUP(D$1,test!$A$3:$I$32,8,FALSE))-(VLOOKUP($A102,test!$A$3:$I$32,9,FALSE))-test!$B$35,0)</f>
        <v>0</v>
      </c>
      <c r="E102">
        <f>IF(AND(SUM(VLOOKUP($A102,test!$A$3:$F$32,2,FALSE),VLOOKUP(E$1,test!$A$3:$F$32,2,FALSE))&lt;test!$K$16,$A102&lt;&gt;E$1,Recharged_Feasible_mat!F71=1),(VLOOKUP(E$1,test!$A$3:$I$32,8,FALSE))-(VLOOKUP($A102,test!$A$3:$I$32,9,FALSE))-test!$B$35,0)</f>
        <v>0</v>
      </c>
      <c r="F102">
        <f>IF(AND(SUM(VLOOKUP($A102,test!$A$3:$F$32,2,FALSE),VLOOKUP(F$1,test!$A$3:$F$32,2,FALSE))&lt;test!$K$16,$A102&lt;&gt;F$1,Recharged_Feasible_mat!G71=1),(VLOOKUP(F$1,test!$A$3:$I$32,8,FALSE))-(VLOOKUP($A102,test!$A$3:$I$32,9,FALSE))-test!$B$35,0)</f>
        <v>0</v>
      </c>
      <c r="G102">
        <f>IF(AND(SUM(VLOOKUP($A102,test!$A$3:$F$32,2,FALSE),VLOOKUP(G$1,test!$A$3:$F$32,2,FALSE))&lt;test!$K$16,$A102&lt;&gt;G$1,Recharged_Feasible_mat!H71=1),(VLOOKUP(G$1,test!$A$3:$I$32,8,FALSE))-(VLOOKUP($A102,test!$A$3:$I$32,9,FALSE))-test!$B$35,0)</f>
        <v>0</v>
      </c>
      <c r="H102">
        <f>IF(AND(SUM(VLOOKUP($A102,test!$A$3:$F$32,2,FALSE),VLOOKUP(H$1,test!$A$3:$F$32,2,FALSE))&lt;test!$K$16,$A102&lt;&gt;H$1,Recharged_Feasible_mat!I71=1),(VLOOKUP(H$1,test!$A$3:$I$32,8,FALSE))-(VLOOKUP($A102,test!$A$3:$I$32,9,FALSE))-test!$B$35,0)</f>
        <v>0</v>
      </c>
      <c r="I102">
        <f>IF(AND(SUM(VLOOKUP($A102,test!$A$3:$F$32,2,FALSE),VLOOKUP(I$1,test!$A$3:$F$32,2,FALSE))&lt;test!$K$16,$A102&lt;&gt;I$1,Recharged_Feasible_mat!J71=1),(VLOOKUP(I$1,test!$A$3:$I$32,8,FALSE))-(VLOOKUP($A102,test!$A$3:$I$32,9,FALSE))-test!$B$35,0)</f>
        <v>0</v>
      </c>
      <c r="J102">
        <f>IF(AND(SUM(VLOOKUP($A102,test!$A$3:$F$32,2,FALSE),VLOOKUP(J$1,test!$A$3:$F$32,2,FALSE))&lt;test!$K$16,$A102&lt;&gt;J$1,Recharged_Feasible_mat!K71=1),(VLOOKUP(J$1,test!$A$3:$I$32,8,FALSE))-(VLOOKUP($A102,test!$A$3:$I$32,9,FALSE))-test!$B$35,0)</f>
        <v>0</v>
      </c>
      <c r="K102">
        <f>IF(AND(SUM(VLOOKUP($A102,test!$A$3:$F$32,2,FALSE),VLOOKUP(K$1,test!$A$3:$F$32,2,FALSE))&lt;test!$K$16,$A102&lt;&gt;K$1,Recharged_Feasible_mat!L71=1),(VLOOKUP(K$1,test!$A$3:$I$32,8,FALSE))-(VLOOKUP($A102,test!$A$3:$I$32,9,FALSE))-test!$B$35,0)</f>
        <v>0</v>
      </c>
      <c r="L102">
        <f>IF(AND(SUM(VLOOKUP($A102,test!$A$3:$F$32,2,FALSE),VLOOKUP(L$1,test!$A$3:$F$32,2,FALSE))&lt;test!$K$16,$A102&lt;&gt;L$1,Recharged_Feasible_mat!M71=1),(VLOOKUP(L$1,test!$A$3:$I$32,8,FALSE))-(VLOOKUP($A102,test!$A$3:$I$32,9,FALSE))-test!$B$35,0)</f>
        <v>0</v>
      </c>
      <c r="M102">
        <f>IF(AND(SUM(VLOOKUP($A102,test!$A$3:$F$32,2,FALSE),VLOOKUP(M$1,test!$A$3:$F$32,2,FALSE))&lt;test!$K$16,$A102&lt;&gt;M$1,Recharged_Feasible_mat!N71=1),(VLOOKUP(M$1,test!$A$3:$I$32,8,FALSE))-(VLOOKUP($A102,test!$A$3:$I$32,9,FALSE))-test!$B$35,0)</f>
        <v>0</v>
      </c>
      <c r="N102">
        <f>IF(AND(SUM(VLOOKUP($A102,test!$A$3:$F$32,2,FALSE),VLOOKUP(N$1,test!$A$3:$F$32,2,FALSE))&lt;test!$K$16,$A102&lt;&gt;N$1,Recharged_Feasible_mat!O71=1),(VLOOKUP(N$1,test!$A$3:$I$32,8,FALSE))-(VLOOKUP($A102,test!$A$3:$I$32,9,FALSE))-test!$B$35,0)</f>
        <v>0</v>
      </c>
      <c r="O102">
        <f>IF(AND(SUM(VLOOKUP($A102,test!$A$3:$F$32,2,FALSE),VLOOKUP(O$1,test!$A$3:$F$32,2,FALSE))&lt;test!$K$16,$A102&lt;&gt;O$1,Recharged_Feasible_mat!P71=1),(VLOOKUP(O$1,test!$A$3:$I$32,8,FALSE))-(VLOOKUP($A102,test!$A$3:$I$32,9,FALSE))-test!$B$35,0)</f>
        <v>0</v>
      </c>
      <c r="P102">
        <f>IF(AND(SUM(VLOOKUP($A102,test!$A$3:$F$32,2,FALSE),VLOOKUP(P$1,test!$A$3:$F$32,2,FALSE))&lt;test!$K$16,$A102&lt;&gt;P$1,Recharged_Feasible_mat!Q71=1),(VLOOKUP(P$1,test!$A$3:$I$32,8,FALSE))-(VLOOKUP($A102,test!$A$3:$I$32,9,FALSE))-test!$B$35,0)</f>
        <v>0</v>
      </c>
      <c r="Q102">
        <f>IF(AND(SUM(VLOOKUP($A102,test!$A$3:$F$32,2,FALSE),VLOOKUP(Q$1,test!$A$3:$F$32,2,FALSE))&lt;test!$K$16,$A102&lt;&gt;Q$1,Recharged_Feasible_mat!R71=1),(VLOOKUP(Q$1,test!$A$3:$I$32,8,FALSE))-(VLOOKUP($A102,test!$A$3:$I$32,9,FALSE))-test!$B$35,0)</f>
        <v>0</v>
      </c>
      <c r="R102">
        <f>IF(AND(SUM(VLOOKUP($A102,test!$A$3:$F$32,2,FALSE),VLOOKUP(R$1,test!$A$3:$F$32,2,FALSE))&lt;test!$K$16,$A102&lt;&gt;R$1,Recharged_Feasible_mat!S71=1),(VLOOKUP(R$1,test!$A$3:$I$32,8,FALSE))-(VLOOKUP($A102,test!$A$3:$I$32,9,FALSE))-test!$B$35,0)</f>
        <v>0</v>
      </c>
      <c r="S102">
        <f>IF(AND(SUM(VLOOKUP($A102,test!$A$3:$F$32,2,FALSE),VLOOKUP(S$1,test!$A$3:$F$32,2,FALSE))&lt;test!$K$16,$A102&lt;&gt;S$1,Recharged_Feasible_mat!T71=1),(VLOOKUP(S$1,test!$A$3:$I$32,8,FALSE))-(VLOOKUP($A102,test!$A$3:$I$32,9,FALSE))-test!$B$35,0)</f>
        <v>0</v>
      </c>
      <c r="T102">
        <f>IF(AND(SUM(VLOOKUP($A102,test!$A$3:$F$32,2,FALSE),VLOOKUP(T$1,test!$A$3:$F$32,2,FALSE))&lt;test!$K$16,$A102&lt;&gt;T$1,Recharged_Feasible_mat!U71=1),(VLOOKUP(T$1,test!$A$3:$I$32,8,FALSE))-(VLOOKUP($A102,test!$A$3:$I$32,9,FALSE))-test!$B$35,0)</f>
        <v>0</v>
      </c>
      <c r="U102">
        <f>IF(AND(SUM(VLOOKUP($A102,test!$A$3:$F$32,2,FALSE),VLOOKUP(U$1,test!$A$3:$F$32,2,FALSE))&lt;test!$K$16,$A102&lt;&gt;U$1,Recharged_Feasible_mat!V71=1),(VLOOKUP(U$1,test!$A$3:$I$32,8,FALSE))-(VLOOKUP($A102,test!$A$3:$I$32,9,FALSE))-test!$B$35,0)</f>
        <v>0</v>
      </c>
      <c r="V102">
        <f>IF(AND(SUM(VLOOKUP($A102,test!$A$3:$F$32,2,FALSE),VLOOKUP(V$1,test!$A$3:$F$32,2,FALSE))&lt;test!$K$16,$A102&lt;&gt;V$1,Recharged_Feasible_mat!W71=1),(VLOOKUP(V$1,test!$A$3:$I$32,8,FALSE))-(VLOOKUP($A102,test!$A$3:$I$32,9,FALSE))-test!$B$35,0)</f>
        <v>0</v>
      </c>
      <c r="W102">
        <f>IF(AND(SUM(VLOOKUP($A102,test!$A$3:$F$32,2,FALSE),VLOOKUP(W$1,test!$A$3:$F$32,2,FALSE))&lt;test!$K$16,$A102&lt;&gt;W$1,Recharged_Feasible_mat!X71=1),(VLOOKUP(W$1,test!$A$3:$I$32,8,FALSE))-(VLOOKUP($A102,test!$A$3:$I$32,9,FALSE))-test!$B$35,0)</f>
        <v>0</v>
      </c>
      <c r="X102">
        <f>IF(AND(SUM(VLOOKUP($A102,test!$A$3:$F$32,2,FALSE),VLOOKUP(X$1,test!$A$3:$F$32,2,FALSE))&lt;test!$K$16,$A102&lt;&gt;X$1,Recharged_Feasible_mat!Y71=1),(VLOOKUP(X$1,test!$A$3:$I$32,8,FALSE))-(VLOOKUP($A102,test!$A$3:$I$32,9,FALSE))-test!$B$35,0)</f>
        <v>0</v>
      </c>
      <c r="Y102">
        <f>IF(AND(SUM(VLOOKUP($A102,test!$A$3:$F$32,2,FALSE),VLOOKUP(Y$1,test!$A$3:$F$32,2,FALSE))&lt;test!$K$16,$A102&lt;&gt;Y$1,Recharged_Feasible_mat!Z71=1),(VLOOKUP(Y$1,test!$A$3:$I$32,8,FALSE))-(VLOOKUP($A102,test!$A$3:$I$32,9,FALSE))-test!$B$35,0)</f>
        <v>0</v>
      </c>
      <c r="Z102">
        <f>IF(AND(SUM(VLOOKUP($A102,test!$A$3:$F$32,2,FALSE),VLOOKUP(Z$1,test!$A$3:$F$32,2,FALSE))&lt;test!$K$16,$A102&lt;&gt;Z$1,Recharged_Feasible_mat!AA71=1),(VLOOKUP(Z$1,test!$A$3:$I$32,8,FALSE))-(VLOOKUP($A102,test!$A$3:$I$32,9,FALSE))-test!$B$35,0)</f>
        <v>0</v>
      </c>
      <c r="AA102">
        <f>IF(AND(SUM(VLOOKUP($A102,test!$A$3:$F$32,2,FALSE),VLOOKUP(AA$1,test!$A$3:$F$32,2,FALSE))&lt;test!$K$16,$A102&lt;&gt;AA$1,Recharged_Feasible_mat!AB71=1),(VLOOKUP(AA$1,test!$A$3:$I$32,8,FALSE))-(VLOOKUP($A102,test!$A$3:$I$32,9,FALSE))-test!$B$35,0)</f>
        <v>0</v>
      </c>
      <c r="AB102">
        <f>IF(AND(SUM(VLOOKUP($A102,test!$A$3:$F$32,2,FALSE),VLOOKUP(AB$1,test!$A$3:$F$32,2,FALSE))&lt;test!$K$16,$A102&lt;&gt;AB$1,Recharged_Feasible_mat!AC71=1),(VLOOKUP(AB$1,test!$A$3:$I$32,8,FALSE))-(VLOOKUP($A102,test!$A$3:$I$32,9,FALSE))-test!$B$35,0)</f>
        <v>0</v>
      </c>
      <c r="AC102">
        <f>IF(AND(SUM(VLOOKUP($A102,test!$A$3:$F$32,2,FALSE),VLOOKUP(AC$1,test!$A$3:$F$32,2,FALSE))&lt;test!$K$16,$A102&lt;&gt;AC$1,Recharged_Feasible_mat!AD71=1),(VLOOKUP(AC$1,test!$A$3:$I$32,8,FALSE))-(VLOOKUP($A102,test!$A$3:$I$32,9,FALSE))-test!$B$35,0)</f>
        <v>0</v>
      </c>
      <c r="AD102">
        <f>IF(AND(SUM(VLOOKUP($A102,test!$A$3:$F$32,2,FALSE),VLOOKUP(AD$1,test!$A$3:$F$32,2,FALSE))&lt;test!$K$16,$A102&lt;&gt;AD$1,Recharged_Feasible_mat!AE71=1),(VLOOKUP(AD$1,test!$A$3:$I$32,8,FALSE))-(VLOOKUP($A102,test!$A$3:$I$32,9,FALSE))-test!$B$35,0)</f>
        <v>0</v>
      </c>
      <c r="AE102">
        <f>IF(AND(SUM(VLOOKUP($A102,test!$A$3:$F$32,2,FALSE),VLOOKUP(AE$1,test!$A$3:$F$32,2,FALSE))&lt;test!$K$16,$A102&lt;&gt;AE$1,Recharged_Feasible_mat!AF71=1),(VLOOKUP(AE$1,test!$A$3:$I$32,8,FALSE))-(VLOOKUP($A102,test!$A$3:$I$32,9,FALSE))-test!$B$35,0)</f>
        <v>0</v>
      </c>
      <c r="AF102">
        <f>IF(AND(SUM(VLOOKUP($A102,test!$A$3:$F$32,2,FALSE),VLOOKUP(AF$1,test!$A$3:$F$32,2,FALSE))&lt;test!$K$16,$A102&lt;&gt;AF$1,Recharged_Feasible_mat!AG71=1),(VLOOKUP(AF$1,test!$A$3:$I$32,8,FALSE))-(VLOOKUP($A102,test!$A$3:$I$32,9,FALSE))-test!$B$35,0)</f>
        <v>0</v>
      </c>
    </row>
    <row r="103" spans="1:32" x14ac:dyDescent="0.25">
      <c r="A103" t="s">
        <v>15</v>
      </c>
      <c r="B103">
        <v>0</v>
      </c>
      <c r="C103">
        <f>IF(AND(SUM(VLOOKUP($A103,test!$A$3:$F$32,2,FALSE),VLOOKUP(C$1,test!$A$3:$F$32,2,FALSE))&lt;test!$K$16,$A103&lt;&gt;C$1,Recharged_Feasible_mat!D72=1),(VLOOKUP(C$1,test!$A$3:$I$32,8,FALSE))-(VLOOKUP($A103,test!$A$3:$I$32,9,FALSE))-test!$B$35,0)</f>
        <v>0</v>
      </c>
      <c r="D103">
        <f>IF(AND(SUM(VLOOKUP($A103,test!$A$3:$F$32,2,FALSE),VLOOKUP(D$1,test!$A$3:$F$32,2,FALSE))&lt;test!$K$16,$A103&lt;&gt;D$1,Recharged_Feasible_mat!E72=1),(VLOOKUP(D$1,test!$A$3:$I$32,8,FALSE))-(VLOOKUP($A103,test!$A$3:$I$32,9,FALSE))-test!$B$35,0)</f>
        <v>0</v>
      </c>
      <c r="E103">
        <f>IF(AND(SUM(VLOOKUP($A103,test!$A$3:$F$32,2,FALSE),VLOOKUP(E$1,test!$A$3:$F$32,2,FALSE))&lt;test!$K$16,$A103&lt;&gt;E$1,Recharged_Feasible_mat!F72=1),(VLOOKUP(E$1,test!$A$3:$I$32,8,FALSE))-(VLOOKUP($A103,test!$A$3:$I$32,9,FALSE))-test!$B$35,0)</f>
        <v>0</v>
      </c>
      <c r="F103">
        <f>IF(AND(SUM(VLOOKUP($A103,test!$A$3:$F$32,2,FALSE),VLOOKUP(F$1,test!$A$3:$F$32,2,FALSE))&lt;test!$K$16,$A103&lt;&gt;F$1,Recharged_Feasible_mat!G72=1),(VLOOKUP(F$1,test!$A$3:$I$32,8,FALSE))-(VLOOKUP($A103,test!$A$3:$I$32,9,FALSE))-test!$B$35,0)</f>
        <v>0</v>
      </c>
      <c r="G103">
        <f>IF(AND(SUM(VLOOKUP($A103,test!$A$3:$F$32,2,FALSE),VLOOKUP(G$1,test!$A$3:$F$32,2,FALSE))&lt;test!$K$16,$A103&lt;&gt;G$1,Recharged_Feasible_mat!H72=1),(VLOOKUP(G$1,test!$A$3:$I$32,8,FALSE))-(VLOOKUP($A103,test!$A$3:$I$32,9,FALSE))-test!$B$35,0)</f>
        <v>0</v>
      </c>
      <c r="H103">
        <f>IF(AND(SUM(VLOOKUP($A103,test!$A$3:$F$32,2,FALSE),VLOOKUP(H$1,test!$A$3:$F$32,2,FALSE))&lt;test!$K$16,$A103&lt;&gt;H$1,Recharged_Feasible_mat!I72=1),(VLOOKUP(H$1,test!$A$3:$I$32,8,FALSE))-(VLOOKUP($A103,test!$A$3:$I$32,9,FALSE))-test!$B$35,0)</f>
        <v>0</v>
      </c>
      <c r="I103">
        <f>IF(AND(SUM(VLOOKUP($A103,test!$A$3:$F$32,2,FALSE),VLOOKUP(I$1,test!$A$3:$F$32,2,FALSE))&lt;test!$K$16,$A103&lt;&gt;I$1,Recharged_Feasible_mat!J72=1),(VLOOKUP(I$1,test!$A$3:$I$32,8,FALSE))-(VLOOKUP($A103,test!$A$3:$I$32,9,FALSE))-test!$B$35,0)</f>
        <v>0</v>
      </c>
      <c r="J103">
        <f>IF(AND(SUM(VLOOKUP($A103,test!$A$3:$F$32,2,FALSE),VLOOKUP(J$1,test!$A$3:$F$32,2,FALSE))&lt;test!$K$16,$A103&lt;&gt;J$1,Recharged_Feasible_mat!K72=1),(VLOOKUP(J$1,test!$A$3:$I$32,8,FALSE))-(VLOOKUP($A103,test!$A$3:$I$32,9,FALSE))-test!$B$35,0)</f>
        <v>0</v>
      </c>
      <c r="K103">
        <f>IF(AND(SUM(VLOOKUP($A103,test!$A$3:$F$32,2,FALSE),VLOOKUP(K$1,test!$A$3:$F$32,2,FALSE))&lt;test!$K$16,$A103&lt;&gt;K$1,Recharged_Feasible_mat!L72=1),(VLOOKUP(K$1,test!$A$3:$I$32,8,FALSE))-(VLOOKUP($A103,test!$A$3:$I$32,9,FALSE))-test!$B$35,0)</f>
        <v>0</v>
      </c>
      <c r="L103">
        <f>IF(AND(SUM(VLOOKUP($A103,test!$A$3:$F$32,2,FALSE),VLOOKUP(L$1,test!$A$3:$F$32,2,FALSE))&lt;test!$K$16,$A103&lt;&gt;L$1,Recharged_Feasible_mat!M72=1),(VLOOKUP(L$1,test!$A$3:$I$32,8,FALSE))-(VLOOKUP($A103,test!$A$3:$I$32,9,FALSE))-test!$B$35,0)</f>
        <v>0</v>
      </c>
      <c r="M103">
        <f>IF(AND(SUM(VLOOKUP($A103,test!$A$3:$F$32,2,FALSE),VLOOKUP(M$1,test!$A$3:$F$32,2,FALSE))&lt;test!$K$16,$A103&lt;&gt;M$1,Recharged_Feasible_mat!N72=1),(VLOOKUP(M$1,test!$A$3:$I$32,8,FALSE))-(VLOOKUP($A103,test!$A$3:$I$32,9,FALSE))-test!$B$35,0)</f>
        <v>0</v>
      </c>
      <c r="N103">
        <f>IF(AND(SUM(VLOOKUP($A103,test!$A$3:$F$32,2,FALSE),VLOOKUP(N$1,test!$A$3:$F$32,2,FALSE))&lt;test!$K$16,$A103&lt;&gt;N$1,Recharged_Feasible_mat!O72=1),(VLOOKUP(N$1,test!$A$3:$I$32,8,FALSE))-(VLOOKUP($A103,test!$A$3:$I$32,9,FALSE))-test!$B$35,0)</f>
        <v>0</v>
      </c>
      <c r="O103">
        <f>IF(AND(SUM(VLOOKUP($A103,test!$A$3:$F$32,2,FALSE),VLOOKUP(O$1,test!$A$3:$F$32,2,FALSE))&lt;test!$K$16,$A103&lt;&gt;O$1,Recharged_Feasible_mat!P72=1),(VLOOKUP(O$1,test!$A$3:$I$32,8,FALSE))-(VLOOKUP($A103,test!$A$3:$I$32,9,FALSE))-test!$B$35,0)</f>
        <v>0</v>
      </c>
      <c r="P103">
        <f>IF(AND(SUM(VLOOKUP($A103,test!$A$3:$F$32,2,FALSE),VLOOKUP(P$1,test!$A$3:$F$32,2,FALSE))&lt;test!$K$16,$A103&lt;&gt;P$1,Recharged_Feasible_mat!Q72=1),(VLOOKUP(P$1,test!$A$3:$I$32,8,FALSE))-(VLOOKUP($A103,test!$A$3:$I$32,9,FALSE))-test!$B$35,0)</f>
        <v>0</v>
      </c>
      <c r="Q103">
        <f>IF(AND(SUM(VLOOKUP($A103,test!$A$3:$F$32,2,FALSE),VLOOKUP(Q$1,test!$A$3:$F$32,2,FALSE))&lt;test!$K$16,$A103&lt;&gt;Q$1,Recharged_Feasible_mat!R72=1),(VLOOKUP(Q$1,test!$A$3:$I$32,8,FALSE))-(VLOOKUP($A103,test!$A$3:$I$32,9,FALSE))-test!$B$35,0)</f>
        <v>0</v>
      </c>
      <c r="R103">
        <f>IF(AND(SUM(VLOOKUP($A103,test!$A$3:$F$32,2,FALSE),VLOOKUP(R$1,test!$A$3:$F$32,2,FALSE))&lt;test!$K$16,$A103&lt;&gt;R$1,Recharged_Feasible_mat!S72=1),(VLOOKUP(R$1,test!$A$3:$I$32,8,FALSE))-(VLOOKUP($A103,test!$A$3:$I$32,9,FALSE))-test!$B$35,0)</f>
        <v>0</v>
      </c>
      <c r="S103">
        <f>IF(AND(SUM(VLOOKUP($A103,test!$A$3:$F$32,2,FALSE),VLOOKUP(S$1,test!$A$3:$F$32,2,FALSE))&lt;test!$K$16,$A103&lt;&gt;S$1,Recharged_Feasible_mat!T72=1),(VLOOKUP(S$1,test!$A$3:$I$32,8,FALSE))-(VLOOKUP($A103,test!$A$3:$I$32,9,FALSE))-test!$B$35,0)</f>
        <v>0</v>
      </c>
      <c r="T103">
        <f>IF(AND(SUM(VLOOKUP($A103,test!$A$3:$F$32,2,FALSE),VLOOKUP(T$1,test!$A$3:$F$32,2,FALSE))&lt;test!$K$16,$A103&lt;&gt;T$1,Recharged_Feasible_mat!U72=1),(VLOOKUP(T$1,test!$A$3:$I$32,8,FALSE))-(VLOOKUP($A103,test!$A$3:$I$32,9,FALSE))-test!$B$35,0)</f>
        <v>0</v>
      </c>
      <c r="U103">
        <f>IF(AND(SUM(VLOOKUP($A103,test!$A$3:$F$32,2,FALSE),VLOOKUP(U$1,test!$A$3:$F$32,2,FALSE))&lt;test!$K$16,$A103&lt;&gt;U$1,Recharged_Feasible_mat!V72=1),(VLOOKUP(U$1,test!$A$3:$I$32,8,FALSE))-(VLOOKUP($A103,test!$A$3:$I$32,9,FALSE))-test!$B$35,0)</f>
        <v>0</v>
      </c>
      <c r="V103">
        <f>IF(AND(SUM(VLOOKUP($A103,test!$A$3:$F$32,2,FALSE),VLOOKUP(V$1,test!$A$3:$F$32,2,FALSE))&lt;test!$K$16,$A103&lt;&gt;V$1,Recharged_Feasible_mat!W72=1),(VLOOKUP(V$1,test!$A$3:$I$32,8,FALSE))-(VLOOKUP($A103,test!$A$3:$I$32,9,FALSE))-test!$B$35,0)</f>
        <v>0</v>
      </c>
      <c r="W103">
        <f>IF(AND(SUM(VLOOKUP($A103,test!$A$3:$F$32,2,FALSE),VLOOKUP(W$1,test!$A$3:$F$32,2,FALSE))&lt;test!$K$16,$A103&lt;&gt;W$1,Recharged_Feasible_mat!X72=1),(VLOOKUP(W$1,test!$A$3:$I$32,8,FALSE))-(VLOOKUP($A103,test!$A$3:$I$32,9,FALSE))-test!$B$35,0)</f>
        <v>0</v>
      </c>
      <c r="X103">
        <f>IF(AND(SUM(VLOOKUP($A103,test!$A$3:$F$32,2,FALSE),VLOOKUP(X$1,test!$A$3:$F$32,2,FALSE))&lt;test!$K$16,$A103&lt;&gt;X$1,Recharged_Feasible_mat!Y72=1),(VLOOKUP(X$1,test!$A$3:$I$32,8,FALSE))-(VLOOKUP($A103,test!$A$3:$I$32,9,FALSE))-test!$B$35,0)</f>
        <v>0</v>
      </c>
      <c r="Y103">
        <f>IF(AND(SUM(VLOOKUP($A103,test!$A$3:$F$32,2,FALSE),VLOOKUP(Y$1,test!$A$3:$F$32,2,FALSE))&lt;test!$K$16,$A103&lt;&gt;Y$1,Recharged_Feasible_mat!Z72=1),(VLOOKUP(Y$1,test!$A$3:$I$32,8,FALSE))-(VLOOKUP($A103,test!$A$3:$I$32,9,FALSE))-test!$B$35,0)</f>
        <v>0</v>
      </c>
      <c r="Z103">
        <f>IF(AND(SUM(VLOOKUP($A103,test!$A$3:$F$32,2,FALSE),VLOOKUP(Z$1,test!$A$3:$F$32,2,FALSE))&lt;test!$K$16,$A103&lt;&gt;Z$1,Recharged_Feasible_mat!AA72=1),(VLOOKUP(Z$1,test!$A$3:$I$32,8,FALSE))-(VLOOKUP($A103,test!$A$3:$I$32,9,FALSE))-test!$B$35,0)</f>
        <v>0</v>
      </c>
      <c r="AA103">
        <f>IF(AND(SUM(VLOOKUP($A103,test!$A$3:$F$32,2,FALSE),VLOOKUP(AA$1,test!$A$3:$F$32,2,FALSE))&lt;test!$K$16,$A103&lt;&gt;AA$1,Recharged_Feasible_mat!AB72=1),(VLOOKUP(AA$1,test!$A$3:$I$32,8,FALSE))-(VLOOKUP($A103,test!$A$3:$I$32,9,FALSE))-test!$B$35,0)</f>
        <v>0</v>
      </c>
      <c r="AB103">
        <f>IF(AND(SUM(VLOOKUP($A103,test!$A$3:$F$32,2,FALSE),VLOOKUP(AB$1,test!$A$3:$F$32,2,FALSE))&lt;test!$K$16,$A103&lt;&gt;AB$1,Recharged_Feasible_mat!AC72=1),(VLOOKUP(AB$1,test!$A$3:$I$32,8,FALSE))-(VLOOKUP($A103,test!$A$3:$I$32,9,FALSE))-test!$B$35,0)</f>
        <v>0</v>
      </c>
      <c r="AC103">
        <f>IF(AND(SUM(VLOOKUP($A103,test!$A$3:$F$32,2,FALSE),VLOOKUP(AC$1,test!$A$3:$F$32,2,FALSE))&lt;test!$K$16,$A103&lt;&gt;AC$1,Recharged_Feasible_mat!AD72=1),(VLOOKUP(AC$1,test!$A$3:$I$32,8,FALSE))-(VLOOKUP($A103,test!$A$3:$I$32,9,FALSE))-test!$B$35,0)</f>
        <v>0</v>
      </c>
      <c r="AD103">
        <f>IF(AND(SUM(VLOOKUP($A103,test!$A$3:$F$32,2,FALSE),VLOOKUP(AD$1,test!$A$3:$F$32,2,FALSE))&lt;test!$K$16,$A103&lt;&gt;AD$1,Recharged_Feasible_mat!AE72=1),(VLOOKUP(AD$1,test!$A$3:$I$32,8,FALSE))-(VLOOKUP($A103,test!$A$3:$I$32,9,FALSE))-test!$B$35,0)</f>
        <v>0</v>
      </c>
      <c r="AE103">
        <f>IF(AND(SUM(VLOOKUP($A103,test!$A$3:$F$32,2,FALSE),VLOOKUP(AE$1,test!$A$3:$F$32,2,FALSE))&lt;test!$K$16,$A103&lt;&gt;AE$1,Recharged_Feasible_mat!AF72=1),(VLOOKUP(AE$1,test!$A$3:$I$32,8,FALSE))-(VLOOKUP($A103,test!$A$3:$I$32,9,FALSE))-test!$B$35,0)</f>
        <v>0</v>
      </c>
      <c r="AF103">
        <f>IF(AND(SUM(VLOOKUP($A103,test!$A$3:$F$32,2,FALSE),VLOOKUP(AF$1,test!$A$3:$F$32,2,FALSE))&lt;test!$K$16,$A103&lt;&gt;AF$1,Recharged_Feasible_mat!AG72=1),(VLOOKUP(AF$1,test!$A$3:$I$32,8,FALSE))-(VLOOKUP($A103,test!$A$3:$I$32,9,FALSE))-test!$B$35,0)</f>
        <v>0</v>
      </c>
    </row>
    <row r="104" spans="1:32" x14ac:dyDescent="0.25">
      <c r="A104" t="s">
        <v>18</v>
      </c>
      <c r="B104">
        <v>0</v>
      </c>
      <c r="C104">
        <f>IF(AND(SUM(VLOOKUP($A104,test!$A$3:$F$32,2,FALSE),VLOOKUP(C$1,test!$A$3:$F$32,2,FALSE))&lt;test!$K$16,$A104&lt;&gt;C$1,Recharged_Feasible_mat!D73=1),(VLOOKUP(C$1,test!$A$3:$I$32,8,FALSE))-(VLOOKUP($A104,test!$A$3:$I$32,9,FALSE))-test!$B$35,0)</f>
        <v>0</v>
      </c>
      <c r="D104">
        <f>IF(AND(SUM(VLOOKUP($A104,test!$A$3:$F$32,2,FALSE),VLOOKUP(D$1,test!$A$3:$F$32,2,FALSE))&lt;test!$K$16,$A104&lt;&gt;D$1,Recharged_Feasible_mat!E73=1),(VLOOKUP(D$1,test!$A$3:$I$32,8,FALSE))-(VLOOKUP($A104,test!$A$3:$I$32,9,FALSE))-test!$B$35,0)</f>
        <v>0</v>
      </c>
      <c r="E104">
        <f>IF(AND(SUM(VLOOKUP($A104,test!$A$3:$F$32,2,FALSE),VLOOKUP(E$1,test!$A$3:$F$32,2,FALSE))&lt;test!$K$16,$A104&lt;&gt;E$1,Recharged_Feasible_mat!F73=1),(VLOOKUP(E$1,test!$A$3:$I$32,8,FALSE))-(VLOOKUP($A104,test!$A$3:$I$32,9,FALSE))-test!$B$35,0)</f>
        <v>75</v>
      </c>
      <c r="F104">
        <f>IF(AND(SUM(VLOOKUP($A104,test!$A$3:$F$32,2,FALSE),VLOOKUP(F$1,test!$A$3:$F$32,2,FALSE))&lt;test!$K$16,$A104&lt;&gt;F$1,Recharged_Feasible_mat!G73=1),(VLOOKUP(F$1,test!$A$3:$I$32,8,FALSE))-(VLOOKUP($A104,test!$A$3:$I$32,9,FALSE))-test!$B$35,0)</f>
        <v>165</v>
      </c>
      <c r="G104">
        <f>IF(AND(SUM(VLOOKUP($A104,test!$A$3:$F$32,2,FALSE),VLOOKUP(G$1,test!$A$3:$F$32,2,FALSE))&lt;test!$K$16,$A104&lt;&gt;G$1,Recharged_Feasible_mat!H73=1),(VLOOKUP(G$1,test!$A$3:$I$32,8,FALSE))-(VLOOKUP($A104,test!$A$3:$I$32,9,FALSE))-test!$B$35,0)</f>
        <v>225</v>
      </c>
      <c r="H104">
        <f>IF(AND(SUM(VLOOKUP($A104,test!$A$3:$F$32,2,FALSE),VLOOKUP(H$1,test!$A$3:$F$32,2,FALSE))&lt;test!$K$16,$A104&lt;&gt;H$1,Recharged_Feasible_mat!I73=1),(VLOOKUP(H$1,test!$A$3:$I$32,8,FALSE))-(VLOOKUP($A104,test!$A$3:$I$32,9,FALSE))-test!$B$35,0)</f>
        <v>285</v>
      </c>
      <c r="I104">
        <f>IF(AND(SUM(VLOOKUP($A104,test!$A$3:$F$32,2,FALSE),VLOOKUP(I$1,test!$A$3:$F$32,2,FALSE))&lt;test!$K$16,$A104&lt;&gt;I$1,Recharged_Feasible_mat!J73=1),(VLOOKUP(I$1,test!$A$3:$I$32,8,FALSE))-(VLOOKUP($A104,test!$A$3:$I$32,9,FALSE))-test!$B$35,0)</f>
        <v>345</v>
      </c>
      <c r="J104">
        <f>IF(AND(SUM(VLOOKUP($A104,test!$A$3:$F$32,2,FALSE),VLOOKUP(J$1,test!$A$3:$F$32,2,FALSE))&lt;test!$K$16,$A104&lt;&gt;J$1,Recharged_Feasible_mat!K73=1),(VLOOKUP(J$1,test!$A$3:$I$32,8,FALSE))-(VLOOKUP($A104,test!$A$3:$I$32,9,FALSE))-test!$B$35,0)</f>
        <v>435</v>
      </c>
      <c r="K104">
        <f>IF(AND(SUM(VLOOKUP($A104,test!$A$3:$F$32,2,FALSE),VLOOKUP(K$1,test!$A$3:$F$32,2,FALSE))&lt;test!$K$16,$A104&lt;&gt;K$1,Recharged_Feasible_mat!L73=1),(VLOOKUP(K$1,test!$A$3:$I$32,8,FALSE))-(VLOOKUP($A104,test!$A$3:$I$32,9,FALSE))-test!$B$35,0)</f>
        <v>0</v>
      </c>
      <c r="L104">
        <f>IF(AND(SUM(VLOOKUP($A104,test!$A$3:$F$32,2,FALSE),VLOOKUP(L$1,test!$A$3:$F$32,2,FALSE))&lt;test!$K$16,$A104&lt;&gt;L$1,Recharged_Feasible_mat!M73=1),(VLOOKUP(L$1,test!$A$3:$I$32,8,FALSE))-(VLOOKUP($A104,test!$A$3:$I$32,9,FALSE))-test!$B$35,0)</f>
        <v>0</v>
      </c>
      <c r="M104">
        <f>IF(AND(SUM(VLOOKUP($A104,test!$A$3:$F$32,2,FALSE),VLOOKUP(M$1,test!$A$3:$F$32,2,FALSE))&lt;test!$K$16,$A104&lt;&gt;M$1,Recharged_Feasible_mat!N73=1),(VLOOKUP(M$1,test!$A$3:$I$32,8,FALSE))-(VLOOKUP($A104,test!$A$3:$I$32,9,FALSE))-test!$B$35,0)</f>
        <v>40</v>
      </c>
      <c r="N104">
        <f>IF(AND(SUM(VLOOKUP($A104,test!$A$3:$F$32,2,FALSE),VLOOKUP(N$1,test!$A$3:$F$32,2,FALSE))&lt;test!$K$16,$A104&lt;&gt;N$1,Recharged_Feasible_mat!O73=1),(VLOOKUP(N$1,test!$A$3:$I$32,8,FALSE))-(VLOOKUP($A104,test!$A$3:$I$32,9,FALSE))-test!$B$35,0)</f>
        <v>400</v>
      </c>
      <c r="O104">
        <f>IF(AND(SUM(VLOOKUP($A104,test!$A$3:$F$32,2,FALSE),VLOOKUP(O$1,test!$A$3:$F$32,2,FALSE))&lt;test!$K$16,$A104&lt;&gt;O$1,Recharged_Feasible_mat!P73=1),(VLOOKUP(O$1,test!$A$3:$I$32,8,FALSE))-(VLOOKUP($A104,test!$A$3:$I$32,9,FALSE))-test!$B$35,0)</f>
        <v>460</v>
      </c>
      <c r="P104">
        <f>IF(AND(SUM(VLOOKUP($A104,test!$A$3:$F$32,2,FALSE),VLOOKUP(P$1,test!$A$3:$F$32,2,FALSE))&lt;test!$K$16,$A104&lt;&gt;P$1,Recharged_Feasible_mat!Q73=1),(VLOOKUP(P$1,test!$A$3:$I$32,8,FALSE))-(VLOOKUP($A104,test!$A$3:$I$32,9,FALSE))-test!$B$35,0)</f>
        <v>0</v>
      </c>
      <c r="Q104">
        <f>IF(AND(SUM(VLOOKUP($A104,test!$A$3:$F$32,2,FALSE),VLOOKUP(Q$1,test!$A$3:$F$32,2,FALSE))&lt;test!$K$16,$A104&lt;&gt;Q$1,Recharged_Feasible_mat!R73=1),(VLOOKUP(Q$1,test!$A$3:$I$32,8,FALSE))-(VLOOKUP($A104,test!$A$3:$I$32,9,FALSE))-test!$B$35,0)</f>
        <v>0</v>
      </c>
      <c r="R104">
        <f>IF(AND(SUM(VLOOKUP($A104,test!$A$3:$F$32,2,FALSE),VLOOKUP(R$1,test!$A$3:$F$32,2,FALSE))&lt;test!$K$16,$A104&lt;&gt;R$1,Recharged_Feasible_mat!S73=1),(VLOOKUP(R$1,test!$A$3:$I$32,8,FALSE))-(VLOOKUP($A104,test!$A$3:$I$32,9,FALSE))-test!$B$35,0)</f>
        <v>0</v>
      </c>
      <c r="S104">
        <f>IF(AND(SUM(VLOOKUP($A104,test!$A$3:$F$32,2,FALSE),VLOOKUP(S$1,test!$A$3:$F$32,2,FALSE))&lt;test!$K$16,$A104&lt;&gt;S$1,Recharged_Feasible_mat!T73=1),(VLOOKUP(S$1,test!$A$3:$I$32,8,FALSE))-(VLOOKUP($A104,test!$A$3:$I$32,9,FALSE))-test!$B$35,0)</f>
        <v>0</v>
      </c>
      <c r="T104">
        <f>IF(AND(SUM(VLOOKUP($A104,test!$A$3:$F$32,2,FALSE),VLOOKUP(T$1,test!$A$3:$F$32,2,FALSE))&lt;test!$K$16,$A104&lt;&gt;T$1,Recharged_Feasible_mat!U73=1),(VLOOKUP(T$1,test!$A$3:$I$32,8,FALSE))-(VLOOKUP($A104,test!$A$3:$I$32,9,FALSE))-test!$B$35,0)</f>
        <v>55</v>
      </c>
      <c r="U104">
        <f>IF(AND(SUM(VLOOKUP($A104,test!$A$3:$F$32,2,FALSE),VLOOKUP(U$1,test!$A$3:$F$32,2,FALSE))&lt;test!$K$16,$A104&lt;&gt;U$1,Recharged_Feasible_mat!V73=1),(VLOOKUP(U$1,test!$A$3:$I$32,8,FALSE))-(VLOOKUP($A104,test!$A$3:$I$32,9,FALSE))-test!$B$35,0)</f>
        <v>145</v>
      </c>
      <c r="V104">
        <f>IF(AND(SUM(VLOOKUP($A104,test!$A$3:$F$32,2,FALSE),VLOOKUP(V$1,test!$A$3:$F$32,2,FALSE))&lt;test!$K$16,$A104&lt;&gt;V$1,Recharged_Feasible_mat!W73=1),(VLOOKUP(V$1,test!$A$3:$I$32,8,FALSE))-(VLOOKUP($A104,test!$A$3:$I$32,9,FALSE))-test!$B$35,0)</f>
        <v>235</v>
      </c>
      <c r="W104">
        <f>IF(AND(SUM(VLOOKUP($A104,test!$A$3:$F$32,2,FALSE),VLOOKUP(W$1,test!$A$3:$F$32,2,FALSE))&lt;test!$K$16,$A104&lt;&gt;W$1,Recharged_Feasible_mat!X73=1),(VLOOKUP(W$1,test!$A$3:$I$32,8,FALSE))-(VLOOKUP($A104,test!$A$3:$I$32,9,FALSE))-test!$B$35,0)</f>
        <v>325</v>
      </c>
      <c r="X104">
        <f>IF(AND(SUM(VLOOKUP($A104,test!$A$3:$F$32,2,FALSE),VLOOKUP(X$1,test!$A$3:$F$32,2,FALSE))&lt;test!$K$16,$A104&lt;&gt;X$1,Recharged_Feasible_mat!Y73=1),(VLOOKUP(X$1,test!$A$3:$I$32,8,FALSE))-(VLOOKUP($A104,test!$A$3:$I$32,9,FALSE))-test!$B$35,0)</f>
        <v>385</v>
      </c>
      <c r="Y104">
        <f>IF(AND(SUM(VLOOKUP($A104,test!$A$3:$F$32,2,FALSE),VLOOKUP(Y$1,test!$A$3:$F$32,2,FALSE))&lt;test!$K$16,$A104&lt;&gt;Y$1,Recharged_Feasible_mat!Z73=1),(VLOOKUP(Y$1,test!$A$3:$I$32,8,FALSE))-(VLOOKUP($A104,test!$A$3:$I$32,9,FALSE))-test!$B$35,0)</f>
        <v>0</v>
      </c>
      <c r="Z104">
        <f>IF(AND(SUM(VLOOKUP($A104,test!$A$3:$F$32,2,FALSE),VLOOKUP(Z$1,test!$A$3:$F$32,2,FALSE))&lt;test!$K$16,$A104&lt;&gt;Z$1,Recharged_Feasible_mat!AA73=1),(VLOOKUP(Z$1,test!$A$3:$I$32,8,FALSE))-(VLOOKUP($A104,test!$A$3:$I$32,9,FALSE))-test!$B$35,0)</f>
        <v>0</v>
      </c>
      <c r="AA104">
        <f>IF(AND(SUM(VLOOKUP($A104,test!$A$3:$F$32,2,FALSE),VLOOKUP(AA$1,test!$A$3:$F$32,2,FALSE))&lt;test!$K$16,$A104&lt;&gt;AA$1,Recharged_Feasible_mat!AB73=1),(VLOOKUP(AA$1,test!$A$3:$I$32,8,FALSE))-(VLOOKUP($A104,test!$A$3:$I$32,9,FALSE))-test!$B$35,0)</f>
        <v>105</v>
      </c>
      <c r="AB104">
        <f>IF(AND(SUM(VLOOKUP($A104,test!$A$3:$F$32,2,FALSE),VLOOKUP(AB$1,test!$A$3:$F$32,2,FALSE))&lt;test!$K$16,$A104&lt;&gt;AB$1,Recharged_Feasible_mat!AC73=1),(VLOOKUP(AB$1,test!$A$3:$I$32,8,FALSE))-(VLOOKUP($A104,test!$A$3:$I$32,9,FALSE))-test!$B$35,0)</f>
        <v>165</v>
      </c>
      <c r="AC104">
        <f>IF(AND(SUM(VLOOKUP($A104,test!$A$3:$F$32,2,FALSE),VLOOKUP(AC$1,test!$A$3:$F$32,2,FALSE))&lt;test!$K$16,$A104&lt;&gt;AC$1,Recharged_Feasible_mat!AD73=1),(VLOOKUP(AC$1,test!$A$3:$I$32,8,FALSE))-(VLOOKUP($A104,test!$A$3:$I$32,9,FALSE))-test!$B$35,0)</f>
        <v>285</v>
      </c>
      <c r="AD104">
        <f>IF(AND(SUM(VLOOKUP($A104,test!$A$3:$F$32,2,FALSE),VLOOKUP(AD$1,test!$A$3:$F$32,2,FALSE))&lt;test!$K$16,$A104&lt;&gt;AD$1,Recharged_Feasible_mat!AE73=1),(VLOOKUP(AD$1,test!$A$3:$I$32,8,FALSE))-(VLOOKUP($A104,test!$A$3:$I$32,9,FALSE))-test!$B$35,0)</f>
        <v>0</v>
      </c>
      <c r="AE104">
        <f>IF(AND(SUM(VLOOKUP($A104,test!$A$3:$F$32,2,FALSE),VLOOKUP(AE$1,test!$A$3:$F$32,2,FALSE))&lt;test!$K$16,$A104&lt;&gt;AE$1,Recharged_Feasible_mat!AF73=1),(VLOOKUP(AE$1,test!$A$3:$I$32,8,FALSE))-(VLOOKUP($A104,test!$A$3:$I$32,9,FALSE))-test!$B$35,0)</f>
        <v>0</v>
      </c>
      <c r="AF104">
        <f>IF(AND(SUM(VLOOKUP($A104,test!$A$3:$F$32,2,FALSE),VLOOKUP(AF$1,test!$A$3:$F$32,2,FALSE))&lt;test!$K$16,$A104&lt;&gt;AF$1,Recharged_Feasible_mat!AG73=1),(VLOOKUP(AF$1,test!$A$3:$I$32,8,FALSE))-(VLOOKUP($A104,test!$A$3:$I$32,9,FALSE))-test!$B$35,0)</f>
        <v>0</v>
      </c>
    </row>
    <row r="105" spans="1:32" x14ac:dyDescent="0.25">
      <c r="A105" t="s">
        <v>20</v>
      </c>
      <c r="B105">
        <v>0</v>
      </c>
      <c r="C105">
        <f>IF(AND(SUM(VLOOKUP($A105,test!$A$3:$F$32,2,FALSE),VLOOKUP(C$1,test!$A$3:$F$32,2,FALSE))&lt;test!$K$16,$A105&lt;&gt;C$1,Recharged_Feasible_mat!D74=1),(VLOOKUP(C$1,test!$A$3:$I$32,8,FALSE))-(VLOOKUP($A105,test!$A$3:$I$32,9,FALSE))-test!$B$35,0)</f>
        <v>0</v>
      </c>
      <c r="D105">
        <f>IF(AND(SUM(VLOOKUP($A105,test!$A$3:$F$32,2,FALSE),VLOOKUP(D$1,test!$A$3:$F$32,2,FALSE))&lt;test!$K$16,$A105&lt;&gt;D$1,Recharged_Feasible_mat!E74=1),(VLOOKUP(D$1,test!$A$3:$I$32,8,FALSE))-(VLOOKUP($A105,test!$A$3:$I$32,9,FALSE))-test!$B$35,0)</f>
        <v>0</v>
      </c>
      <c r="E105">
        <f>IF(AND(SUM(VLOOKUP($A105,test!$A$3:$F$32,2,FALSE),VLOOKUP(E$1,test!$A$3:$F$32,2,FALSE))&lt;test!$K$16,$A105&lt;&gt;E$1,Recharged_Feasible_mat!F74=1),(VLOOKUP(E$1,test!$A$3:$I$32,8,FALSE))-(VLOOKUP($A105,test!$A$3:$I$32,9,FALSE))-test!$B$35,0)</f>
        <v>0</v>
      </c>
      <c r="F105">
        <f>IF(AND(SUM(VLOOKUP($A105,test!$A$3:$F$32,2,FALSE),VLOOKUP(F$1,test!$A$3:$F$32,2,FALSE))&lt;test!$K$16,$A105&lt;&gt;F$1,Recharged_Feasible_mat!G74=1),(VLOOKUP(F$1,test!$A$3:$I$32,8,FALSE))-(VLOOKUP($A105,test!$A$3:$I$32,9,FALSE))-test!$B$35,0)</f>
        <v>45</v>
      </c>
      <c r="G105">
        <f>IF(AND(SUM(VLOOKUP($A105,test!$A$3:$F$32,2,FALSE),VLOOKUP(G$1,test!$A$3:$F$32,2,FALSE))&lt;test!$K$16,$A105&lt;&gt;G$1,Recharged_Feasible_mat!H74=1),(VLOOKUP(G$1,test!$A$3:$I$32,8,FALSE))-(VLOOKUP($A105,test!$A$3:$I$32,9,FALSE))-test!$B$35,0)</f>
        <v>105</v>
      </c>
      <c r="H105">
        <f>IF(AND(SUM(VLOOKUP($A105,test!$A$3:$F$32,2,FALSE),VLOOKUP(H$1,test!$A$3:$F$32,2,FALSE))&lt;test!$K$16,$A105&lt;&gt;H$1,Recharged_Feasible_mat!I74=1),(VLOOKUP(H$1,test!$A$3:$I$32,8,FALSE))-(VLOOKUP($A105,test!$A$3:$I$32,9,FALSE))-test!$B$35,0)</f>
        <v>165</v>
      </c>
      <c r="I105">
        <f>IF(AND(SUM(VLOOKUP($A105,test!$A$3:$F$32,2,FALSE),VLOOKUP(I$1,test!$A$3:$F$32,2,FALSE))&lt;test!$K$16,$A105&lt;&gt;I$1,Recharged_Feasible_mat!J74=1),(VLOOKUP(I$1,test!$A$3:$I$32,8,FALSE))-(VLOOKUP($A105,test!$A$3:$I$32,9,FALSE))-test!$B$35,0)</f>
        <v>225</v>
      </c>
      <c r="J105">
        <f>IF(AND(SUM(VLOOKUP($A105,test!$A$3:$F$32,2,FALSE),VLOOKUP(J$1,test!$A$3:$F$32,2,FALSE))&lt;test!$K$16,$A105&lt;&gt;J$1,Recharged_Feasible_mat!K74=1),(VLOOKUP(J$1,test!$A$3:$I$32,8,FALSE))-(VLOOKUP($A105,test!$A$3:$I$32,9,FALSE))-test!$B$35,0)</f>
        <v>315</v>
      </c>
      <c r="K105">
        <f>IF(AND(SUM(VLOOKUP($A105,test!$A$3:$F$32,2,FALSE),VLOOKUP(K$1,test!$A$3:$F$32,2,FALSE))&lt;test!$K$16,$A105&lt;&gt;K$1,Recharged_Feasible_mat!L74=1),(VLOOKUP(K$1,test!$A$3:$I$32,8,FALSE))-(VLOOKUP($A105,test!$A$3:$I$32,9,FALSE))-test!$B$35,0)</f>
        <v>0</v>
      </c>
      <c r="L105">
        <f>IF(AND(SUM(VLOOKUP($A105,test!$A$3:$F$32,2,FALSE),VLOOKUP(L$1,test!$A$3:$F$32,2,FALSE))&lt;test!$K$16,$A105&lt;&gt;L$1,Recharged_Feasible_mat!M74=1),(VLOOKUP(L$1,test!$A$3:$I$32,8,FALSE))-(VLOOKUP($A105,test!$A$3:$I$32,9,FALSE))-test!$B$35,0)</f>
        <v>0</v>
      </c>
      <c r="M105">
        <f>IF(AND(SUM(VLOOKUP($A105,test!$A$3:$F$32,2,FALSE),VLOOKUP(M$1,test!$A$3:$F$32,2,FALSE))&lt;test!$K$16,$A105&lt;&gt;M$1,Recharged_Feasible_mat!N74=1),(VLOOKUP(M$1,test!$A$3:$I$32,8,FALSE))-(VLOOKUP($A105,test!$A$3:$I$32,9,FALSE))-test!$B$35,0)</f>
        <v>0</v>
      </c>
      <c r="N105">
        <f>IF(AND(SUM(VLOOKUP($A105,test!$A$3:$F$32,2,FALSE),VLOOKUP(N$1,test!$A$3:$F$32,2,FALSE))&lt;test!$K$16,$A105&lt;&gt;N$1,Recharged_Feasible_mat!O74=1),(VLOOKUP(N$1,test!$A$3:$I$32,8,FALSE))-(VLOOKUP($A105,test!$A$3:$I$32,9,FALSE))-test!$B$35,0)</f>
        <v>280</v>
      </c>
      <c r="O105">
        <f>IF(AND(SUM(VLOOKUP($A105,test!$A$3:$F$32,2,FALSE),VLOOKUP(O$1,test!$A$3:$F$32,2,FALSE))&lt;test!$K$16,$A105&lt;&gt;O$1,Recharged_Feasible_mat!P74=1),(VLOOKUP(O$1,test!$A$3:$I$32,8,FALSE))-(VLOOKUP($A105,test!$A$3:$I$32,9,FALSE))-test!$B$35,0)</f>
        <v>340</v>
      </c>
      <c r="P105">
        <f>IF(AND(SUM(VLOOKUP($A105,test!$A$3:$F$32,2,FALSE),VLOOKUP(P$1,test!$A$3:$F$32,2,FALSE))&lt;test!$K$16,$A105&lt;&gt;P$1,Recharged_Feasible_mat!Q74=1),(VLOOKUP(P$1,test!$A$3:$I$32,8,FALSE))-(VLOOKUP($A105,test!$A$3:$I$32,9,FALSE))-test!$B$35,0)</f>
        <v>0</v>
      </c>
      <c r="Q105">
        <f>IF(AND(SUM(VLOOKUP($A105,test!$A$3:$F$32,2,FALSE),VLOOKUP(Q$1,test!$A$3:$F$32,2,FALSE))&lt;test!$K$16,$A105&lt;&gt;Q$1,Recharged_Feasible_mat!R74=1),(VLOOKUP(Q$1,test!$A$3:$I$32,8,FALSE))-(VLOOKUP($A105,test!$A$3:$I$32,9,FALSE))-test!$B$35,0)</f>
        <v>0</v>
      </c>
      <c r="R105">
        <f>IF(AND(SUM(VLOOKUP($A105,test!$A$3:$F$32,2,FALSE),VLOOKUP(R$1,test!$A$3:$F$32,2,FALSE))&lt;test!$K$16,$A105&lt;&gt;R$1,Recharged_Feasible_mat!S74=1),(VLOOKUP(R$1,test!$A$3:$I$32,8,FALSE))-(VLOOKUP($A105,test!$A$3:$I$32,9,FALSE))-test!$B$35,0)</f>
        <v>0</v>
      </c>
      <c r="S105">
        <f>IF(AND(SUM(VLOOKUP($A105,test!$A$3:$F$32,2,FALSE),VLOOKUP(S$1,test!$A$3:$F$32,2,FALSE))&lt;test!$K$16,$A105&lt;&gt;S$1,Recharged_Feasible_mat!T74=1),(VLOOKUP(S$1,test!$A$3:$I$32,8,FALSE))-(VLOOKUP($A105,test!$A$3:$I$32,9,FALSE))-test!$B$35,0)</f>
        <v>0</v>
      </c>
      <c r="T105">
        <f>IF(AND(SUM(VLOOKUP($A105,test!$A$3:$F$32,2,FALSE),VLOOKUP(T$1,test!$A$3:$F$32,2,FALSE))&lt;test!$K$16,$A105&lt;&gt;T$1,Recharged_Feasible_mat!U74=1),(VLOOKUP(T$1,test!$A$3:$I$32,8,FALSE))-(VLOOKUP($A105,test!$A$3:$I$32,9,FALSE))-test!$B$35,0)</f>
        <v>0</v>
      </c>
      <c r="U105">
        <f>IF(AND(SUM(VLOOKUP($A105,test!$A$3:$F$32,2,FALSE),VLOOKUP(U$1,test!$A$3:$F$32,2,FALSE))&lt;test!$K$16,$A105&lt;&gt;U$1,Recharged_Feasible_mat!V74=1),(VLOOKUP(U$1,test!$A$3:$I$32,8,FALSE))-(VLOOKUP($A105,test!$A$3:$I$32,9,FALSE))-test!$B$35,0)</f>
        <v>25</v>
      </c>
      <c r="V105">
        <f>IF(AND(SUM(VLOOKUP($A105,test!$A$3:$F$32,2,FALSE),VLOOKUP(V$1,test!$A$3:$F$32,2,FALSE))&lt;test!$K$16,$A105&lt;&gt;V$1,Recharged_Feasible_mat!W74=1),(VLOOKUP(V$1,test!$A$3:$I$32,8,FALSE))-(VLOOKUP($A105,test!$A$3:$I$32,9,FALSE))-test!$B$35,0)</f>
        <v>115</v>
      </c>
      <c r="W105">
        <f>IF(AND(SUM(VLOOKUP($A105,test!$A$3:$F$32,2,FALSE),VLOOKUP(W$1,test!$A$3:$F$32,2,FALSE))&lt;test!$K$16,$A105&lt;&gt;W$1,Recharged_Feasible_mat!X74=1),(VLOOKUP(W$1,test!$A$3:$I$32,8,FALSE))-(VLOOKUP($A105,test!$A$3:$I$32,9,FALSE))-test!$B$35,0)</f>
        <v>205</v>
      </c>
      <c r="X105">
        <f>IF(AND(SUM(VLOOKUP($A105,test!$A$3:$F$32,2,FALSE),VLOOKUP(X$1,test!$A$3:$F$32,2,FALSE))&lt;test!$K$16,$A105&lt;&gt;X$1,Recharged_Feasible_mat!Y74=1),(VLOOKUP(X$1,test!$A$3:$I$32,8,FALSE))-(VLOOKUP($A105,test!$A$3:$I$32,9,FALSE))-test!$B$35,0)</f>
        <v>265</v>
      </c>
      <c r="Y105">
        <f>IF(AND(SUM(VLOOKUP($A105,test!$A$3:$F$32,2,FALSE),VLOOKUP(Y$1,test!$A$3:$F$32,2,FALSE))&lt;test!$K$16,$A105&lt;&gt;Y$1,Recharged_Feasible_mat!Z74=1),(VLOOKUP(Y$1,test!$A$3:$I$32,8,FALSE))-(VLOOKUP($A105,test!$A$3:$I$32,9,FALSE))-test!$B$35,0)</f>
        <v>0</v>
      </c>
      <c r="Z105">
        <f>IF(AND(SUM(VLOOKUP($A105,test!$A$3:$F$32,2,FALSE),VLOOKUP(Z$1,test!$A$3:$F$32,2,FALSE))&lt;test!$K$16,$A105&lt;&gt;Z$1,Recharged_Feasible_mat!AA74=1),(VLOOKUP(Z$1,test!$A$3:$I$32,8,FALSE))-(VLOOKUP($A105,test!$A$3:$I$32,9,FALSE))-test!$B$35,0)</f>
        <v>0</v>
      </c>
      <c r="AA105">
        <f>IF(AND(SUM(VLOOKUP($A105,test!$A$3:$F$32,2,FALSE),VLOOKUP(AA$1,test!$A$3:$F$32,2,FALSE))&lt;test!$K$16,$A105&lt;&gt;AA$1,Recharged_Feasible_mat!AB74=1),(VLOOKUP(AA$1,test!$A$3:$I$32,8,FALSE))-(VLOOKUP($A105,test!$A$3:$I$32,9,FALSE))-test!$B$35,0)</f>
        <v>0</v>
      </c>
      <c r="AB105">
        <f>IF(AND(SUM(VLOOKUP($A105,test!$A$3:$F$32,2,FALSE),VLOOKUP(AB$1,test!$A$3:$F$32,2,FALSE))&lt;test!$K$16,$A105&lt;&gt;AB$1,Recharged_Feasible_mat!AC74=1),(VLOOKUP(AB$1,test!$A$3:$I$32,8,FALSE))-(VLOOKUP($A105,test!$A$3:$I$32,9,FALSE))-test!$B$35,0)</f>
        <v>45</v>
      </c>
      <c r="AC105">
        <f>IF(AND(SUM(VLOOKUP($A105,test!$A$3:$F$32,2,FALSE),VLOOKUP(AC$1,test!$A$3:$F$32,2,FALSE))&lt;test!$K$16,$A105&lt;&gt;AC$1,Recharged_Feasible_mat!AD74=1),(VLOOKUP(AC$1,test!$A$3:$I$32,8,FALSE))-(VLOOKUP($A105,test!$A$3:$I$32,9,FALSE))-test!$B$35,0)</f>
        <v>165</v>
      </c>
      <c r="AD105">
        <f>IF(AND(SUM(VLOOKUP($A105,test!$A$3:$F$32,2,FALSE),VLOOKUP(AD$1,test!$A$3:$F$32,2,FALSE))&lt;test!$K$16,$A105&lt;&gt;AD$1,Recharged_Feasible_mat!AE74=1),(VLOOKUP(AD$1,test!$A$3:$I$32,8,FALSE))-(VLOOKUP($A105,test!$A$3:$I$32,9,FALSE))-test!$B$35,0)</f>
        <v>0</v>
      </c>
      <c r="AE105">
        <f>IF(AND(SUM(VLOOKUP($A105,test!$A$3:$F$32,2,FALSE),VLOOKUP(AE$1,test!$A$3:$F$32,2,FALSE))&lt;test!$K$16,$A105&lt;&gt;AE$1,Recharged_Feasible_mat!AF74=1),(VLOOKUP(AE$1,test!$A$3:$I$32,8,FALSE))-(VLOOKUP($A105,test!$A$3:$I$32,9,FALSE))-test!$B$35,0)</f>
        <v>0</v>
      </c>
      <c r="AF105">
        <f>IF(AND(SUM(VLOOKUP($A105,test!$A$3:$F$32,2,FALSE),VLOOKUP(AF$1,test!$A$3:$F$32,2,FALSE))&lt;test!$K$16,$A105&lt;&gt;AF$1,Recharged_Feasible_mat!AG74=1),(VLOOKUP(AF$1,test!$A$3:$I$32,8,FALSE))-(VLOOKUP($A105,test!$A$3:$I$32,9,FALSE))-test!$B$35,0)</f>
        <v>0</v>
      </c>
    </row>
    <row r="106" spans="1:32" x14ac:dyDescent="0.25">
      <c r="A106" t="s">
        <v>21</v>
      </c>
      <c r="B106">
        <v>0</v>
      </c>
      <c r="C106">
        <f>IF(AND(SUM(VLOOKUP($A106,test!$A$3:$F$32,2,FALSE),VLOOKUP(C$1,test!$A$3:$F$32,2,FALSE))&lt;test!$K$16,$A106&lt;&gt;C$1,Recharged_Feasible_mat!D75=1),(VLOOKUP(C$1,test!$A$3:$I$32,8,FALSE))-(VLOOKUP($A106,test!$A$3:$I$32,9,FALSE))-test!$B$35,0)</f>
        <v>0</v>
      </c>
      <c r="D106">
        <f>IF(AND(SUM(VLOOKUP($A106,test!$A$3:$F$32,2,FALSE),VLOOKUP(D$1,test!$A$3:$F$32,2,FALSE))&lt;test!$K$16,$A106&lt;&gt;D$1,Recharged_Feasible_mat!E75=1),(VLOOKUP(D$1,test!$A$3:$I$32,8,FALSE))-(VLOOKUP($A106,test!$A$3:$I$32,9,FALSE))-test!$B$35,0)</f>
        <v>0</v>
      </c>
      <c r="E106">
        <f>IF(AND(SUM(VLOOKUP($A106,test!$A$3:$F$32,2,FALSE),VLOOKUP(E$1,test!$A$3:$F$32,2,FALSE))&lt;test!$K$16,$A106&lt;&gt;E$1,Recharged_Feasible_mat!F75=1),(VLOOKUP(E$1,test!$A$3:$I$32,8,FALSE))-(VLOOKUP($A106,test!$A$3:$I$32,9,FALSE))-test!$B$35,0)</f>
        <v>0</v>
      </c>
      <c r="F106">
        <f>IF(AND(SUM(VLOOKUP($A106,test!$A$3:$F$32,2,FALSE),VLOOKUP(F$1,test!$A$3:$F$32,2,FALSE))&lt;test!$K$16,$A106&lt;&gt;F$1,Recharged_Feasible_mat!G75=1),(VLOOKUP(F$1,test!$A$3:$I$32,8,FALSE))-(VLOOKUP($A106,test!$A$3:$I$32,9,FALSE))-test!$B$35,0)</f>
        <v>0</v>
      </c>
      <c r="G106">
        <f>IF(AND(SUM(VLOOKUP($A106,test!$A$3:$F$32,2,FALSE),VLOOKUP(G$1,test!$A$3:$F$32,2,FALSE))&lt;test!$K$16,$A106&lt;&gt;G$1,Recharged_Feasible_mat!H75=1),(VLOOKUP(G$1,test!$A$3:$I$32,8,FALSE))-(VLOOKUP($A106,test!$A$3:$I$32,9,FALSE))-test!$B$35,0)</f>
        <v>0</v>
      </c>
      <c r="H106">
        <f>IF(AND(SUM(VLOOKUP($A106,test!$A$3:$F$32,2,FALSE),VLOOKUP(H$1,test!$A$3:$F$32,2,FALSE))&lt;test!$K$16,$A106&lt;&gt;H$1,Recharged_Feasible_mat!I75=1),(VLOOKUP(H$1,test!$A$3:$I$32,8,FALSE))-(VLOOKUP($A106,test!$A$3:$I$32,9,FALSE))-test!$B$35,0)</f>
        <v>45</v>
      </c>
      <c r="I106">
        <f>IF(AND(SUM(VLOOKUP($A106,test!$A$3:$F$32,2,FALSE),VLOOKUP(I$1,test!$A$3:$F$32,2,FALSE))&lt;test!$K$16,$A106&lt;&gt;I$1,Recharged_Feasible_mat!J75=1),(VLOOKUP(I$1,test!$A$3:$I$32,8,FALSE))-(VLOOKUP($A106,test!$A$3:$I$32,9,FALSE))-test!$B$35,0)</f>
        <v>105</v>
      </c>
      <c r="J106">
        <f>IF(AND(SUM(VLOOKUP($A106,test!$A$3:$F$32,2,FALSE),VLOOKUP(J$1,test!$A$3:$F$32,2,FALSE))&lt;test!$K$16,$A106&lt;&gt;J$1,Recharged_Feasible_mat!K75=1),(VLOOKUP(J$1,test!$A$3:$I$32,8,FALSE))-(VLOOKUP($A106,test!$A$3:$I$32,9,FALSE))-test!$B$35,0)</f>
        <v>195</v>
      </c>
      <c r="K106">
        <f>IF(AND(SUM(VLOOKUP($A106,test!$A$3:$F$32,2,FALSE),VLOOKUP(K$1,test!$A$3:$F$32,2,FALSE))&lt;test!$K$16,$A106&lt;&gt;K$1,Recharged_Feasible_mat!L75=1),(VLOOKUP(K$1,test!$A$3:$I$32,8,FALSE))-(VLOOKUP($A106,test!$A$3:$I$32,9,FALSE))-test!$B$35,0)</f>
        <v>0</v>
      </c>
      <c r="L106">
        <f>IF(AND(SUM(VLOOKUP($A106,test!$A$3:$F$32,2,FALSE),VLOOKUP(L$1,test!$A$3:$F$32,2,FALSE))&lt;test!$K$16,$A106&lt;&gt;L$1,Recharged_Feasible_mat!M75=1),(VLOOKUP(L$1,test!$A$3:$I$32,8,FALSE))-(VLOOKUP($A106,test!$A$3:$I$32,9,FALSE))-test!$B$35,0)</f>
        <v>0</v>
      </c>
      <c r="M106">
        <f>IF(AND(SUM(VLOOKUP($A106,test!$A$3:$F$32,2,FALSE),VLOOKUP(M$1,test!$A$3:$F$32,2,FALSE))&lt;test!$K$16,$A106&lt;&gt;M$1,Recharged_Feasible_mat!N75=1),(VLOOKUP(M$1,test!$A$3:$I$32,8,FALSE))-(VLOOKUP($A106,test!$A$3:$I$32,9,FALSE))-test!$B$35,0)</f>
        <v>0</v>
      </c>
      <c r="N106">
        <f>IF(AND(SUM(VLOOKUP($A106,test!$A$3:$F$32,2,FALSE),VLOOKUP(N$1,test!$A$3:$F$32,2,FALSE))&lt;test!$K$16,$A106&lt;&gt;N$1,Recharged_Feasible_mat!O75=1),(VLOOKUP(N$1,test!$A$3:$I$32,8,FALSE))-(VLOOKUP($A106,test!$A$3:$I$32,9,FALSE))-test!$B$35,0)</f>
        <v>160</v>
      </c>
      <c r="O106">
        <f>IF(AND(SUM(VLOOKUP($A106,test!$A$3:$F$32,2,FALSE),VLOOKUP(O$1,test!$A$3:$F$32,2,FALSE))&lt;test!$K$16,$A106&lt;&gt;O$1,Recharged_Feasible_mat!P75=1),(VLOOKUP(O$1,test!$A$3:$I$32,8,FALSE))-(VLOOKUP($A106,test!$A$3:$I$32,9,FALSE))-test!$B$35,0)</f>
        <v>220</v>
      </c>
      <c r="P106">
        <f>IF(AND(SUM(VLOOKUP($A106,test!$A$3:$F$32,2,FALSE),VLOOKUP(P$1,test!$A$3:$F$32,2,FALSE))&lt;test!$K$16,$A106&lt;&gt;P$1,Recharged_Feasible_mat!Q75=1),(VLOOKUP(P$1,test!$A$3:$I$32,8,FALSE))-(VLOOKUP($A106,test!$A$3:$I$32,9,FALSE))-test!$B$35,0)</f>
        <v>0</v>
      </c>
      <c r="Q106">
        <f>IF(AND(SUM(VLOOKUP($A106,test!$A$3:$F$32,2,FALSE),VLOOKUP(Q$1,test!$A$3:$F$32,2,FALSE))&lt;test!$K$16,$A106&lt;&gt;Q$1,Recharged_Feasible_mat!R75=1),(VLOOKUP(Q$1,test!$A$3:$I$32,8,FALSE))-(VLOOKUP($A106,test!$A$3:$I$32,9,FALSE))-test!$B$35,0)</f>
        <v>0</v>
      </c>
      <c r="R106">
        <f>IF(AND(SUM(VLOOKUP($A106,test!$A$3:$F$32,2,FALSE),VLOOKUP(R$1,test!$A$3:$F$32,2,FALSE))&lt;test!$K$16,$A106&lt;&gt;R$1,Recharged_Feasible_mat!S75=1),(VLOOKUP(R$1,test!$A$3:$I$32,8,FALSE))-(VLOOKUP($A106,test!$A$3:$I$32,9,FALSE))-test!$B$35,0)</f>
        <v>0</v>
      </c>
      <c r="S106">
        <f>IF(AND(SUM(VLOOKUP($A106,test!$A$3:$F$32,2,FALSE),VLOOKUP(S$1,test!$A$3:$F$32,2,FALSE))&lt;test!$K$16,$A106&lt;&gt;S$1,Recharged_Feasible_mat!T75=1),(VLOOKUP(S$1,test!$A$3:$I$32,8,FALSE))-(VLOOKUP($A106,test!$A$3:$I$32,9,FALSE))-test!$B$35,0)</f>
        <v>0</v>
      </c>
      <c r="T106">
        <f>IF(AND(SUM(VLOOKUP($A106,test!$A$3:$F$32,2,FALSE),VLOOKUP(T$1,test!$A$3:$F$32,2,FALSE))&lt;test!$K$16,$A106&lt;&gt;T$1,Recharged_Feasible_mat!U75=1),(VLOOKUP(T$1,test!$A$3:$I$32,8,FALSE))-(VLOOKUP($A106,test!$A$3:$I$32,9,FALSE))-test!$B$35,0)</f>
        <v>0</v>
      </c>
      <c r="U106">
        <f>IF(AND(SUM(VLOOKUP($A106,test!$A$3:$F$32,2,FALSE),VLOOKUP(U$1,test!$A$3:$F$32,2,FALSE))&lt;test!$K$16,$A106&lt;&gt;U$1,Recharged_Feasible_mat!V75=1),(VLOOKUP(U$1,test!$A$3:$I$32,8,FALSE))-(VLOOKUP($A106,test!$A$3:$I$32,9,FALSE))-test!$B$35,0)</f>
        <v>0</v>
      </c>
      <c r="V106">
        <f>IF(AND(SUM(VLOOKUP($A106,test!$A$3:$F$32,2,FALSE),VLOOKUP(V$1,test!$A$3:$F$32,2,FALSE))&lt;test!$K$16,$A106&lt;&gt;V$1,Recharged_Feasible_mat!W75=1),(VLOOKUP(V$1,test!$A$3:$I$32,8,FALSE))-(VLOOKUP($A106,test!$A$3:$I$32,9,FALSE))-test!$B$35,0)</f>
        <v>0</v>
      </c>
      <c r="W106">
        <f>IF(AND(SUM(VLOOKUP($A106,test!$A$3:$F$32,2,FALSE),VLOOKUP(W$1,test!$A$3:$F$32,2,FALSE))&lt;test!$K$16,$A106&lt;&gt;W$1,Recharged_Feasible_mat!X75=1),(VLOOKUP(W$1,test!$A$3:$I$32,8,FALSE))-(VLOOKUP($A106,test!$A$3:$I$32,9,FALSE))-test!$B$35,0)</f>
        <v>85</v>
      </c>
      <c r="X106">
        <f>IF(AND(SUM(VLOOKUP($A106,test!$A$3:$F$32,2,FALSE),VLOOKUP(X$1,test!$A$3:$F$32,2,FALSE))&lt;test!$K$16,$A106&lt;&gt;X$1,Recharged_Feasible_mat!Y75=1),(VLOOKUP(X$1,test!$A$3:$I$32,8,FALSE))-(VLOOKUP($A106,test!$A$3:$I$32,9,FALSE))-test!$B$35,0)</f>
        <v>145</v>
      </c>
      <c r="Y106">
        <f>IF(AND(SUM(VLOOKUP($A106,test!$A$3:$F$32,2,FALSE),VLOOKUP(Y$1,test!$A$3:$F$32,2,FALSE))&lt;test!$K$16,$A106&lt;&gt;Y$1,Recharged_Feasible_mat!Z75=1),(VLOOKUP(Y$1,test!$A$3:$I$32,8,FALSE))-(VLOOKUP($A106,test!$A$3:$I$32,9,FALSE))-test!$B$35,0)</f>
        <v>0</v>
      </c>
      <c r="Z106">
        <f>IF(AND(SUM(VLOOKUP($A106,test!$A$3:$F$32,2,FALSE),VLOOKUP(Z$1,test!$A$3:$F$32,2,FALSE))&lt;test!$K$16,$A106&lt;&gt;Z$1,Recharged_Feasible_mat!AA75=1),(VLOOKUP(Z$1,test!$A$3:$I$32,8,FALSE))-(VLOOKUP($A106,test!$A$3:$I$32,9,FALSE))-test!$B$35,0)</f>
        <v>0</v>
      </c>
      <c r="AA106">
        <f>IF(AND(SUM(VLOOKUP($A106,test!$A$3:$F$32,2,FALSE),VLOOKUP(AA$1,test!$A$3:$F$32,2,FALSE))&lt;test!$K$16,$A106&lt;&gt;AA$1,Recharged_Feasible_mat!AB75=1),(VLOOKUP(AA$1,test!$A$3:$I$32,8,FALSE))-(VLOOKUP($A106,test!$A$3:$I$32,9,FALSE))-test!$B$35,0)</f>
        <v>0</v>
      </c>
      <c r="AB106">
        <f>IF(AND(SUM(VLOOKUP($A106,test!$A$3:$F$32,2,FALSE),VLOOKUP(AB$1,test!$A$3:$F$32,2,FALSE))&lt;test!$K$16,$A106&lt;&gt;AB$1,Recharged_Feasible_mat!AC75=1),(VLOOKUP(AB$1,test!$A$3:$I$32,8,FALSE))-(VLOOKUP($A106,test!$A$3:$I$32,9,FALSE))-test!$B$35,0)</f>
        <v>0</v>
      </c>
      <c r="AC106">
        <f>IF(AND(SUM(VLOOKUP($A106,test!$A$3:$F$32,2,FALSE),VLOOKUP(AC$1,test!$A$3:$F$32,2,FALSE))&lt;test!$K$16,$A106&lt;&gt;AC$1,Recharged_Feasible_mat!AD75=1),(VLOOKUP(AC$1,test!$A$3:$I$32,8,FALSE))-(VLOOKUP($A106,test!$A$3:$I$32,9,FALSE))-test!$B$35,0)</f>
        <v>45</v>
      </c>
      <c r="AD106">
        <f>IF(AND(SUM(VLOOKUP($A106,test!$A$3:$F$32,2,FALSE),VLOOKUP(AD$1,test!$A$3:$F$32,2,FALSE))&lt;test!$K$16,$A106&lt;&gt;AD$1,Recharged_Feasible_mat!AE75=1),(VLOOKUP(AD$1,test!$A$3:$I$32,8,FALSE))-(VLOOKUP($A106,test!$A$3:$I$32,9,FALSE))-test!$B$35,0)</f>
        <v>0</v>
      </c>
      <c r="AE106">
        <f>IF(AND(SUM(VLOOKUP($A106,test!$A$3:$F$32,2,FALSE),VLOOKUP(AE$1,test!$A$3:$F$32,2,FALSE))&lt;test!$K$16,$A106&lt;&gt;AE$1,Recharged_Feasible_mat!AF75=1),(VLOOKUP(AE$1,test!$A$3:$I$32,8,FALSE))-(VLOOKUP($A106,test!$A$3:$I$32,9,FALSE))-test!$B$35,0)</f>
        <v>0</v>
      </c>
      <c r="AF106">
        <f>IF(AND(SUM(VLOOKUP($A106,test!$A$3:$F$32,2,FALSE),VLOOKUP(AF$1,test!$A$3:$F$32,2,FALSE))&lt;test!$K$16,$A106&lt;&gt;AF$1,Recharged_Feasible_mat!AG75=1),(VLOOKUP(AF$1,test!$A$3:$I$32,8,FALSE))-(VLOOKUP($A106,test!$A$3:$I$32,9,FALSE))-test!$B$35,0)</f>
        <v>0</v>
      </c>
    </row>
    <row r="107" spans="1:32" x14ac:dyDescent="0.25">
      <c r="A107" t="s">
        <v>22</v>
      </c>
      <c r="B107">
        <v>0</v>
      </c>
      <c r="C107">
        <f>IF(AND(SUM(VLOOKUP($A107,test!$A$3:$F$32,2,FALSE),VLOOKUP(C$1,test!$A$3:$F$32,2,FALSE))&lt;test!$K$16,$A107&lt;&gt;C$1,Recharged_Feasible_mat!D76=1),(VLOOKUP(C$1,test!$A$3:$I$32,8,FALSE))-(VLOOKUP($A107,test!$A$3:$I$32,9,FALSE))-test!$B$35,0)</f>
        <v>0</v>
      </c>
      <c r="D107">
        <f>IF(AND(SUM(VLOOKUP($A107,test!$A$3:$F$32,2,FALSE),VLOOKUP(D$1,test!$A$3:$F$32,2,FALSE))&lt;test!$K$16,$A107&lt;&gt;D$1,Recharged_Feasible_mat!E76=1),(VLOOKUP(D$1,test!$A$3:$I$32,8,FALSE))-(VLOOKUP($A107,test!$A$3:$I$32,9,FALSE))-test!$B$35,0)</f>
        <v>0</v>
      </c>
      <c r="E107">
        <f>IF(AND(SUM(VLOOKUP($A107,test!$A$3:$F$32,2,FALSE),VLOOKUP(E$1,test!$A$3:$F$32,2,FALSE))&lt;test!$K$16,$A107&lt;&gt;E$1,Recharged_Feasible_mat!F76=1),(VLOOKUP(E$1,test!$A$3:$I$32,8,FALSE))-(VLOOKUP($A107,test!$A$3:$I$32,9,FALSE))-test!$B$35,0)</f>
        <v>0</v>
      </c>
      <c r="F107">
        <f>IF(AND(SUM(VLOOKUP($A107,test!$A$3:$F$32,2,FALSE),VLOOKUP(F$1,test!$A$3:$F$32,2,FALSE))&lt;test!$K$16,$A107&lt;&gt;F$1,Recharged_Feasible_mat!G76=1),(VLOOKUP(F$1,test!$A$3:$I$32,8,FALSE))-(VLOOKUP($A107,test!$A$3:$I$32,9,FALSE))-test!$B$35,0)</f>
        <v>0</v>
      </c>
      <c r="G107">
        <f>IF(AND(SUM(VLOOKUP($A107,test!$A$3:$F$32,2,FALSE),VLOOKUP(G$1,test!$A$3:$F$32,2,FALSE))&lt;test!$K$16,$A107&lt;&gt;G$1,Recharged_Feasible_mat!H76=1),(VLOOKUP(G$1,test!$A$3:$I$32,8,FALSE))-(VLOOKUP($A107,test!$A$3:$I$32,9,FALSE))-test!$B$35,0)</f>
        <v>0</v>
      </c>
      <c r="H107">
        <f>IF(AND(SUM(VLOOKUP($A107,test!$A$3:$F$32,2,FALSE),VLOOKUP(H$1,test!$A$3:$F$32,2,FALSE))&lt;test!$K$16,$A107&lt;&gt;H$1,Recharged_Feasible_mat!I76=1),(VLOOKUP(H$1,test!$A$3:$I$32,8,FALSE))-(VLOOKUP($A107,test!$A$3:$I$32,9,FALSE))-test!$B$35,0)</f>
        <v>0</v>
      </c>
      <c r="I107">
        <f>IF(AND(SUM(VLOOKUP($A107,test!$A$3:$F$32,2,FALSE),VLOOKUP(I$1,test!$A$3:$F$32,2,FALSE))&lt;test!$K$16,$A107&lt;&gt;I$1,Recharged_Feasible_mat!J76=1),(VLOOKUP(I$1,test!$A$3:$I$32,8,FALSE))-(VLOOKUP($A107,test!$A$3:$I$32,9,FALSE))-test!$B$35,0)</f>
        <v>0</v>
      </c>
      <c r="J107">
        <f>IF(AND(SUM(VLOOKUP($A107,test!$A$3:$F$32,2,FALSE),VLOOKUP(J$1,test!$A$3:$F$32,2,FALSE))&lt;test!$K$16,$A107&lt;&gt;J$1,Recharged_Feasible_mat!K76=1),(VLOOKUP(J$1,test!$A$3:$I$32,8,FALSE))-(VLOOKUP($A107,test!$A$3:$I$32,9,FALSE))-test!$B$35,0)</f>
        <v>0</v>
      </c>
      <c r="K107">
        <f>IF(AND(SUM(VLOOKUP($A107,test!$A$3:$F$32,2,FALSE),VLOOKUP(K$1,test!$A$3:$F$32,2,FALSE))&lt;test!$K$16,$A107&lt;&gt;K$1,Recharged_Feasible_mat!L76=1),(VLOOKUP(K$1,test!$A$3:$I$32,8,FALSE))-(VLOOKUP($A107,test!$A$3:$I$32,9,FALSE))-test!$B$35,0)</f>
        <v>0</v>
      </c>
      <c r="L107">
        <f>IF(AND(SUM(VLOOKUP($A107,test!$A$3:$F$32,2,FALSE),VLOOKUP(L$1,test!$A$3:$F$32,2,FALSE))&lt;test!$K$16,$A107&lt;&gt;L$1,Recharged_Feasible_mat!M76=1),(VLOOKUP(L$1,test!$A$3:$I$32,8,FALSE))-(VLOOKUP($A107,test!$A$3:$I$32,9,FALSE))-test!$B$35,0)</f>
        <v>0</v>
      </c>
      <c r="M107">
        <f>IF(AND(SUM(VLOOKUP($A107,test!$A$3:$F$32,2,FALSE),VLOOKUP(M$1,test!$A$3:$F$32,2,FALSE))&lt;test!$K$16,$A107&lt;&gt;M$1,Recharged_Feasible_mat!N76=1),(VLOOKUP(M$1,test!$A$3:$I$32,8,FALSE))-(VLOOKUP($A107,test!$A$3:$I$32,9,FALSE))-test!$B$35,0)</f>
        <v>0</v>
      </c>
      <c r="N107">
        <f>IF(AND(SUM(VLOOKUP($A107,test!$A$3:$F$32,2,FALSE),VLOOKUP(N$1,test!$A$3:$F$32,2,FALSE))&lt;test!$K$16,$A107&lt;&gt;N$1,Recharged_Feasible_mat!O76=1),(VLOOKUP(N$1,test!$A$3:$I$32,8,FALSE))-(VLOOKUP($A107,test!$A$3:$I$32,9,FALSE))-test!$B$35,0)</f>
        <v>0</v>
      </c>
      <c r="O107">
        <f>IF(AND(SUM(VLOOKUP($A107,test!$A$3:$F$32,2,FALSE),VLOOKUP(O$1,test!$A$3:$F$32,2,FALSE))&lt;test!$K$16,$A107&lt;&gt;O$1,Recharged_Feasible_mat!P76=1),(VLOOKUP(O$1,test!$A$3:$I$32,8,FALSE))-(VLOOKUP($A107,test!$A$3:$I$32,9,FALSE))-test!$B$35,0)</f>
        <v>0</v>
      </c>
      <c r="P107">
        <f>IF(AND(SUM(VLOOKUP($A107,test!$A$3:$F$32,2,FALSE),VLOOKUP(P$1,test!$A$3:$F$32,2,FALSE))&lt;test!$K$16,$A107&lt;&gt;P$1,Recharged_Feasible_mat!Q76=1),(VLOOKUP(P$1,test!$A$3:$I$32,8,FALSE))-(VLOOKUP($A107,test!$A$3:$I$32,9,FALSE))-test!$B$35,0)</f>
        <v>0</v>
      </c>
      <c r="Q107">
        <f>IF(AND(SUM(VLOOKUP($A107,test!$A$3:$F$32,2,FALSE),VLOOKUP(Q$1,test!$A$3:$F$32,2,FALSE))&lt;test!$K$16,$A107&lt;&gt;Q$1,Recharged_Feasible_mat!R76=1),(VLOOKUP(Q$1,test!$A$3:$I$32,8,FALSE))-(VLOOKUP($A107,test!$A$3:$I$32,9,FALSE))-test!$B$35,0)</f>
        <v>0</v>
      </c>
      <c r="R107">
        <f>IF(AND(SUM(VLOOKUP($A107,test!$A$3:$F$32,2,FALSE),VLOOKUP(R$1,test!$A$3:$F$32,2,FALSE))&lt;test!$K$16,$A107&lt;&gt;R$1,Recharged_Feasible_mat!S76=1),(VLOOKUP(R$1,test!$A$3:$I$32,8,FALSE))-(VLOOKUP($A107,test!$A$3:$I$32,9,FALSE))-test!$B$35,0)</f>
        <v>0</v>
      </c>
      <c r="S107">
        <f>IF(AND(SUM(VLOOKUP($A107,test!$A$3:$F$32,2,FALSE),VLOOKUP(S$1,test!$A$3:$F$32,2,FALSE))&lt;test!$K$16,$A107&lt;&gt;S$1,Recharged_Feasible_mat!T76=1),(VLOOKUP(S$1,test!$A$3:$I$32,8,FALSE))-(VLOOKUP($A107,test!$A$3:$I$32,9,FALSE))-test!$B$35,0)</f>
        <v>0</v>
      </c>
      <c r="T107">
        <f>IF(AND(SUM(VLOOKUP($A107,test!$A$3:$F$32,2,FALSE),VLOOKUP(T$1,test!$A$3:$F$32,2,FALSE))&lt;test!$K$16,$A107&lt;&gt;T$1,Recharged_Feasible_mat!U76=1),(VLOOKUP(T$1,test!$A$3:$I$32,8,FALSE))-(VLOOKUP($A107,test!$A$3:$I$32,9,FALSE))-test!$B$35,0)</f>
        <v>0</v>
      </c>
      <c r="U107">
        <f>IF(AND(SUM(VLOOKUP($A107,test!$A$3:$F$32,2,FALSE),VLOOKUP(U$1,test!$A$3:$F$32,2,FALSE))&lt;test!$K$16,$A107&lt;&gt;U$1,Recharged_Feasible_mat!V76=1),(VLOOKUP(U$1,test!$A$3:$I$32,8,FALSE))-(VLOOKUP($A107,test!$A$3:$I$32,9,FALSE))-test!$B$35,0)</f>
        <v>0</v>
      </c>
      <c r="V107">
        <f>IF(AND(SUM(VLOOKUP($A107,test!$A$3:$F$32,2,FALSE),VLOOKUP(V$1,test!$A$3:$F$32,2,FALSE))&lt;test!$K$16,$A107&lt;&gt;V$1,Recharged_Feasible_mat!W76=1),(VLOOKUP(V$1,test!$A$3:$I$32,8,FALSE))-(VLOOKUP($A107,test!$A$3:$I$32,9,FALSE))-test!$B$35,0)</f>
        <v>0</v>
      </c>
      <c r="W107">
        <f>IF(AND(SUM(VLOOKUP($A107,test!$A$3:$F$32,2,FALSE),VLOOKUP(W$1,test!$A$3:$F$32,2,FALSE))&lt;test!$K$16,$A107&lt;&gt;W$1,Recharged_Feasible_mat!X76=1),(VLOOKUP(W$1,test!$A$3:$I$32,8,FALSE))-(VLOOKUP($A107,test!$A$3:$I$32,9,FALSE))-test!$B$35,0)</f>
        <v>0</v>
      </c>
      <c r="X107">
        <f>IF(AND(SUM(VLOOKUP($A107,test!$A$3:$F$32,2,FALSE),VLOOKUP(X$1,test!$A$3:$F$32,2,FALSE))&lt;test!$K$16,$A107&lt;&gt;X$1,Recharged_Feasible_mat!Y76=1),(VLOOKUP(X$1,test!$A$3:$I$32,8,FALSE))-(VLOOKUP($A107,test!$A$3:$I$32,9,FALSE))-test!$B$35,0)</f>
        <v>0</v>
      </c>
      <c r="Y107">
        <f>IF(AND(SUM(VLOOKUP($A107,test!$A$3:$F$32,2,FALSE),VLOOKUP(Y$1,test!$A$3:$F$32,2,FALSE))&lt;test!$K$16,$A107&lt;&gt;Y$1,Recharged_Feasible_mat!Z76=1),(VLOOKUP(Y$1,test!$A$3:$I$32,8,FALSE))-(VLOOKUP($A107,test!$A$3:$I$32,9,FALSE))-test!$B$35,0)</f>
        <v>0</v>
      </c>
      <c r="Z107">
        <f>IF(AND(SUM(VLOOKUP($A107,test!$A$3:$F$32,2,FALSE),VLOOKUP(Z$1,test!$A$3:$F$32,2,FALSE))&lt;test!$K$16,$A107&lt;&gt;Z$1,Recharged_Feasible_mat!AA76=1),(VLOOKUP(Z$1,test!$A$3:$I$32,8,FALSE))-(VLOOKUP($A107,test!$A$3:$I$32,9,FALSE))-test!$B$35,0)</f>
        <v>0</v>
      </c>
      <c r="AA107">
        <f>IF(AND(SUM(VLOOKUP($A107,test!$A$3:$F$32,2,FALSE),VLOOKUP(AA$1,test!$A$3:$F$32,2,FALSE))&lt;test!$K$16,$A107&lt;&gt;AA$1,Recharged_Feasible_mat!AB76=1),(VLOOKUP(AA$1,test!$A$3:$I$32,8,FALSE))-(VLOOKUP($A107,test!$A$3:$I$32,9,FALSE))-test!$B$35,0)</f>
        <v>0</v>
      </c>
      <c r="AB107">
        <f>IF(AND(SUM(VLOOKUP($A107,test!$A$3:$F$32,2,FALSE),VLOOKUP(AB$1,test!$A$3:$F$32,2,FALSE))&lt;test!$K$16,$A107&lt;&gt;AB$1,Recharged_Feasible_mat!AC76=1),(VLOOKUP(AB$1,test!$A$3:$I$32,8,FALSE))-(VLOOKUP($A107,test!$A$3:$I$32,9,FALSE))-test!$B$35,0)</f>
        <v>0</v>
      </c>
      <c r="AC107">
        <f>IF(AND(SUM(VLOOKUP($A107,test!$A$3:$F$32,2,FALSE),VLOOKUP(AC$1,test!$A$3:$F$32,2,FALSE))&lt;test!$K$16,$A107&lt;&gt;AC$1,Recharged_Feasible_mat!AD76=1),(VLOOKUP(AC$1,test!$A$3:$I$32,8,FALSE))-(VLOOKUP($A107,test!$A$3:$I$32,9,FALSE))-test!$B$35,0)</f>
        <v>0</v>
      </c>
      <c r="AD107">
        <f>IF(AND(SUM(VLOOKUP($A107,test!$A$3:$F$32,2,FALSE),VLOOKUP(AD$1,test!$A$3:$F$32,2,FALSE))&lt;test!$K$16,$A107&lt;&gt;AD$1,Recharged_Feasible_mat!AE76=1),(VLOOKUP(AD$1,test!$A$3:$I$32,8,FALSE))-(VLOOKUP($A107,test!$A$3:$I$32,9,FALSE))-test!$B$35,0)</f>
        <v>0</v>
      </c>
      <c r="AE107">
        <f>IF(AND(SUM(VLOOKUP($A107,test!$A$3:$F$32,2,FALSE),VLOOKUP(AE$1,test!$A$3:$F$32,2,FALSE))&lt;test!$K$16,$A107&lt;&gt;AE$1,Recharged_Feasible_mat!AF76=1),(VLOOKUP(AE$1,test!$A$3:$I$32,8,FALSE))-(VLOOKUP($A107,test!$A$3:$I$32,9,FALSE))-test!$B$35,0)</f>
        <v>0</v>
      </c>
      <c r="AF107">
        <f>IF(AND(SUM(VLOOKUP($A107,test!$A$3:$F$32,2,FALSE),VLOOKUP(AF$1,test!$A$3:$F$32,2,FALSE))&lt;test!$K$16,$A107&lt;&gt;AF$1,Recharged_Feasible_mat!AG76=1),(VLOOKUP(AF$1,test!$A$3:$I$32,8,FALSE))-(VLOOKUP($A107,test!$A$3:$I$32,9,FALSE))-test!$B$35,0)</f>
        <v>0</v>
      </c>
    </row>
    <row r="108" spans="1:32" x14ac:dyDescent="0.25">
      <c r="A108" t="s">
        <v>23</v>
      </c>
      <c r="B108">
        <v>0</v>
      </c>
      <c r="C108">
        <f>IF(AND(SUM(VLOOKUP($A108,test!$A$3:$F$32,2,FALSE),VLOOKUP(C$1,test!$A$3:$F$32,2,FALSE))&lt;test!$K$16,$A108&lt;&gt;C$1,Recharged_Feasible_mat!D77=1),(VLOOKUP(C$1,test!$A$3:$I$32,8,FALSE))-(VLOOKUP($A108,test!$A$3:$I$32,9,FALSE))-test!$B$35,0)</f>
        <v>0</v>
      </c>
      <c r="D108">
        <f>IF(AND(SUM(VLOOKUP($A108,test!$A$3:$F$32,2,FALSE),VLOOKUP(D$1,test!$A$3:$F$32,2,FALSE))&lt;test!$K$16,$A108&lt;&gt;D$1,Recharged_Feasible_mat!E77=1),(VLOOKUP(D$1,test!$A$3:$I$32,8,FALSE))-(VLOOKUP($A108,test!$A$3:$I$32,9,FALSE))-test!$B$35,0)</f>
        <v>0</v>
      </c>
      <c r="E108">
        <f>IF(AND(SUM(VLOOKUP($A108,test!$A$3:$F$32,2,FALSE),VLOOKUP(E$1,test!$A$3:$F$32,2,FALSE))&lt;test!$K$16,$A108&lt;&gt;E$1,Recharged_Feasible_mat!F77=1),(VLOOKUP(E$1,test!$A$3:$I$32,8,FALSE))-(VLOOKUP($A108,test!$A$3:$I$32,9,FALSE))-test!$B$35,0)</f>
        <v>0</v>
      </c>
      <c r="F108">
        <f>IF(AND(SUM(VLOOKUP($A108,test!$A$3:$F$32,2,FALSE),VLOOKUP(F$1,test!$A$3:$F$32,2,FALSE))&lt;test!$K$16,$A108&lt;&gt;F$1,Recharged_Feasible_mat!G77=1),(VLOOKUP(F$1,test!$A$3:$I$32,8,FALSE))-(VLOOKUP($A108,test!$A$3:$I$32,9,FALSE))-test!$B$35,0)</f>
        <v>0</v>
      </c>
      <c r="G108">
        <f>IF(AND(SUM(VLOOKUP($A108,test!$A$3:$F$32,2,FALSE),VLOOKUP(G$1,test!$A$3:$F$32,2,FALSE))&lt;test!$K$16,$A108&lt;&gt;G$1,Recharged_Feasible_mat!H77=1),(VLOOKUP(G$1,test!$A$3:$I$32,8,FALSE))-(VLOOKUP($A108,test!$A$3:$I$32,9,FALSE))-test!$B$35,0)</f>
        <v>0</v>
      </c>
      <c r="H108">
        <f>IF(AND(SUM(VLOOKUP($A108,test!$A$3:$F$32,2,FALSE),VLOOKUP(H$1,test!$A$3:$F$32,2,FALSE))&lt;test!$K$16,$A108&lt;&gt;H$1,Recharged_Feasible_mat!I77=1),(VLOOKUP(H$1,test!$A$3:$I$32,8,FALSE))-(VLOOKUP($A108,test!$A$3:$I$32,9,FALSE))-test!$B$35,0)</f>
        <v>0</v>
      </c>
      <c r="I108">
        <f>IF(AND(SUM(VLOOKUP($A108,test!$A$3:$F$32,2,FALSE),VLOOKUP(I$1,test!$A$3:$F$32,2,FALSE))&lt;test!$K$16,$A108&lt;&gt;I$1,Recharged_Feasible_mat!J77=1),(VLOOKUP(I$1,test!$A$3:$I$32,8,FALSE))-(VLOOKUP($A108,test!$A$3:$I$32,9,FALSE))-test!$B$35,0)</f>
        <v>0</v>
      </c>
      <c r="J108">
        <f>IF(AND(SUM(VLOOKUP($A108,test!$A$3:$F$32,2,FALSE),VLOOKUP(J$1,test!$A$3:$F$32,2,FALSE))&lt;test!$K$16,$A108&lt;&gt;J$1,Recharged_Feasible_mat!K77=1),(VLOOKUP(J$1,test!$A$3:$I$32,8,FALSE))-(VLOOKUP($A108,test!$A$3:$I$32,9,FALSE))-test!$B$35,0)</f>
        <v>0</v>
      </c>
      <c r="K108">
        <f>IF(AND(SUM(VLOOKUP($A108,test!$A$3:$F$32,2,FALSE),VLOOKUP(K$1,test!$A$3:$F$32,2,FALSE))&lt;test!$K$16,$A108&lt;&gt;K$1,Recharged_Feasible_mat!L77=1),(VLOOKUP(K$1,test!$A$3:$I$32,8,FALSE))-(VLOOKUP($A108,test!$A$3:$I$32,9,FALSE))-test!$B$35,0)</f>
        <v>0</v>
      </c>
      <c r="L108">
        <f>IF(AND(SUM(VLOOKUP($A108,test!$A$3:$F$32,2,FALSE),VLOOKUP(L$1,test!$A$3:$F$32,2,FALSE))&lt;test!$K$16,$A108&lt;&gt;L$1,Recharged_Feasible_mat!M77=1),(VLOOKUP(L$1,test!$A$3:$I$32,8,FALSE))-(VLOOKUP($A108,test!$A$3:$I$32,9,FALSE))-test!$B$35,0)</f>
        <v>0</v>
      </c>
      <c r="M108">
        <f>IF(AND(SUM(VLOOKUP($A108,test!$A$3:$F$32,2,FALSE),VLOOKUP(M$1,test!$A$3:$F$32,2,FALSE))&lt;test!$K$16,$A108&lt;&gt;M$1,Recharged_Feasible_mat!N77=1),(VLOOKUP(M$1,test!$A$3:$I$32,8,FALSE))-(VLOOKUP($A108,test!$A$3:$I$32,9,FALSE))-test!$B$35,0)</f>
        <v>0</v>
      </c>
      <c r="N108">
        <f>IF(AND(SUM(VLOOKUP($A108,test!$A$3:$F$32,2,FALSE),VLOOKUP(N$1,test!$A$3:$F$32,2,FALSE))&lt;test!$K$16,$A108&lt;&gt;N$1,Recharged_Feasible_mat!O77=1),(VLOOKUP(N$1,test!$A$3:$I$32,8,FALSE))-(VLOOKUP($A108,test!$A$3:$I$32,9,FALSE))-test!$B$35,0)</f>
        <v>0</v>
      </c>
      <c r="O108">
        <f>IF(AND(SUM(VLOOKUP($A108,test!$A$3:$F$32,2,FALSE),VLOOKUP(O$1,test!$A$3:$F$32,2,FALSE))&lt;test!$K$16,$A108&lt;&gt;O$1,Recharged_Feasible_mat!P77=1),(VLOOKUP(O$1,test!$A$3:$I$32,8,FALSE))-(VLOOKUP($A108,test!$A$3:$I$32,9,FALSE))-test!$B$35,0)</f>
        <v>0</v>
      </c>
      <c r="P108">
        <f>IF(AND(SUM(VLOOKUP($A108,test!$A$3:$F$32,2,FALSE),VLOOKUP(P$1,test!$A$3:$F$32,2,FALSE))&lt;test!$K$16,$A108&lt;&gt;P$1,Recharged_Feasible_mat!Q77=1),(VLOOKUP(P$1,test!$A$3:$I$32,8,FALSE))-(VLOOKUP($A108,test!$A$3:$I$32,9,FALSE))-test!$B$35,0)</f>
        <v>0</v>
      </c>
      <c r="Q108">
        <f>IF(AND(SUM(VLOOKUP($A108,test!$A$3:$F$32,2,FALSE),VLOOKUP(Q$1,test!$A$3:$F$32,2,FALSE))&lt;test!$K$16,$A108&lt;&gt;Q$1,Recharged_Feasible_mat!R77=1),(VLOOKUP(Q$1,test!$A$3:$I$32,8,FALSE))-(VLOOKUP($A108,test!$A$3:$I$32,9,FALSE))-test!$B$35,0)</f>
        <v>0</v>
      </c>
      <c r="R108">
        <f>IF(AND(SUM(VLOOKUP($A108,test!$A$3:$F$32,2,FALSE),VLOOKUP(R$1,test!$A$3:$F$32,2,FALSE))&lt;test!$K$16,$A108&lt;&gt;R$1,Recharged_Feasible_mat!S77=1),(VLOOKUP(R$1,test!$A$3:$I$32,8,FALSE))-(VLOOKUP($A108,test!$A$3:$I$32,9,FALSE))-test!$B$35,0)</f>
        <v>0</v>
      </c>
      <c r="S108">
        <f>IF(AND(SUM(VLOOKUP($A108,test!$A$3:$F$32,2,FALSE),VLOOKUP(S$1,test!$A$3:$F$32,2,FALSE))&lt;test!$K$16,$A108&lt;&gt;S$1,Recharged_Feasible_mat!T77=1),(VLOOKUP(S$1,test!$A$3:$I$32,8,FALSE))-(VLOOKUP($A108,test!$A$3:$I$32,9,FALSE))-test!$B$35,0)</f>
        <v>0</v>
      </c>
      <c r="T108">
        <f>IF(AND(SUM(VLOOKUP($A108,test!$A$3:$F$32,2,FALSE),VLOOKUP(T$1,test!$A$3:$F$32,2,FALSE))&lt;test!$K$16,$A108&lt;&gt;T$1,Recharged_Feasible_mat!U77=1),(VLOOKUP(T$1,test!$A$3:$I$32,8,FALSE))-(VLOOKUP($A108,test!$A$3:$I$32,9,FALSE))-test!$B$35,0)</f>
        <v>0</v>
      </c>
      <c r="U108">
        <f>IF(AND(SUM(VLOOKUP($A108,test!$A$3:$F$32,2,FALSE),VLOOKUP(U$1,test!$A$3:$F$32,2,FALSE))&lt;test!$K$16,$A108&lt;&gt;U$1,Recharged_Feasible_mat!V77=1),(VLOOKUP(U$1,test!$A$3:$I$32,8,FALSE))-(VLOOKUP($A108,test!$A$3:$I$32,9,FALSE))-test!$B$35,0)</f>
        <v>0</v>
      </c>
      <c r="V108">
        <f>IF(AND(SUM(VLOOKUP($A108,test!$A$3:$F$32,2,FALSE),VLOOKUP(V$1,test!$A$3:$F$32,2,FALSE))&lt;test!$K$16,$A108&lt;&gt;V$1,Recharged_Feasible_mat!W77=1),(VLOOKUP(V$1,test!$A$3:$I$32,8,FALSE))-(VLOOKUP($A108,test!$A$3:$I$32,9,FALSE))-test!$B$35,0)</f>
        <v>0</v>
      </c>
      <c r="W108">
        <f>IF(AND(SUM(VLOOKUP($A108,test!$A$3:$F$32,2,FALSE),VLOOKUP(W$1,test!$A$3:$F$32,2,FALSE))&lt;test!$K$16,$A108&lt;&gt;W$1,Recharged_Feasible_mat!X77=1),(VLOOKUP(W$1,test!$A$3:$I$32,8,FALSE))-(VLOOKUP($A108,test!$A$3:$I$32,9,FALSE))-test!$B$35,0)</f>
        <v>0</v>
      </c>
      <c r="X108">
        <f>IF(AND(SUM(VLOOKUP($A108,test!$A$3:$F$32,2,FALSE),VLOOKUP(X$1,test!$A$3:$F$32,2,FALSE))&lt;test!$K$16,$A108&lt;&gt;X$1,Recharged_Feasible_mat!Y77=1),(VLOOKUP(X$1,test!$A$3:$I$32,8,FALSE))-(VLOOKUP($A108,test!$A$3:$I$32,9,FALSE))-test!$B$35,0)</f>
        <v>0</v>
      </c>
      <c r="Y108">
        <f>IF(AND(SUM(VLOOKUP($A108,test!$A$3:$F$32,2,FALSE),VLOOKUP(Y$1,test!$A$3:$F$32,2,FALSE))&lt;test!$K$16,$A108&lt;&gt;Y$1,Recharged_Feasible_mat!Z77=1),(VLOOKUP(Y$1,test!$A$3:$I$32,8,FALSE))-(VLOOKUP($A108,test!$A$3:$I$32,9,FALSE))-test!$B$35,0)</f>
        <v>0</v>
      </c>
      <c r="Z108">
        <f>IF(AND(SUM(VLOOKUP($A108,test!$A$3:$F$32,2,FALSE),VLOOKUP(Z$1,test!$A$3:$F$32,2,FALSE))&lt;test!$K$16,$A108&lt;&gt;Z$1,Recharged_Feasible_mat!AA77=1),(VLOOKUP(Z$1,test!$A$3:$I$32,8,FALSE))-(VLOOKUP($A108,test!$A$3:$I$32,9,FALSE))-test!$B$35,0)</f>
        <v>0</v>
      </c>
      <c r="AA108">
        <f>IF(AND(SUM(VLOOKUP($A108,test!$A$3:$F$32,2,FALSE),VLOOKUP(AA$1,test!$A$3:$F$32,2,FALSE))&lt;test!$K$16,$A108&lt;&gt;AA$1,Recharged_Feasible_mat!AB77=1),(VLOOKUP(AA$1,test!$A$3:$I$32,8,FALSE))-(VLOOKUP($A108,test!$A$3:$I$32,9,FALSE))-test!$B$35,0)</f>
        <v>0</v>
      </c>
      <c r="AB108">
        <f>IF(AND(SUM(VLOOKUP($A108,test!$A$3:$F$32,2,FALSE),VLOOKUP(AB$1,test!$A$3:$F$32,2,FALSE))&lt;test!$K$16,$A108&lt;&gt;AB$1,Recharged_Feasible_mat!AC77=1),(VLOOKUP(AB$1,test!$A$3:$I$32,8,FALSE))-(VLOOKUP($A108,test!$A$3:$I$32,9,FALSE))-test!$B$35,0)</f>
        <v>0</v>
      </c>
      <c r="AC108">
        <f>IF(AND(SUM(VLOOKUP($A108,test!$A$3:$F$32,2,FALSE),VLOOKUP(AC$1,test!$A$3:$F$32,2,FALSE))&lt;test!$K$16,$A108&lt;&gt;AC$1,Recharged_Feasible_mat!AD77=1),(VLOOKUP(AC$1,test!$A$3:$I$32,8,FALSE))-(VLOOKUP($A108,test!$A$3:$I$32,9,FALSE))-test!$B$35,0)</f>
        <v>0</v>
      </c>
      <c r="AD108">
        <f>IF(AND(SUM(VLOOKUP($A108,test!$A$3:$F$32,2,FALSE),VLOOKUP(AD$1,test!$A$3:$F$32,2,FALSE))&lt;test!$K$16,$A108&lt;&gt;AD$1,Recharged_Feasible_mat!AE77=1),(VLOOKUP(AD$1,test!$A$3:$I$32,8,FALSE))-(VLOOKUP($A108,test!$A$3:$I$32,9,FALSE))-test!$B$35,0)</f>
        <v>0</v>
      </c>
      <c r="AE108">
        <f>IF(AND(SUM(VLOOKUP($A108,test!$A$3:$F$32,2,FALSE),VLOOKUP(AE$1,test!$A$3:$F$32,2,FALSE))&lt;test!$K$16,$A108&lt;&gt;AE$1,Recharged_Feasible_mat!AF77=1),(VLOOKUP(AE$1,test!$A$3:$I$32,8,FALSE))-(VLOOKUP($A108,test!$A$3:$I$32,9,FALSE))-test!$B$35,0)</f>
        <v>0</v>
      </c>
      <c r="AF108">
        <f>IF(AND(SUM(VLOOKUP($A108,test!$A$3:$F$32,2,FALSE),VLOOKUP(AF$1,test!$A$3:$F$32,2,FALSE))&lt;test!$K$16,$A108&lt;&gt;AF$1,Recharged_Feasible_mat!AG77=1),(VLOOKUP(AF$1,test!$A$3:$I$32,8,FALSE))-(VLOOKUP($A108,test!$A$3:$I$32,9,FALSE))-test!$B$35,0)</f>
        <v>0</v>
      </c>
    </row>
    <row r="109" spans="1:32" x14ac:dyDescent="0.25">
      <c r="A109" t="s">
        <v>24</v>
      </c>
      <c r="B109">
        <v>0</v>
      </c>
      <c r="C109">
        <f>IF(AND(SUM(VLOOKUP($A109,test!$A$3:$F$32,2,FALSE),VLOOKUP(C$1,test!$A$3:$F$32,2,FALSE))&lt;test!$K$16,$A109&lt;&gt;C$1,Recharged_Feasible_mat!D78=1),(VLOOKUP(C$1,test!$A$3:$I$32,8,FALSE))-(VLOOKUP($A109,test!$A$3:$I$32,9,FALSE))-test!$B$35,0)</f>
        <v>0</v>
      </c>
      <c r="D109">
        <f>IF(AND(SUM(VLOOKUP($A109,test!$A$3:$F$32,2,FALSE),VLOOKUP(D$1,test!$A$3:$F$32,2,FALSE))&lt;test!$K$16,$A109&lt;&gt;D$1,Recharged_Feasible_mat!E78=1),(VLOOKUP(D$1,test!$A$3:$I$32,8,FALSE))-(VLOOKUP($A109,test!$A$3:$I$32,9,FALSE))-test!$B$35,0)</f>
        <v>0</v>
      </c>
      <c r="E109">
        <f>IF(AND(SUM(VLOOKUP($A109,test!$A$3:$F$32,2,FALSE),VLOOKUP(E$1,test!$A$3:$F$32,2,FALSE))&lt;test!$K$16,$A109&lt;&gt;E$1,Recharged_Feasible_mat!F78=1),(VLOOKUP(E$1,test!$A$3:$I$32,8,FALSE))-(VLOOKUP($A109,test!$A$3:$I$32,9,FALSE))-test!$B$35,0)</f>
        <v>0</v>
      </c>
      <c r="F109">
        <f>IF(AND(SUM(VLOOKUP($A109,test!$A$3:$F$32,2,FALSE),VLOOKUP(F$1,test!$A$3:$F$32,2,FALSE))&lt;test!$K$16,$A109&lt;&gt;F$1,Recharged_Feasible_mat!G78=1),(VLOOKUP(F$1,test!$A$3:$I$32,8,FALSE))-(VLOOKUP($A109,test!$A$3:$I$32,9,FALSE))-test!$B$35,0)</f>
        <v>90</v>
      </c>
      <c r="G109">
        <f>IF(AND(SUM(VLOOKUP($A109,test!$A$3:$F$32,2,FALSE),VLOOKUP(G$1,test!$A$3:$F$32,2,FALSE))&lt;test!$K$16,$A109&lt;&gt;G$1,Recharged_Feasible_mat!H78=1),(VLOOKUP(G$1,test!$A$3:$I$32,8,FALSE))-(VLOOKUP($A109,test!$A$3:$I$32,9,FALSE))-test!$B$35,0)</f>
        <v>150</v>
      </c>
      <c r="H109">
        <f>IF(AND(SUM(VLOOKUP($A109,test!$A$3:$F$32,2,FALSE),VLOOKUP(H$1,test!$A$3:$F$32,2,FALSE))&lt;test!$K$16,$A109&lt;&gt;H$1,Recharged_Feasible_mat!I78=1),(VLOOKUP(H$1,test!$A$3:$I$32,8,FALSE))-(VLOOKUP($A109,test!$A$3:$I$32,9,FALSE))-test!$B$35,0)</f>
        <v>210</v>
      </c>
      <c r="I109">
        <f>IF(AND(SUM(VLOOKUP($A109,test!$A$3:$F$32,2,FALSE),VLOOKUP(I$1,test!$A$3:$F$32,2,FALSE))&lt;test!$K$16,$A109&lt;&gt;I$1,Recharged_Feasible_mat!J78=1),(VLOOKUP(I$1,test!$A$3:$I$32,8,FALSE))-(VLOOKUP($A109,test!$A$3:$I$32,9,FALSE))-test!$B$35,0)</f>
        <v>270</v>
      </c>
      <c r="J109">
        <f>IF(AND(SUM(VLOOKUP($A109,test!$A$3:$F$32,2,FALSE),VLOOKUP(J$1,test!$A$3:$F$32,2,FALSE))&lt;test!$K$16,$A109&lt;&gt;J$1,Recharged_Feasible_mat!K78=1),(VLOOKUP(J$1,test!$A$3:$I$32,8,FALSE))-(VLOOKUP($A109,test!$A$3:$I$32,9,FALSE))-test!$B$35,0)</f>
        <v>360</v>
      </c>
      <c r="K109">
        <f>IF(AND(SUM(VLOOKUP($A109,test!$A$3:$F$32,2,FALSE),VLOOKUP(K$1,test!$A$3:$F$32,2,FALSE))&lt;test!$K$16,$A109&lt;&gt;K$1,Recharged_Feasible_mat!L78=1),(VLOOKUP(K$1,test!$A$3:$I$32,8,FALSE))-(VLOOKUP($A109,test!$A$3:$I$32,9,FALSE))-test!$B$35,0)</f>
        <v>0</v>
      </c>
      <c r="L109">
        <f>IF(AND(SUM(VLOOKUP($A109,test!$A$3:$F$32,2,FALSE),VLOOKUP(L$1,test!$A$3:$F$32,2,FALSE))&lt;test!$K$16,$A109&lt;&gt;L$1,Recharged_Feasible_mat!M78=1),(VLOOKUP(L$1,test!$A$3:$I$32,8,FALSE))-(VLOOKUP($A109,test!$A$3:$I$32,9,FALSE))-test!$B$35,0)</f>
        <v>0</v>
      </c>
      <c r="M109">
        <f>IF(AND(SUM(VLOOKUP($A109,test!$A$3:$F$32,2,FALSE),VLOOKUP(M$1,test!$A$3:$F$32,2,FALSE))&lt;test!$K$16,$A109&lt;&gt;M$1,Recharged_Feasible_mat!N78=1),(VLOOKUP(M$1,test!$A$3:$I$32,8,FALSE))-(VLOOKUP($A109,test!$A$3:$I$32,9,FALSE))-test!$B$35,0)</f>
        <v>0</v>
      </c>
      <c r="N109">
        <f>IF(AND(SUM(VLOOKUP($A109,test!$A$3:$F$32,2,FALSE),VLOOKUP(N$1,test!$A$3:$F$32,2,FALSE))&lt;test!$K$16,$A109&lt;&gt;N$1,Recharged_Feasible_mat!O78=1),(VLOOKUP(N$1,test!$A$3:$I$32,8,FALSE))-(VLOOKUP($A109,test!$A$3:$I$32,9,FALSE))-test!$B$35,0)</f>
        <v>0</v>
      </c>
      <c r="O109">
        <f>IF(AND(SUM(VLOOKUP($A109,test!$A$3:$F$32,2,FALSE),VLOOKUP(O$1,test!$A$3:$F$32,2,FALSE))&lt;test!$K$16,$A109&lt;&gt;O$1,Recharged_Feasible_mat!P78=1),(VLOOKUP(O$1,test!$A$3:$I$32,8,FALSE))-(VLOOKUP($A109,test!$A$3:$I$32,9,FALSE))-test!$B$35,0)</f>
        <v>0</v>
      </c>
      <c r="P109">
        <f>IF(AND(SUM(VLOOKUP($A109,test!$A$3:$F$32,2,FALSE),VLOOKUP(P$1,test!$A$3:$F$32,2,FALSE))&lt;test!$K$16,$A109&lt;&gt;P$1,Recharged_Feasible_mat!Q78=1),(VLOOKUP(P$1,test!$A$3:$I$32,8,FALSE))-(VLOOKUP($A109,test!$A$3:$I$32,9,FALSE))-test!$B$35,0)</f>
        <v>0</v>
      </c>
      <c r="Q109">
        <f>IF(AND(SUM(VLOOKUP($A109,test!$A$3:$F$32,2,FALSE),VLOOKUP(Q$1,test!$A$3:$F$32,2,FALSE))&lt;test!$K$16,$A109&lt;&gt;Q$1,Recharged_Feasible_mat!R78=1),(VLOOKUP(Q$1,test!$A$3:$I$32,8,FALSE))-(VLOOKUP($A109,test!$A$3:$I$32,9,FALSE))-test!$B$35,0)</f>
        <v>0</v>
      </c>
      <c r="R109">
        <f>IF(AND(SUM(VLOOKUP($A109,test!$A$3:$F$32,2,FALSE),VLOOKUP(R$1,test!$A$3:$F$32,2,FALSE))&lt;test!$K$16,$A109&lt;&gt;R$1,Recharged_Feasible_mat!S78=1),(VLOOKUP(R$1,test!$A$3:$I$32,8,FALSE))-(VLOOKUP($A109,test!$A$3:$I$32,9,FALSE))-test!$B$35,0)</f>
        <v>0</v>
      </c>
      <c r="S109">
        <f>IF(AND(SUM(VLOOKUP($A109,test!$A$3:$F$32,2,FALSE),VLOOKUP(S$1,test!$A$3:$F$32,2,FALSE))&lt;test!$K$16,$A109&lt;&gt;S$1,Recharged_Feasible_mat!T78=1),(VLOOKUP(S$1,test!$A$3:$I$32,8,FALSE))-(VLOOKUP($A109,test!$A$3:$I$32,9,FALSE))-test!$B$35,0)</f>
        <v>0</v>
      </c>
      <c r="T109">
        <f>IF(AND(SUM(VLOOKUP($A109,test!$A$3:$F$32,2,FALSE),VLOOKUP(T$1,test!$A$3:$F$32,2,FALSE))&lt;test!$K$16,$A109&lt;&gt;T$1,Recharged_Feasible_mat!U78=1),(VLOOKUP(T$1,test!$A$3:$I$32,8,FALSE))-(VLOOKUP($A109,test!$A$3:$I$32,9,FALSE))-test!$B$35,0)</f>
        <v>0</v>
      </c>
      <c r="U109">
        <f>IF(AND(SUM(VLOOKUP($A109,test!$A$3:$F$32,2,FALSE),VLOOKUP(U$1,test!$A$3:$F$32,2,FALSE))&lt;test!$K$16,$A109&lt;&gt;U$1,Recharged_Feasible_mat!V78=1),(VLOOKUP(U$1,test!$A$3:$I$32,8,FALSE))-(VLOOKUP($A109,test!$A$3:$I$32,9,FALSE))-test!$B$35,0)</f>
        <v>70</v>
      </c>
      <c r="V109">
        <f>IF(AND(SUM(VLOOKUP($A109,test!$A$3:$F$32,2,FALSE),VLOOKUP(V$1,test!$A$3:$F$32,2,FALSE))&lt;test!$K$16,$A109&lt;&gt;V$1,Recharged_Feasible_mat!W78=1),(VLOOKUP(V$1,test!$A$3:$I$32,8,FALSE))-(VLOOKUP($A109,test!$A$3:$I$32,9,FALSE))-test!$B$35,0)</f>
        <v>160</v>
      </c>
      <c r="W109">
        <f>IF(AND(SUM(VLOOKUP($A109,test!$A$3:$F$32,2,FALSE),VLOOKUP(W$1,test!$A$3:$F$32,2,FALSE))&lt;test!$K$16,$A109&lt;&gt;W$1,Recharged_Feasible_mat!X78=1),(VLOOKUP(W$1,test!$A$3:$I$32,8,FALSE))-(VLOOKUP($A109,test!$A$3:$I$32,9,FALSE))-test!$B$35,0)</f>
        <v>250</v>
      </c>
      <c r="X109">
        <f>IF(AND(SUM(VLOOKUP($A109,test!$A$3:$F$32,2,FALSE),VLOOKUP(X$1,test!$A$3:$F$32,2,FALSE))&lt;test!$K$16,$A109&lt;&gt;X$1,Recharged_Feasible_mat!Y78=1),(VLOOKUP(X$1,test!$A$3:$I$32,8,FALSE))-(VLOOKUP($A109,test!$A$3:$I$32,9,FALSE))-test!$B$35,0)</f>
        <v>310</v>
      </c>
      <c r="Y109">
        <f>IF(AND(SUM(VLOOKUP($A109,test!$A$3:$F$32,2,FALSE),VLOOKUP(Y$1,test!$A$3:$F$32,2,FALSE))&lt;test!$K$16,$A109&lt;&gt;Y$1,Recharged_Feasible_mat!Z78=1),(VLOOKUP(Y$1,test!$A$3:$I$32,8,FALSE))-(VLOOKUP($A109,test!$A$3:$I$32,9,FALSE))-test!$B$35,0)</f>
        <v>0</v>
      </c>
      <c r="Z109">
        <f>IF(AND(SUM(VLOOKUP($A109,test!$A$3:$F$32,2,FALSE),VLOOKUP(Z$1,test!$A$3:$F$32,2,FALSE))&lt;test!$K$16,$A109&lt;&gt;Z$1,Recharged_Feasible_mat!AA78=1),(VLOOKUP(Z$1,test!$A$3:$I$32,8,FALSE))-(VLOOKUP($A109,test!$A$3:$I$32,9,FALSE))-test!$B$35,0)</f>
        <v>0</v>
      </c>
      <c r="AA109">
        <f>IF(AND(SUM(VLOOKUP($A109,test!$A$3:$F$32,2,FALSE),VLOOKUP(AA$1,test!$A$3:$F$32,2,FALSE))&lt;test!$K$16,$A109&lt;&gt;AA$1,Recharged_Feasible_mat!AB78=1),(VLOOKUP(AA$1,test!$A$3:$I$32,8,FALSE))-(VLOOKUP($A109,test!$A$3:$I$32,9,FALSE))-test!$B$35,0)</f>
        <v>0</v>
      </c>
      <c r="AB109">
        <f>IF(AND(SUM(VLOOKUP($A109,test!$A$3:$F$32,2,FALSE),VLOOKUP(AB$1,test!$A$3:$F$32,2,FALSE))&lt;test!$K$16,$A109&lt;&gt;AB$1,Recharged_Feasible_mat!AC78=1),(VLOOKUP(AB$1,test!$A$3:$I$32,8,FALSE))-(VLOOKUP($A109,test!$A$3:$I$32,9,FALSE))-test!$B$35,0)</f>
        <v>0</v>
      </c>
      <c r="AC109">
        <f>IF(AND(SUM(VLOOKUP($A109,test!$A$3:$F$32,2,FALSE),VLOOKUP(AC$1,test!$A$3:$F$32,2,FALSE))&lt;test!$K$16,$A109&lt;&gt;AC$1,Recharged_Feasible_mat!AD78=1),(VLOOKUP(AC$1,test!$A$3:$I$32,8,FALSE))-(VLOOKUP($A109,test!$A$3:$I$32,9,FALSE))-test!$B$35,0)</f>
        <v>0</v>
      </c>
      <c r="AD109">
        <f>IF(AND(SUM(VLOOKUP($A109,test!$A$3:$F$32,2,FALSE),VLOOKUP(AD$1,test!$A$3:$F$32,2,FALSE))&lt;test!$K$16,$A109&lt;&gt;AD$1,Recharged_Feasible_mat!AE78=1),(VLOOKUP(AD$1,test!$A$3:$I$32,8,FALSE))-(VLOOKUP($A109,test!$A$3:$I$32,9,FALSE))-test!$B$35,0)</f>
        <v>0</v>
      </c>
      <c r="AE109">
        <f>IF(AND(SUM(VLOOKUP($A109,test!$A$3:$F$32,2,FALSE),VLOOKUP(AE$1,test!$A$3:$F$32,2,FALSE))&lt;test!$K$16,$A109&lt;&gt;AE$1,Recharged_Feasible_mat!AF78=1),(VLOOKUP(AE$1,test!$A$3:$I$32,8,FALSE))-(VLOOKUP($A109,test!$A$3:$I$32,9,FALSE))-test!$B$35,0)</f>
        <v>0</v>
      </c>
      <c r="AF109">
        <f>IF(AND(SUM(VLOOKUP($A109,test!$A$3:$F$32,2,FALSE),VLOOKUP(AF$1,test!$A$3:$F$32,2,FALSE))&lt;test!$K$16,$A109&lt;&gt;AF$1,Recharged_Feasible_mat!AG78=1),(VLOOKUP(AF$1,test!$A$3:$I$32,8,FALSE))-(VLOOKUP($A109,test!$A$3:$I$32,9,FALSE))-test!$B$35,0)</f>
        <v>0</v>
      </c>
    </row>
    <row r="110" spans="1:32" x14ac:dyDescent="0.25">
      <c r="A110" t="s">
        <v>26</v>
      </c>
      <c r="B110">
        <v>0</v>
      </c>
      <c r="C110">
        <f>IF(AND(SUM(VLOOKUP($A110,test!$A$3:$F$32,2,FALSE),VLOOKUP(C$1,test!$A$3:$F$32,2,FALSE))&lt;test!$K$16,$A110&lt;&gt;C$1,Recharged_Feasible_mat!D79=1),(VLOOKUP(C$1,test!$A$3:$I$32,8,FALSE))-(VLOOKUP($A110,test!$A$3:$I$32,9,FALSE))-test!$B$35,0)</f>
        <v>0</v>
      </c>
      <c r="D110">
        <f>IF(AND(SUM(VLOOKUP($A110,test!$A$3:$F$32,2,FALSE),VLOOKUP(D$1,test!$A$3:$F$32,2,FALSE))&lt;test!$K$16,$A110&lt;&gt;D$1,Recharged_Feasible_mat!E79=1),(VLOOKUP(D$1,test!$A$3:$I$32,8,FALSE))-(VLOOKUP($A110,test!$A$3:$I$32,9,FALSE))-test!$B$35,0)</f>
        <v>5</v>
      </c>
      <c r="E110">
        <f>IF(AND(SUM(VLOOKUP($A110,test!$A$3:$F$32,2,FALSE),VLOOKUP(E$1,test!$A$3:$F$32,2,FALSE))&lt;test!$K$16,$A110&lt;&gt;E$1,Recharged_Feasible_mat!F79=1),(VLOOKUP(E$1,test!$A$3:$I$32,8,FALSE))-(VLOOKUP($A110,test!$A$3:$I$32,9,FALSE))-test!$B$35,0)</f>
        <v>95</v>
      </c>
      <c r="F110">
        <f>IF(AND(SUM(VLOOKUP($A110,test!$A$3:$F$32,2,FALSE),VLOOKUP(F$1,test!$A$3:$F$32,2,FALSE))&lt;test!$K$16,$A110&lt;&gt;F$1,Recharged_Feasible_mat!G79=1),(VLOOKUP(F$1,test!$A$3:$I$32,8,FALSE))-(VLOOKUP($A110,test!$A$3:$I$32,9,FALSE))-test!$B$35,0)</f>
        <v>185</v>
      </c>
      <c r="G110">
        <f>IF(AND(SUM(VLOOKUP($A110,test!$A$3:$F$32,2,FALSE),VLOOKUP(G$1,test!$A$3:$F$32,2,FALSE))&lt;test!$K$16,$A110&lt;&gt;G$1,Recharged_Feasible_mat!H79=1),(VLOOKUP(G$1,test!$A$3:$I$32,8,FALSE))-(VLOOKUP($A110,test!$A$3:$I$32,9,FALSE))-test!$B$35,0)</f>
        <v>245</v>
      </c>
      <c r="H110">
        <f>IF(AND(SUM(VLOOKUP($A110,test!$A$3:$F$32,2,FALSE),VLOOKUP(H$1,test!$A$3:$F$32,2,FALSE))&lt;test!$K$16,$A110&lt;&gt;H$1,Recharged_Feasible_mat!I79=1),(VLOOKUP(H$1,test!$A$3:$I$32,8,FALSE))-(VLOOKUP($A110,test!$A$3:$I$32,9,FALSE))-test!$B$35,0)</f>
        <v>305</v>
      </c>
      <c r="I110">
        <f>IF(AND(SUM(VLOOKUP($A110,test!$A$3:$F$32,2,FALSE),VLOOKUP(I$1,test!$A$3:$F$32,2,FALSE))&lt;test!$K$16,$A110&lt;&gt;I$1,Recharged_Feasible_mat!J79=1),(VLOOKUP(I$1,test!$A$3:$I$32,8,FALSE))-(VLOOKUP($A110,test!$A$3:$I$32,9,FALSE))-test!$B$35,0)</f>
        <v>365</v>
      </c>
      <c r="J110">
        <f>IF(AND(SUM(VLOOKUP($A110,test!$A$3:$F$32,2,FALSE),VLOOKUP(J$1,test!$A$3:$F$32,2,FALSE))&lt;test!$K$16,$A110&lt;&gt;J$1,Recharged_Feasible_mat!K79=1),(VLOOKUP(J$1,test!$A$3:$I$32,8,FALSE))-(VLOOKUP($A110,test!$A$3:$I$32,9,FALSE))-test!$B$35,0)</f>
        <v>455</v>
      </c>
      <c r="K110">
        <f>IF(AND(SUM(VLOOKUP($A110,test!$A$3:$F$32,2,FALSE),VLOOKUP(K$1,test!$A$3:$F$32,2,FALSE))&lt;test!$K$16,$A110&lt;&gt;K$1,Recharged_Feasible_mat!L79=1),(VLOOKUP(K$1,test!$A$3:$I$32,8,FALSE))-(VLOOKUP($A110,test!$A$3:$I$32,9,FALSE))-test!$B$35,0)</f>
        <v>0</v>
      </c>
      <c r="L110">
        <f>IF(AND(SUM(VLOOKUP($A110,test!$A$3:$F$32,2,FALSE),VLOOKUP(L$1,test!$A$3:$F$32,2,FALSE))&lt;test!$K$16,$A110&lt;&gt;L$1,Recharged_Feasible_mat!M79=1),(VLOOKUP(L$1,test!$A$3:$I$32,8,FALSE))-(VLOOKUP($A110,test!$A$3:$I$32,9,FALSE))-test!$B$35,0)</f>
        <v>0</v>
      </c>
      <c r="M110">
        <f>IF(AND(SUM(VLOOKUP($A110,test!$A$3:$F$32,2,FALSE),VLOOKUP(M$1,test!$A$3:$F$32,2,FALSE))&lt;test!$K$16,$A110&lt;&gt;M$1,Recharged_Feasible_mat!N79=1),(VLOOKUP(M$1,test!$A$3:$I$32,8,FALSE))-(VLOOKUP($A110,test!$A$3:$I$32,9,FALSE))-test!$B$35,0)</f>
        <v>60</v>
      </c>
      <c r="N110">
        <f>IF(AND(SUM(VLOOKUP($A110,test!$A$3:$F$32,2,FALSE),VLOOKUP(N$1,test!$A$3:$F$32,2,FALSE))&lt;test!$K$16,$A110&lt;&gt;N$1,Recharged_Feasible_mat!O79=1),(VLOOKUP(N$1,test!$A$3:$I$32,8,FALSE))-(VLOOKUP($A110,test!$A$3:$I$32,9,FALSE))-test!$B$35,0)</f>
        <v>420</v>
      </c>
      <c r="O110">
        <f>IF(AND(SUM(VLOOKUP($A110,test!$A$3:$F$32,2,FALSE),VLOOKUP(O$1,test!$A$3:$F$32,2,FALSE))&lt;test!$K$16,$A110&lt;&gt;O$1,Recharged_Feasible_mat!P79=1),(VLOOKUP(O$1,test!$A$3:$I$32,8,FALSE))-(VLOOKUP($A110,test!$A$3:$I$32,9,FALSE))-test!$B$35,0)</f>
        <v>480</v>
      </c>
      <c r="P110">
        <f>IF(AND(SUM(VLOOKUP($A110,test!$A$3:$F$32,2,FALSE),VLOOKUP(P$1,test!$A$3:$F$32,2,FALSE))&lt;test!$K$16,$A110&lt;&gt;P$1,Recharged_Feasible_mat!Q79=1),(VLOOKUP(P$1,test!$A$3:$I$32,8,FALSE))-(VLOOKUP($A110,test!$A$3:$I$32,9,FALSE))-test!$B$35,0)</f>
        <v>0</v>
      </c>
      <c r="Q110">
        <f>IF(AND(SUM(VLOOKUP($A110,test!$A$3:$F$32,2,FALSE),VLOOKUP(Q$1,test!$A$3:$F$32,2,FALSE))&lt;test!$K$16,$A110&lt;&gt;Q$1,Recharged_Feasible_mat!R79=1),(VLOOKUP(Q$1,test!$A$3:$I$32,8,FALSE))-(VLOOKUP($A110,test!$A$3:$I$32,9,FALSE))-test!$B$35,0)</f>
        <v>0</v>
      </c>
      <c r="R110">
        <f>IF(AND(SUM(VLOOKUP($A110,test!$A$3:$F$32,2,FALSE),VLOOKUP(R$1,test!$A$3:$F$32,2,FALSE))&lt;test!$K$16,$A110&lt;&gt;R$1,Recharged_Feasible_mat!S79=1),(VLOOKUP(R$1,test!$A$3:$I$32,8,FALSE))-(VLOOKUP($A110,test!$A$3:$I$32,9,FALSE))-test!$B$35,0)</f>
        <v>0</v>
      </c>
      <c r="S110">
        <f>IF(AND(SUM(VLOOKUP($A110,test!$A$3:$F$32,2,FALSE),VLOOKUP(S$1,test!$A$3:$F$32,2,FALSE))&lt;test!$K$16,$A110&lt;&gt;S$1,Recharged_Feasible_mat!T79=1),(VLOOKUP(S$1,test!$A$3:$I$32,8,FALSE))-(VLOOKUP($A110,test!$A$3:$I$32,9,FALSE))-test!$B$35,0)</f>
        <v>0</v>
      </c>
      <c r="T110">
        <f>IF(AND(SUM(VLOOKUP($A110,test!$A$3:$F$32,2,FALSE),VLOOKUP(T$1,test!$A$3:$F$32,2,FALSE))&lt;test!$K$16,$A110&lt;&gt;T$1,Recharged_Feasible_mat!U79=1),(VLOOKUP(T$1,test!$A$3:$I$32,8,FALSE))-(VLOOKUP($A110,test!$A$3:$I$32,9,FALSE))-test!$B$35,0)</f>
        <v>75</v>
      </c>
      <c r="U110">
        <f>IF(AND(SUM(VLOOKUP($A110,test!$A$3:$F$32,2,FALSE),VLOOKUP(U$1,test!$A$3:$F$32,2,FALSE))&lt;test!$K$16,$A110&lt;&gt;U$1,Recharged_Feasible_mat!V79=1),(VLOOKUP(U$1,test!$A$3:$I$32,8,FALSE))-(VLOOKUP($A110,test!$A$3:$I$32,9,FALSE))-test!$B$35,0)</f>
        <v>165</v>
      </c>
      <c r="V110">
        <f>IF(AND(SUM(VLOOKUP($A110,test!$A$3:$F$32,2,FALSE),VLOOKUP(V$1,test!$A$3:$F$32,2,FALSE))&lt;test!$K$16,$A110&lt;&gt;V$1,Recharged_Feasible_mat!W79=1),(VLOOKUP(V$1,test!$A$3:$I$32,8,FALSE))-(VLOOKUP($A110,test!$A$3:$I$32,9,FALSE))-test!$B$35,0)</f>
        <v>255</v>
      </c>
      <c r="W110">
        <f>IF(AND(SUM(VLOOKUP($A110,test!$A$3:$F$32,2,FALSE),VLOOKUP(W$1,test!$A$3:$F$32,2,FALSE))&lt;test!$K$16,$A110&lt;&gt;W$1,Recharged_Feasible_mat!X79=1),(VLOOKUP(W$1,test!$A$3:$I$32,8,FALSE))-(VLOOKUP($A110,test!$A$3:$I$32,9,FALSE))-test!$B$35,0)</f>
        <v>345</v>
      </c>
      <c r="X110">
        <f>IF(AND(SUM(VLOOKUP($A110,test!$A$3:$F$32,2,FALSE),VLOOKUP(X$1,test!$A$3:$F$32,2,FALSE))&lt;test!$K$16,$A110&lt;&gt;X$1,Recharged_Feasible_mat!Y79=1),(VLOOKUP(X$1,test!$A$3:$I$32,8,FALSE))-(VLOOKUP($A110,test!$A$3:$I$32,9,FALSE))-test!$B$35,0)</f>
        <v>405</v>
      </c>
      <c r="Y110">
        <f>IF(AND(SUM(VLOOKUP($A110,test!$A$3:$F$32,2,FALSE),VLOOKUP(Y$1,test!$A$3:$F$32,2,FALSE))&lt;test!$K$16,$A110&lt;&gt;Y$1,Recharged_Feasible_mat!Z79=1),(VLOOKUP(Y$1,test!$A$3:$I$32,8,FALSE))-(VLOOKUP($A110,test!$A$3:$I$32,9,FALSE))-test!$B$35,0)</f>
        <v>0</v>
      </c>
      <c r="Z110">
        <f>IF(AND(SUM(VLOOKUP($A110,test!$A$3:$F$32,2,FALSE),VLOOKUP(Z$1,test!$A$3:$F$32,2,FALSE))&lt;test!$K$16,$A110&lt;&gt;Z$1,Recharged_Feasible_mat!AA79=1),(VLOOKUP(Z$1,test!$A$3:$I$32,8,FALSE))-(VLOOKUP($A110,test!$A$3:$I$32,9,FALSE))-test!$B$35,0)</f>
        <v>5</v>
      </c>
      <c r="AA110">
        <f>IF(AND(SUM(VLOOKUP($A110,test!$A$3:$F$32,2,FALSE),VLOOKUP(AA$1,test!$A$3:$F$32,2,FALSE))&lt;test!$K$16,$A110&lt;&gt;AA$1,Recharged_Feasible_mat!AB79=1),(VLOOKUP(AA$1,test!$A$3:$I$32,8,FALSE))-(VLOOKUP($A110,test!$A$3:$I$32,9,FALSE))-test!$B$35,0)</f>
        <v>125</v>
      </c>
      <c r="AB110">
        <f>IF(AND(SUM(VLOOKUP($A110,test!$A$3:$F$32,2,FALSE),VLOOKUP(AB$1,test!$A$3:$F$32,2,FALSE))&lt;test!$K$16,$A110&lt;&gt;AB$1,Recharged_Feasible_mat!AC79=1),(VLOOKUP(AB$1,test!$A$3:$I$32,8,FALSE))-(VLOOKUP($A110,test!$A$3:$I$32,9,FALSE))-test!$B$35,0)</f>
        <v>185</v>
      </c>
      <c r="AC110">
        <f>IF(AND(SUM(VLOOKUP($A110,test!$A$3:$F$32,2,FALSE),VLOOKUP(AC$1,test!$A$3:$F$32,2,FALSE))&lt;test!$K$16,$A110&lt;&gt;AC$1,Recharged_Feasible_mat!AD79=1),(VLOOKUP(AC$1,test!$A$3:$I$32,8,FALSE))-(VLOOKUP($A110,test!$A$3:$I$32,9,FALSE))-test!$B$35,0)</f>
        <v>305</v>
      </c>
      <c r="AD110">
        <f>IF(AND(SUM(VLOOKUP($A110,test!$A$3:$F$32,2,FALSE),VLOOKUP(AD$1,test!$A$3:$F$32,2,FALSE))&lt;test!$K$16,$A110&lt;&gt;AD$1,Recharged_Feasible_mat!AE79=1),(VLOOKUP(AD$1,test!$A$3:$I$32,8,FALSE))-(VLOOKUP($A110,test!$A$3:$I$32,9,FALSE))-test!$B$35,0)</f>
        <v>0</v>
      </c>
      <c r="AE110">
        <f>IF(AND(SUM(VLOOKUP($A110,test!$A$3:$F$32,2,FALSE),VLOOKUP(AE$1,test!$A$3:$F$32,2,FALSE))&lt;test!$K$16,$A110&lt;&gt;AE$1,Recharged_Feasible_mat!AF79=1),(VLOOKUP(AE$1,test!$A$3:$I$32,8,FALSE))-(VLOOKUP($A110,test!$A$3:$I$32,9,FALSE))-test!$B$35,0)</f>
        <v>125</v>
      </c>
      <c r="AF110">
        <f>IF(AND(SUM(VLOOKUP($A110,test!$A$3:$F$32,2,FALSE),VLOOKUP(AF$1,test!$A$3:$F$32,2,FALSE))&lt;test!$K$16,$A110&lt;&gt;AF$1,Recharged_Feasible_mat!AG79=1),(VLOOKUP(AF$1,test!$A$3:$I$32,8,FALSE))-(VLOOKUP($A110,test!$A$3:$I$32,9,FALSE))-test!$B$35,0)</f>
        <v>0</v>
      </c>
    </row>
    <row r="111" spans="1:32" x14ac:dyDescent="0.25">
      <c r="A111" t="s">
        <v>27</v>
      </c>
      <c r="B111">
        <v>0</v>
      </c>
      <c r="C111">
        <f>IF(AND(SUM(VLOOKUP($A111,test!$A$3:$F$32,2,FALSE),VLOOKUP(C$1,test!$A$3:$F$32,2,FALSE))&lt;test!$K$16,$A111&lt;&gt;C$1,Recharged_Feasible_mat!D80=1),(VLOOKUP(C$1,test!$A$3:$I$32,8,FALSE))-(VLOOKUP($A111,test!$A$3:$I$32,9,FALSE))-test!$B$35,0)</f>
        <v>0</v>
      </c>
      <c r="D111">
        <f>IF(AND(SUM(VLOOKUP($A111,test!$A$3:$F$32,2,FALSE),VLOOKUP(D$1,test!$A$3:$F$32,2,FALSE))&lt;test!$K$16,$A111&lt;&gt;D$1,Recharged_Feasible_mat!E80=1),(VLOOKUP(D$1,test!$A$3:$I$32,8,FALSE))-(VLOOKUP($A111,test!$A$3:$I$32,9,FALSE))-test!$B$35,0)</f>
        <v>0</v>
      </c>
      <c r="E111">
        <f>IF(AND(SUM(VLOOKUP($A111,test!$A$3:$F$32,2,FALSE),VLOOKUP(E$1,test!$A$3:$F$32,2,FALSE))&lt;test!$K$16,$A111&lt;&gt;E$1,Recharged_Feasible_mat!F80=1),(VLOOKUP(E$1,test!$A$3:$I$32,8,FALSE))-(VLOOKUP($A111,test!$A$3:$I$32,9,FALSE))-test!$B$35,0)</f>
        <v>5</v>
      </c>
      <c r="F111">
        <f>IF(AND(SUM(VLOOKUP($A111,test!$A$3:$F$32,2,FALSE),VLOOKUP(F$1,test!$A$3:$F$32,2,FALSE))&lt;test!$K$16,$A111&lt;&gt;F$1,Recharged_Feasible_mat!G80=1),(VLOOKUP(F$1,test!$A$3:$I$32,8,FALSE))-(VLOOKUP($A111,test!$A$3:$I$32,9,FALSE))-test!$B$35,0)</f>
        <v>95</v>
      </c>
      <c r="G111">
        <f>IF(AND(SUM(VLOOKUP($A111,test!$A$3:$F$32,2,FALSE),VLOOKUP(G$1,test!$A$3:$F$32,2,FALSE))&lt;test!$K$16,$A111&lt;&gt;G$1,Recharged_Feasible_mat!H80=1),(VLOOKUP(G$1,test!$A$3:$I$32,8,FALSE))-(VLOOKUP($A111,test!$A$3:$I$32,9,FALSE))-test!$B$35,0)</f>
        <v>155</v>
      </c>
      <c r="H111">
        <f>IF(AND(SUM(VLOOKUP($A111,test!$A$3:$F$32,2,FALSE),VLOOKUP(H$1,test!$A$3:$F$32,2,FALSE))&lt;test!$K$16,$A111&lt;&gt;H$1,Recharged_Feasible_mat!I80=1),(VLOOKUP(H$1,test!$A$3:$I$32,8,FALSE))-(VLOOKUP($A111,test!$A$3:$I$32,9,FALSE))-test!$B$35,0)</f>
        <v>215</v>
      </c>
      <c r="I111">
        <f>IF(AND(SUM(VLOOKUP($A111,test!$A$3:$F$32,2,FALSE),VLOOKUP(I$1,test!$A$3:$F$32,2,FALSE))&lt;test!$K$16,$A111&lt;&gt;I$1,Recharged_Feasible_mat!J80=1),(VLOOKUP(I$1,test!$A$3:$I$32,8,FALSE))-(VLOOKUP($A111,test!$A$3:$I$32,9,FALSE))-test!$B$35,0)</f>
        <v>275</v>
      </c>
      <c r="J111">
        <f>IF(AND(SUM(VLOOKUP($A111,test!$A$3:$F$32,2,FALSE),VLOOKUP(J$1,test!$A$3:$F$32,2,FALSE))&lt;test!$K$16,$A111&lt;&gt;J$1,Recharged_Feasible_mat!K80=1),(VLOOKUP(J$1,test!$A$3:$I$32,8,FALSE))-(VLOOKUP($A111,test!$A$3:$I$32,9,FALSE))-test!$B$35,0)</f>
        <v>365</v>
      </c>
      <c r="K111">
        <f>IF(AND(SUM(VLOOKUP($A111,test!$A$3:$F$32,2,FALSE),VLOOKUP(K$1,test!$A$3:$F$32,2,FALSE))&lt;test!$K$16,$A111&lt;&gt;K$1,Recharged_Feasible_mat!L80=1),(VLOOKUP(K$1,test!$A$3:$I$32,8,FALSE))-(VLOOKUP($A111,test!$A$3:$I$32,9,FALSE))-test!$B$35,0)</f>
        <v>0</v>
      </c>
      <c r="L111">
        <f>IF(AND(SUM(VLOOKUP($A111,test!$A$3:$F$32,2,FALSE),VLOOKUP(L$1,test!$A$3:$F$32,2,FALSE))&lt;test!$K$16,$A111&lt;&gt;L$1,Recharged_Feasible_mat!M80=1),(VLOOKUP(L$1,test!$A$3:$I$32,8,FALSE))-(VLOOKUP($A111,test!$A$3:$I$32,9,FALSE))-test!$B$35,0)</f>
        <v>0</v>
      </c>
      <c r="M111">
        <f>IF(AND(SUM(VLOOKUP($A111,test!$A$3:$F$32,2,FALSE),VLOOKUP(M$1,test!$A$3:$F$32,2,FALSE))&lt;test!$K$16,$A111&lt;&gt;M$1,Recharged_Feasible_mat!N80=1),(VLOOKUP(M$1,test!$A$3:$I$32,8,FALSE))-(VLOOKUP($A111,test!$A$3:$I$32,9,FALSE))-test!$B$35,0)</f>
        <v>0</v>
      </c>
      <c r="N111">
        <f>IF(AND(SUM(VLOOKUP($A111,test!$A$3:$F$32,2,FALSE),VLOOKUP(N$1,test!$A$3:$F$32,2,FALSE))&lt;test!$K$16,$A111&lt;&gt;N$1,Recharged_Feasible_mat!O80=1),(VLOOKUP(N$1,test!$A$3:$I$32,8,FALSE))-(VLOOKUP($A111,test!$A$3:$I$32,9,FALSE))-test!$B$35,0)</f>
        <v>330</v>
      </c>
      <c r="O111">
        <f>IF(AND(SUM(VLOOKUP($A111,test!$A$3:$F$32,2,FALSE),VLOOKUP(O$1,test!$A$3:$F$32,2,FALSE))&lt;test!$K$16,$A111&lt;&gt;O$1,Recharged_Feasible_mat!P80=1),(VLOOKUP(O$1,test!$A$3:$I$32,8,FALSE))-(VLOOKUP($A111,test!$A$3:$I$32,9,FALSE))-test!$B$35,0)</f>
        <v>390</v>
      </c>
      <c r="P111">
        <f>IF(AND(SUM(VLOOKUP($A111,test!$A$3:$F$32,2,FALSE),VLOOKUP(P$1,test!$A$3:$F$32,2,FALSE))&lt;test!$K$16,$A111&lt;&gt;P$1,Recharged_Feasible_mat!Q80=1),(VLOOKUP(P$1,test!$A$3:$I$32,8,FALSE))-(VLOOKUP($A111,test!$A$3:$I$32,9,FALSE))-test!$B$35,0)</f>
        <v>0</v>
      </c>
      <c r="Q111">
        <f>IF(AND(SUM(VLOOKUP($A111,test!$A$3:$F$32,2,FALSE),VLOOKUP(Q$1,test!$A$3:$F$32,2,FALSE))&lt;test!$K$16,$A111&lt;&gt;Q$1,Recharged_Feasible_mat!R80=1),(VLOOKUP(Q$1,test!$A$3:$I$32,8,FALSE))-(VLOOKUP($A111,test!$A$3:$I$32,9,FALSE))-test!$B$35,0)</f>
        <v>0</v>
      </c>
      <c r="R111">
        <f>IF(AND(SUM(VLOOKUP($A111,test!$A$3:$F$32,2,FALSE),VLOOKUP(R$1,test!$A$3:$F$32,2,FALSE))&lt;test!$K$16,$A111&lt;&gt;R$1,Recharged_Feasible_mat!S80=1),(VLOOKUP(R$1,test!$A$3:$I$32,8,FALSE))-(VLOOKUP($A111,test!$A$3:$I$32,9,FALSE))-test!$B$35,0)</f>
        <v>0</v>
      </c>
      <c r="S111">
        <f>IF(AND(SUM(VLOOKUP($A111,test!$A$3:$F$32,2,FALSE),VLOOKUP(S$1,test!$A$3:$F$32,2,FALSE))&lt;test!$K$16,$A111&lt;&gt;S$1,Recharged_Feasible_mat!T80=1),(VLOOKUP(S$1,test!$A$3:$I$32,8,FALSE))-(VLOOKUP($A111,test!$A$3:$I$32,9,FALSE))-test!$B$35,0)</f>
        <v>0</v>
      </c>
      <c r="T111">
        <f>IF(AND(SUM(VLOOKUP($A111,test!$A$3:$F$32,2,FALSE),VLOOKUP(T$1,test!$A$3:$F$32,2,FALSE))&lt;test!$K$16,$A111&lt;&gt;T$1,Recharged_Feasible_mat!U80=1),(VLOOKUP(T$1,test!$A$3:$I$32,8,FALSE))-(VLOOKUP($A111,test!$A$3:$I$32,9,FALSE))-test!$B$35,0)</f>
        <v>0</v>
      </c>
      <c r="U111">
        <f>IF(AND(SUM(VLOOKUP($A111,test!$A$3:$F$32,2,FALSE),VLOOKUP(U$1,test!$A$3:$F$32,2,FALSE))&lt;test!$K$16,$A111&lt;&gt;U$1,Recharged_Feasible_mat!V80=1),(VLOOKUP(U$1,test!$A$3:$I$32,8,FALSE))-(VLOOKUP($A111,test!$A$3:$I$32,9,FALSE))-test!$B$35,0)</f>
        <v>75</v>
      </c>
      <c r="V111">
        <f>IF(AND(SUM(VLOOKUP($A111,test!$A$3:$F$32,2,FALSE),VLOOKUP(V$1,test!$A$3:$F$32,2,FALSE))&lt;test!$K$16,$A111&lt;&gt;V$1,Recharged_Feasible_mat!W80=1),(VLOOKUP(V$1,test!$A$3:$I$32,8,FALSE))-(VLOOKUP($A111,test!$A$3:$I$32,9,FALSE))-test!$B$35,0)</f>
        <v>165</v>
      </c>
      <c r="W111">
        <f>IF(AND(SUM(VLOOKUP($A111,test!$A$3:$F$32,2,FALSE),VLOOKUP(W$1,test!$A$3:$F$32,2,FALSE))&lt;test!$K$16,$A111&lt;&gt;W$1,Recharged_Feasible_mat!X80=1),(VLOOKUP(W$1,test!$A$3:$I$32,8,FALSE))-(VLOOKUP($A111,test!$A$3:$I$32,9,FALSE))-test!$B$35,0)</f>
        <v>255</v>
      </c>
      <c r="X111">
        <f>IF(AND(SUM(VLOOKUP($A111,test!$A$3:$F$32,2,FALSE),VLOOKUP(X$1,test!$A$3:$F$32,2,FALSE))&lt;test!$K$16,$A111&lt;&gt;X$1,Recharged_Feasible_mat!Y80=1),(VLOOKUP(X$1,test!$A$3:$I$32,8,FALSE))-(VLOOKUP($A111,test!$A$3:$I$32,9,FALSE))-test!$B$35,0)</f>
        <v>315</v>
      </c>
      <c r="Y111">
        <f>IF(AND(SUM(VLOOKUP($A111,test!$A$3:$F$32,2,FALSE),VLOOKUP(Y$1,test!$A$3:$F$32,2,FALSE))&lt;test!$K$16,$A111&lt;&gt;Y$1,Recharged_Feasible_mat!Z80=1),(VLOOKUP(Y$1,test!$A$3:$I$32,8,FALSE))-(VLOOKUP($A111,test!$A$3:$I$32,9,FALSE))-test!$B$35,0)</f>
        <v>0</v>
      </c>
      <c r="Z111">
        <f>IF(AND(SUM(VLOOKUP($A111,test!$A$3:$F$32,2,FALSE),VLOOKUP(Z$1,test!$A$3:$F$32,2,FALSE))&lt;test!$K$16,$A111&lt;&gt;Z$1,Recharged_Feasible_mat!AA80=1),(VLOOKUP(Z$1,test!$A$3:$I$32,8,FALSE))-(VLOOKUP($A111,test!$A$3:$I$32,9,FALSE))-test!$B$35,0)</f>
        <v>0</v>
      </c>
      <c r="AA111">
        <f>IF(AND(SUM(VLOOKUP($A111,test!$A$3:$F$32,2,FALSE),VLOOKUP(AA$1,test!$A$3:$F$32,2,FALSE))&lt;test!$K$16,$A111&lt;&gt;AA$1,Recharged_Feasible_mat!AB80=1),(VLOOKUP(AA$1,test!$A$3:$I$32,8,FALSE))-(VLOOKUP($A111,test!$A$3:$I$32,9,FALSE))-test!$B$35,0)</f>
        <v>35</v>
      </c>
      <c r="AB111">
        <f>IF(AND(SUM(VLOOKUP($A111,test!$A$3:$F$32,2,FALSE),VLOOKUP(AB$1,test!$A$3:$F$32,2,FALSE))&lt;test!$K$16,$A111&lt;&gt;AB$1,Recharged_Feasible_mat!AC80=1),(VLOOKUP(AB$1,test!$A$3:$I$32,8,FALSE))-(VLOOKUP($A111,test!$A$3:$I$32,9,FALSE))-test!$B$35,0)</f>
        <v>95</v>
      </c>
      <c r="AC111">
        <f>IF(AND(SUM(VLOOKUP($A111,test!$A$3:$F$32,2,FALSE),VLOOKUP(AC$1,test!$A$3:$F$32,2,FALSE))&lt;test!$K$16,$A111&lt;&gt;AC$1,Recharged_Feasible_mat!AD80=1),(VLOOKUP(AC$1,test!$A$3:$I$32,8,FALSE))-(VLOOKUP($A111,test!$A$3:$I$32,9,FALSE))-test!$B$35,0)</f>
        <v>215</v>
      </c>
      <c r="AD111">
        <f>IF(AND(SUM(VLOOKUP($A111,test!$A$3:$F$32,2,FALSE),VLOOKUP(AD$1,test!$A$3:$F$32,2,FALSE))&lt;test!$K$16,$A111&lt;&gt;AD$1,Recharged_Feasible_mat!AE80=1),(VLOOKUP(AD$1,test!$A$3:$I$32,8,FALSE))-(VLOOKUP($A111,test!$A$3:$I$32,9,FALSE))-test!$B$35,0)</f>
        <v>0</v>
      </c>
      <c r="AE111">
        <f>IF(AND(SUM(VLOOKUP($A111,test!$A$3:$F$32,2,FALSE),VLOOKUP(AE$1,test!$A$3:$F$32,2,FALSE))&lt;test!$K$16,$A111&lt;&gt;AE$1,Recharged_Feasible_mat!AF80=1),(VLOOKUP(AE$1,test!$A$3:$I$32,8,FALSE))-(VLOOKUP($A111,test!$A$3:$I$32,9,FALSE))-test!$B$35,0)</f>
        <v>35</v>
      </c>
      <c r="AF111">
        <f>IF(AND(SUM(VLOOKUP($A111,test!$A$3:$F$32,2,FALSE),VLOOKUP(AF$1,test!$A$3:$F$32,2,FALSE))&lt;test!$K$16,$A111&lt;&gt;AF$1,Recharged_Feasible_mat!AG80=1),(VLOOKUP(AF$1,test!$A$3:$I$32,8,FALSE))-(VLOOKUP($A111,test!$A$3:$I$32,9,FALSE))-test!$B$35,0)</f>
        <v>0</v>
      </c>
    </row>
    <row r="112" spans="1:32" x14ac:dyDescent="0.25">
      <c r="A112" t="s">
        <v>28</v>
      </c>
      <c r="B112">
        <v>0</v>
      </c>
      <c r="C112">
        <f>IF(AND(SUM(VLOOKUP($A112,test!$A$3:$F$32,2,FALSE),VLOOKUP(C$1,test!$A$3:$F$32,2,FALSE))&lt;test!$K$16,$A112&lt;&gt;C$1,Recharged_Feasible_mat!D81=1),(VLOOKUP(C$1,test!$A$3:$I$32,8,FALSE))-(VLOOKUP($A112,test!$A$3:$I$32,9,FALSE))-test!$B$35,0)</f>
        <v>0</v>
      </c>
      <c r="D112">
        <f>IF(AND(SUM(VLOOKUP($A112,test!$A$3:$F$32,2,FALSE),VLOOKUP(D$1,test!$A$3:$F$32,2,FALSE))&lt;test!$K$16,$A112&lt;&gt;D$1,Recharged_Feasible_mat!E81=1),(VLOOKUP(D$1,test!$A$3:$I$32,8,FALSE))-(VLOOKUP($A112,test!$A$3:$I$32,9,FALSE))-test!$B$35,0)</f>
        <v>0</v>
      </c>
      <c r="E112">
        <f>IF(AND(SUM(VLOOKUP($A112,test!$A$3:$F$32,2,FALSE),VLOOKUP(E$1,test!$A$3:$F$32,2,FALSE))&lt;test!$K$16,$A112&lt;&gt;E$1,Recharged_Feasible_mat!F81=1),(VLOOKUP(E$1,test!$A$3:$I$32,8,FALSE))-(VLOOKUP($A112,test!$A$3:$I$32,9,FALSE))-test!$B$35,0)</f>
        <v>0</v>
      </c>
      <c r="F112">
        <f>IF(AND(SUM(VLOOKUP($A112,test!$A$3:$F$32,2,FALSE),VLOOKUP(F$1,test!$A$3:$F$32,2,FALSE))&lt;test!$K$16,$A112&lt;&gt;F$1,Recharged_Feasible_mat!G81=1),(VLOOKUP(F$1,test!$A$3:$I$32,8,FALSE))-(VLOOKUP($A112,test!$A$3:$I$32,9,FALSE))-test!$B$35,0)</f>
        <v>5</v>
      </c>
      <c r="G112">
        <f>IF(AND(SUM(VLOOKUP($A112,test!$A$3:$F$32,2,FALSE),VLOOKUP(G$1,test!$A$3:$F$32,2,FALSE))&lt;test!$K$16,$A112&lt;&gt;G$1,Recharged_Feasible_mat!H81=1),(VLOOKUP(G$1,test!$A$3:$I$32,8,FALSE))-(VLOOKUP($A112,test!$A$3:$I$32,9,FALSE))-test!$B$35,0)</f>
        <v>65</v>
      </c>
      <c r="H112">
        <f>IF(AND(SUM(VLOOKUP($A112,test!$A$3:$F$32,2,FALSE),VLOOKUP(H$1,test!$A$3:$F$32,2,FALSE))&lt;test!$K$16,$A112&lt;&gt;H$1,Recharged_Feasible_mat!I81=1),(VLOOKUP(H$1,test!$A$3:$I$32,8,FALSE))-(VLOOKUP($A112,test!$A$3:$I$32,9,FALSE))-test!$B$35,0)</f>
        <v>125</v>
      </c>
      <c r="I112">
        <f>IF(AND(SUM(VLOOKUP($A112,test!$A$3:$F$32,2,FALSE),VLOOKUP(I$1,test!$A$3:$F$32,2,FALSE))&lt;test!$K$16,$A112&lt;&gt;I$1,Recharged_Feasible_mat!J81=1),(VLOOKUP(I$1,test!$A$3:$I$32,8,FALSE))-(VLOOKUP($A112,test!$A$3:$I$32,9,FALSE))-test!$B$35,0)</f>
        <v>185</v>
      </c>
      <c r="J112">
        <f>IF(AND(SUM(VLOOKUP($A112,test!$A$3:$F$32,2,FALSE),VLOOKUP(J$1,test!$A$3:$F$32,2,FALSE))&lt;test!$K$16,$A112&lt;&gt;J$1,Recharged_Feasible_mat!K81=1),(VLOOKUP(J$1,test!$A$3:$I$32,8,FALSE))-(VLOOKUP($A112,test!$A$3:$I$32,9,FALSE))-test!$B$35,0)</f>
        <v>275</v>
      </c>
      <c r="K112">
        <f>IF(AND(SUM(VLOOKUP($A112,test!$A$3:$F$32,2,FALSE),VLOOKUP(K$1,test!$A$3:$F$32,2,FALSE))&lt;test!$K$16,$A112&lt;&gt;K$1,Recharged_Feasible_mat!L81=1),(VLOOKUP(K$1,test!$A$3:$I$32,8,FALSE))-(VLOOKUP($A112,test!$A$3:$I$32,9,FALSE))-test!$B$35,0)</f>
        <v>0</v>
      </c>
      <c r="L112">
        <f>IF(AND(SUM(VLOOKUP($A112,test!$A$3:$F$32,2,FALSE),VLOOKUP(L$1,test!$A$3:$F$32,2,FALSE))&lt;test!$K$16,$A112&lt;&gt;L$1,Recharged_Feasible_mat!M81=1),(VLOOKUP(L$1,test!$A$3:$I$32,8,FALSE))-(VLOOKUP($A112,test!$A$3:$I$32,9,FALSE))-test!$B$35,0)</f>
        <v>0</v>
      </c>
      <c r="M112">
        <f>IF(AND(SUM(VLOOKUP($A112,test!$A$3:$F$32,2,FALSE),VLOOKUP(M$1,test!$A$3:$F$32,2,FALSE))&lt;test!$K$16,$A112&lt;&gt;M$1,Recharged_Feasible_mat!N81=1),(VLOOKUP(M$1,test!$A$3:$I$32,8,FALSE))-(VLOOKUP($A112,test!$A$3:$I$32,9,FALSE))-test!$B$35,0)</f>
        <v>0</v>
      </c>
      <c r="N112">
        <f>IF(AND(SUM(VLOOKUP($A112,test!$A$3:$F$32,2,FALSE),VLOOKUP(N$1,test!$A$3:$F$32,2,FALSE))&lt;test!$K$16,$A112&lt;&gt;N$1,Recharged_Feasible_mat!O81=1),(VLOOKUP(N$1,test!$A$3:$I$32,8,FALSE))-(VLOOKUP($A112,test!$A$3:$I$32,9,FALSE))-test!$B$35,0)</f>
        <v>240</v>
      </c>
      <c r="O112">
        <f>IF(AND(SUM(VLOOKUP($A112,test!$A$3:$F$32,2,FALSE),VLOOKUP(O$1,test!$A$3:$F$32,2,FALSE))&lt;test!$K$16,$A112&lt;&gt;O$1,Recharged_Feasible_mat!P81=1),(VLOOKUP(O$1,test!$A$3:$I$32,8,FALSE))-(VLOOKUP($A112,test!$A$3:$I$32,9,FALSE))-test!$B$35,0)</f>
        <v>300</v>
      </c>
      <c r="P112">
        <f>IF(AND(SUM(VLOOKUP($A112,test!$A$3:$F$32,2,FALSE),VLOOKUP(P$1,test!$A$3:$F$32,2,FALSE))&lt;test!$K$16,$A112&lt;&gt;P$1,Recharged_Feasible_mat!Q81=1),(VLOOKUP(P$1,test!$A$3:$I$32,8,FALSE))-(VLOOKUP($A112,test!$A$3:$I$32,9,FALSE))-test!$B$35,0)</f>
        <v>0</v>
      </c>
      <c r="Q112">
        <f>IF(AND(SUM(VLOOKUP($A112,test!$A$3:$F$32,2,FALSE),VLOOKUP(Q$1,test!$A$3:$F$32,2,FALSE))&lt;test!$K$16,$A112&lt;&gt;Q$1,Recharged_Feasible_mat!R81=1),(VLOOKUP(Q$1,test!$A$3:$I$32,8,FALSE))-(VLOOKUP($A112,test!$A$3:$I$32,9,FALSE))-test!$B$35,0)</f>
        <v>0</v>
      </c>
      <c r="R112">
        <f>IF(AND(SUM(VLOOKUP($A112,test!$A$3:$F$32,2,FALSE),VLOOKUP(R$1,test!$A$3:$F$32,2,FALSE))&lt;test!$K$16,$A112&lt;&gt;R$1,Recharged_Feasible_mat!S81=1),(VLOOKUP(R$1,test!$A$3:$I$32,8,FALSE))-(VLOOKUP($A112,test!$A$3:$I$32,9,FALSE))-test!$B$35,0)</f>
        <v>0</v>
      </c>
      <c r="S112">
        <f>IF(AND(SUM(VLOOKUP($A112,test!$A$3:$F$32,2,FALSE),VLOOKUP(S$1,test!$A$3:$F$32,2,FALSE))&lt;test!$K$16,$A112&lt;&gt;S$1,Recharged_Feasible_mat!T81=1),(VLOOKUP(S$1,test!$A$3:$I$32,8,FALSE))-(VLOOKUP($A112,test!$A$3:$I$32,9,FALSE))-test!$B$35,0)</f>
        <v>0</v>
      </c>
      <c r="T112">
        <f>IF(AND(SUM(VLOOKUP($A112,test!$A$3:$F$32,2,FALSE),VLOOKUP(T$1,test!$A$3:$F$32,2,FALSE))&lt;test!$K$16,$A112&lt;&gt;T$1,Recharged_Feasible_mat!U81=1),(VLOOKUP(T$1,test!$A$3:$I$32,8,FALSE))-(VLOOKUP($A112,test!$A$3:$I$32,9,FALSE))-test!$B$35,0)</f>
        <v>0</v>
      </c>
      <c r="U112">
        <f>IF(AND(SUM(VLOOKUP($A112,test!$A$3:$F$32,2,FALSE),VLOOKUP(U$1,test!$A$3:$F$32,2,FALSE))&lt;test!$K$16,$A112&lt;&gt;U$1,Recharged_Feasible_mat!V81=1),(VLOOKUP(U$1,test!$A$3:$I$32,8,FALSE))-(VLOOKUP($A112,test!$A$3:$I$32,9,FALSE))-test!$B$35,0)</f>
        <v>0</v>
      </c>
      <c r="V112">
        <f>IF(AND(SUM(VLOOKUP($A112,test!$A$3:$F$32,2,FALSE),VLOOKUP(V$1,test!$A$3:$F$32,2,FALSE))&lt;test!$K$16,$A112&lt;&gt;V$1,Recharged_Feasible_mat!W81=1),(VLOOKUP(V$1,test!$A$3:$I$32,8,FALSE))-(VLOOKUP($A112,test!$A$3:$I$32,9,FALSE))-test!$B$35,0)</f>
        <v>75</v>
      </c>
      <c r="W112">
        <f>IF(AND(SUM(VLOOKUP($A112,test!$A$3:$F$32,2,FALSE),VLOOKUP(W$1,test!$A$3:$F$32,2,FALSE))&lt;test!$K$16,$A112&lt;&gt;W$1,Recharged_Feasible_mat!X81=1),(VLOOKUP(W$1,test!$A$3:$I$32,8,FALSE))-(VLOOKUP($A112,test!$A$3:$I$32,9,FALSE))-test!$B$35,0)</f>
        <v>165</v>
      </c>
      <c r="X112">
        <f>IF(AND(SUM(VLOOKUP($A112,test!$A$3:$F$32,2,FALSE),VLOOKUP(X$1,test!$A$3:$F$32,2,FALSE))&lt;test!$K$16,$A112&lt;&gt;X$1,Recharged_Feasible_mat!Y81=1),(VLOOKUP(X$1,test!$A$3:$I$32,8,FALSE))-(VLOOKUP($A112,test!$A$3:$I$32,9,FALSE))-test!$B$35,0)</f>
        <v>225</v>
      </c>
      <c r="Y112">
        <f>IF(AND(SUM(VLOOKUP($A112,test!$A$3:$F$32,2,FALSE),VLOOKUP(Y$1,test!$A$3:$F$32,2,FALSE))&lt;test!$K$16,$A112&lt;&gt;Y$1,Recharged_Feasible_mat!Z81=1),(VLOOKUP(Y$1,test!$A$3:$I$32,8,FALSE))-(VLOOKUP($A112,test!$A$3:$I$32,9,FALSE))-test!$B$35,0)</f>
        <v>0</v>
      </c>
      <c r="Z112">
        <f>IF(AND(SUM(VLOOKUP($A112,test!$A$3:$F$32,2,FALSE),VLOOKUP(Z$1,test!$A$3:$F$32,2,FALSE))&lt;test!$K$16,$A112&lt;&gt;Z$1,Recharged_Feasible_mat!AA81=1),(VLOOKUP(Z$1,test!$A$3:$I$32,8,FALSE))-(VLOOKUP($A112,test!$A$3:$I$32,9,FALSE))-test!$B$35,0)</f>
        <v>0</v>
      </c>
      <c r="AA112">
        <f>IF(AND(SUM(VLOOKUP($A112,test!$A$3:$F$32,2,FALSE),VLOOKUP(AA$1,test!$A$3:$F$32,2,FALSE))&lt;test!$K$16,$A112&lt;&gt;AA$1,Recharged_Feasible_mat!AB81=1),(VLOOKUP(AA$1,test!$A$3:$I$32,8,FALSE))-(VLOOKUP($A112,test!$A$3:$I$32,9,FALSE))-test!$B$35,0)</f>
        <v>0</v>
      </c>
      <c r="AB112">
        <f>IF(AND(SUM(VLOOKUP($A112,test!$A$3:$F$32,2,FALSE),VLOOKUP(AB$1,test!$A$3:$F$32,2,FALSE))&lt;test!$K$16,$A112&lt;&gt;AB$1,Recharged_Feasible_mat!AC81=1),(VLOOKUP(AB$1,test!$A$3:$I$32,8,FALSE))-(VLOOKUP($A112,test!$A$3:$I$32,9,FALSE))-test!$B$35,0)</f>
        <v>5</v>
      </c>
      <c r="AC112">
        <f>IF(AND(SUM(VLOOKUP($A112,test!$A$3:$F$32,2,FALSE),VLOOKUP(AC$1,test!$A$3:$F$32,2,FALSE))&lt;test!$K$16,$A112&lt;&gt;AC$1,Recharged_Feasible_mat!AD81=1),(VLOOKUP(AC$1,test!$A$3:$I$32,8,FALSE))-(VLOOKUP($A112,test!$A$3:$I$32,9,FALSE))-test!$B$35,0)</f>
        <v>125</v>
      </c>
      <c r="AD112">
        <f>IF(AND(SUM(VLOOKUP($A112,test!$A$3:$F$32,2,FALSE),VLOOKUP(AD$1,test!$A$3:$F$32,2,FALSE))&lt;test!$K$16,$A112&lt;&gt;AD$1,Recharged_Feasible_mat!AE81=1),(VLOOKUP(AD$1,test!$A$3:$I$32,8,FALSE))-(VLOOKUP($A112,test!$A$3:$I$32,9,FALSE))-test!$B$35,0)</f>
        <v>0</v>
      </c>
      <c r="AE112">
        <f>IF(AND(SUM(VLOOKUP($A112,test!$A$3:$F$32,2,FALSE),VLOOKUP(AE$1,test!$A$3:$F$32,2,FALSE))&lt;test!$K$16,$A112&lt;&gt;AE$1,Recharged_Feasible_mat!AF81=1),(VLOOKUP(AE$1,test!$A$3:$I$32,8,FALSE))-(VLOOKUP($A112,test!$A$3:$I$32,9,FALSE))-test!$B$35,0)</f>
        <v>0</v>
      </c>
      <c r="AF112">
        <f>IF(AND(SUM(VLOOKUP($A112,test!$A$3:$F$32,2,FALSE),VLOOKUP(AF$1,test!$A$3:$F$32,2,FALSE))&lt;test!$K$16,$A112&lt;&gt;AF$1,Recharged_Feasible_mat!AG81=1),(VLOOKUP(AF$1,test!$A$3:$I$32,8,FALSE))-(VLOOKUP($A112,test!$A$3:$I$32,9,FALSE))-test!$B$35,0)</f>
        <v>0</v>
      </c>
    </row>
    <row r="113" spans="1:32" x14ac:dyDescent="0.25">
      <c r="A113" t="s">
        <v>29</v>
      </c>
      <c r="B113">
        <v>0</v>
      </c>
      <c r="C113">
        <f>IF(AND(SUM(VLOOKUP($A113,test!$A$3:$F$32,2,FALSE),VLOOKUP(C$1,test!$A$3:$F$32,2,FALSE))&lt;test!$K$16,$A113&lt;&gt;C$1,Recharged_Feasible_mat!D82=1),(VLOOKUP(C$1,test!$A$3:$I$32,8,FALSE))-(VLOOKUP($A113,test!$A$3:$I$32,9,FALSE))-test!$B$35,0)</f>
        <v>0</v>
      </c>
      <c r="D113">
        <f>IF(AND(SUM(VLOOKUP($A113,test!$A$3:$F$32,2,FALSE),VLOOKUP(D$1,test!$A$3:$F$32,2,FALSE))&lt;test!$K$16,$A113&lt;&gt;D$1,Recharged_Feasible_mat!E82=1),(VLOOKUP(D$1,test!$A$3:$I$32,8,FALSE))-(VLOOKUP($A113,test!$A$3:$I$32,9,FALSE))-test!$B$35,0)</f>
        <v>0</v>
      </c>
      <c r="E113">
        <f>IF(AND(SUM(VLOOKUP($A113,test!$A$3:$F$32,2,FALSE),VLOOKUP(E$1,test!$A$3:$F$32,2,FALSE))&lt;test!$K$16,$A113&lt;&gt;E$1,Recharged_Feasible_mat!F82=1),(VLOOKUP(E$1,test!$A$3:$I$32,8,FALSE))-(VLOOKUP($A113,test!$A$3:$I$32,9,FALSE))-test!$B$35,0)</f>
        <v>0</v>
      </c>
      <c r="F113">
        <f>IF(AND(SUM(VLOOKUP($A113,test!$A$3:$F$32,2,FALSE),VLOOKUP(F$1,test!$A$3:$F$32,2,FALSE))&lt;test!$K$16,$A113&lt;&gt;F$1,Recharged_Feasible_mat!G82=1),(VLOOKUP(F$1,test!$A$3:$I$32,8,FALSE))-(VLOOKUP($A113,test!$A$3:$I$32,9,FALSE))-test!$B$35,0)</f>
        <v>0</v>
      </c>
      <c r="G113">
        <f>IF(AND(SUM(VLOOKUP($A113,test!$A$3:$F$32,2,FALSE),VLOOKUP(G$1,test!$A$3:$F$32,2,FALSE))&lt;test!$K$16,$A113&lt;&gt;G$1,Recharged_Feasible_mat!H82=1),(VLOOKUP(G$1,test!$A$3:$I$32,8,FALSE))-(VLOOKUP($A113,test!$A$3:$I$32,9,FALSE))-test!$B$35,0)</f>
        <v>0</v>
      </c>
      <c r="H113">
        <f>IF(AND(SUM(VLOOKUP($A113,test!$A$3:$F$32,2,FALSE),VLOOKUP(H$1,test!$A$3:$F$32,2,FALSE))&lt;test!$K$16,$A113&lt;&gt;H$1,Recharged_Feasible_mat!I82=1),(VLOOKUP(H$1,test!$A$3:$I$32,8,FALSE))-(VLOOKUP($A113,test!$A$3:$I$32,9,FALSE))-test!$B$35,0)</f>
        <v>35</v>
      </c>
      <c r="I113">
        <f>IF(AND(SUM(VLOOKUP($A113,test!$A$3:$F$32,2,FALSE),VLOOKUP(I$1,test!$A$3:$F$32,2,FALSE))&lt;test!$K$16,$A113&lt;&gt;I$1,Recharged_Feasible_mat!J82=1),(VLOOKUP(I$1,test!$A$3:$I$32,8,FALSE))-(VLOOKUP($A113,test!$A$3:$I$32,9,FALSE))-test!$B$35,0)</f>
        <v>95</v>
      </c>
      <c r="J113">
        <f>IF(AND(SUM(VLOOKUP($A113,test!$A$3:$F$32,2,FALSE),VLOOKUP(J$1,test!$A$3:$F$32,2,FALSE))&lt;test!$K$16,$A113&lt;&gt;J$1,Recharged_Feasible_mat!K82=1),(VLOOKUP(J$1,test!$A$3:$I$32,8,FALSE))-(VLOOKUP($A113,test!$A$3:$I$32,9,FALSE))-test!$B$35,0)</f>
        <v>185</v>
      </c>
      <c r="K113">
        <f>IF(AND(SUM(VLOOKUP($A113,test!$A$3:$F$32,2,FALSE),VLOOKUP(K$1,test!$A$3:$F$32,2,FALSE))&lt;test!$K$16,$A113&lt;&gt;K$1,Recharged_Feasible_mat!L82=1),(VLOOKUP(K$1,test!$A$3:$I$32,8,FALSE))-(VLOOKUP($A113,test!$A$3:$I$32,9,FALSE))-test!$B$35,0)</f>
        <v>0</v>
      </c>
      <c r="L113">
        <f>IF(AND(SUM(VLOOKUP($A113,test!$A$3:$F$32,2,FALSE),VLOOKUP(L$1,test!$A$3:$F$32,2,FALSE))&lt;test!$K$16,$A113&lt;&gt;L$1,Recharged_Feasible_mat!M82=1),(VLOOKUP(L$1,test!$A$3:$I$32,8,FALSE))-(VLOOKUP($A113,test!$A$3:$I$32,9,FALSE))-test!$B$35,0)</f>
        <v>0</v>
      </c>
      <c r="M113">
        <f>IF(AND(SUM(VLOOKUP($A113,test!$A$3:$F$32,2,FALSE),VLOOKUP(M$1,test!$A$3:$F$32,2,FALSE))&lt;test!$K$16,$A113&lt;&gt;M$1,Recharged_Feasible_mat!N82=1),(VLOOKUP(M$1,test!$A$3:$I$32,8,FALSE))-(VLOOKUP($A113,test!$A$3:$I$32,9,FALSE))-test!$B$35,0)</f>
        <v>0</v>
      </c>
      <c r="N113">
        <f>IF(AND(SUM(VLOOKUP($A113,test!$A$3:$F$32,2,FALSE),VLOOKUP(N$1,test!$A$3:$F$32,2,FALSE))&lt;test!$K$16,$A113&lt;&gt;N$1,Recharged_Feasible_mat!O82=1),(VLOOKUP(N$1,test!$A$3:$I$32,8,FALSE))-(VLOOKUP($A113,test!$A$3:$I$32,9,FALSE))-test!$B$35,0)</f>
        <v>150</v>
      </c>
      <c r="O113">
        <f>IF(AND(SUM(VLOOKUP($A113,test!$A$3:$F$32,2,FALSE),VLOOKUP(O$1,test!$A$3:$F$32,2,FALSE))&lt;test!$K$16,$A113&lt;&gt;O$1,Recharged_Feasible_mat!P82=1),(VLOOKUP(O$1,test!$A$3:$I$32,8,FALSE))-(VLOOKUP($A113,test!$A$3:$I$32,9,FALSE))-test!$B$35,0)</f>
        <v>210</v>
      </c>
      <c r="P113">
        <f>IF(AND(SUM(VLOOKUP($A113,test!$A$3:$F$32,2,FALSE),VLOOKUP(P$1,test!$A$3:$F$32,2,FALSE))&lt;test!$K$16,$A113&lt;&gt;P$1,Recharged_Feasible_mat!Q82=1),(VLOOKUP(P$1,test!$A$3:$I$32,8,FALSE))-(VLOOKUP($A113,test!$A$3:$I$32,9,FALSE))-test!$B$35,0)</f>
        <v>0</v>
      </c>
      <c r="Q113">
        <f>IF(AND(SUM(VLOOKUP($A113,test!$A$3:$F$32,2,FALSE),VLOOKUP(Q$1,test!$A$3:$F$32,2,FALSE))&lt;test!$K$16,$A113&lt;&gt;Q$1,Recharged_Feasible_mat!R82=1),(VLOOKUP(Q$1,test!$A$3:$I$32,8,FALSE))-(VLOOKUP($A113,test!$A$3:$I$32,9,FALSE))-test!$B$35,0)</f>
        <v>0</v>
      </c>
      <c r="R113">
        <f>IF(AND(SUM(VLOOKUP($A113,test!$A$3:$F$32,2,FALSE),VLOOKUP(R$1,test!$A$3:$F$32,2,FALSE))&lt;test!$K$16,$A113&lt;&gt;R$1,Recharged_Feasible_mat!S82=1),(VLOOKUP(R$1,test!$A$3:$I$32,8,FALSE))-(VLOOKUP($A113,test!$A$3:$I$32,9,FALSE))-test!$B$35,0)</f>
        <v>0</v>
      </c>
      <c r="S113">
        <f>IF(AND(SUM(VLOOKUP($A113,test!$A$3:$F$32,2,FALSE),VLOOKUP(S$1,test!$A$3:$F$32,2,FALSE))&lt;test!$K$16,$A113&lt;&gt;S$1,Recharged_Feasible_mat!T82=1),(VLOOKUP(S$1,test!$A$3:$I$32,8,FALSE))-(VLOOKUP($A113,test!$A$3:$I$32,9,FALSE))-test!$B$35,0)</f>
        <v>0</v>
      </c>
      <c r="T113">
        <f>IF(AND(SUM(VLOOKUP($A113,test!$A$3:$F$32,2,FALSE),VLOOKUP(T$1,test!$A$3:$F$32,2,FALSE))&lt;test!$K$16,$A113&lt;&gt;T$1,Recharged_Feasible_mat!U82=1),(VLOOKUP(T$1,test!$A$3:$I$32,8,FALSE))-(VLOOKUP($A113,test!$A$3:$I$32,9,FALSE))-test!$B$35,0)</f>
        <v>0</v>
      </c>
      <c r="U113">
        <f>IF(AND(SUM(VLOOKUP($A113,test!$A$3:$F$32,2,FALSE),VLOOKUP(U$1,test!$A$3:$F$32,2,FALSE))&lt;test!$K$16,$A113&lt;&gt;U$1,Recharged_Feasible_mat!V82=1),(VLOOKUP(U$1,test!$A$3:$I$32,8,FALSE))-(VLOOKUP($A113,test!$A$3:$I$32,9,FALSE))-test!$B$35,0)</f>
        <v>0</v>
      </c>
      <c r="V113">
        <f>IF(AND(SUM(VLOOKUP($A113,test!$A$3:$F$32,2,FALSE),VLOOKUP(V$1,test!$A$3:$F$32,2,FALSE))&lt;test!$K$16,$A113&lt;&gt;V$1,Recharged_Feasible_mat!W82=1),(VLOOKUP(V$1,test!$A$3:$I$32,8,FALSE))-(VLOOKUP($A113,test!$A$3:$I$32,9,FALSE))-test!$B$35,0)</f>
        <v>0</v>
      </c>
      <c r="W113">
        <f>IF(AND(SUM(VLOOKUP($A113,test!$A$3:$F$32,2,FALSE),VLOOKUP(W$1,test!$A$3:$F$32,2,FALSE))&lt;test!$K$16,$A113&lt;&gt;W$1,Recharged_Feasible_mat!X82=1),(VLOOKUP(W$1,test!$A$3:$I$32,8,FALSE))-(VLOOKUP($A113,test!$A$3:$I$32,9,FALSE))-test!$B$35,0)</f>
        <v>75</v>
      </c>
      <c r="X113">
        <f>IF(AND(SUM(VLOOKUP($A113,test!$A$3:$F$32,2,FALSE),VLOOKUP(X$1,test!$A$3:$F$32,2,FALSE))&lt;test!$K$16,$A113&lt;&gt;X$1,Recharged_Feasible_mat!Y82=1),(VLOOKUP(X$1,test!$A$3:$I$32,8,FALSE))-(VLOOKUP($A113,test!$A$3:$I$32,9,FALSE))-test!$B$35,0)</f>
        <v>135</v>
      </c>
      <c r="Y113">
        <f>IF(AND(SUM(VLOOKUP($A113,test!$A$3:$F$32,2,FALSE),VLOOKUP(Y$1,test!$A$3:$F$32,2,FALSE))&lt;test!$K$16,$A113&lt;&gt;Y$1,Recharged_Feasible_mat!Z82=1),(VLOOKUP(Y$1,test!$A$3:$I$32,8,FALSE))-(VLOOKUP($A113,test!$A$3:$I$32,9,FALSE))-test!$B$35,0)</f>
        <v>0</v>
      </c>
      <c r="Z113">
        <f>IF(AND(SUM(VLOOKUP($A113,test!$A$3:$F$32,2,FALSE),VLOOKUP(Z$1,test!$A$3:$F$32,2,FALSE))&lt;test!$K$16,$A113&lt;&gt;Z$1,Recharged_Feasible_mat!AA82=1),(VLOOKUP(Z$1,test!$A$3:$I$32,8,FALSE))-(VLOOKUP($A113,test!$A$3:$I$32,9,FALSE))-test!$B$35,0)</f>
        <v>0</v>
      </c>
      <c r="AA113">
        <f>IF(AND(SUM(VLOOKUP($A113,test!$A$3:$F$32,2,FALSE),VLOOKUP(AA$1,test!$A$3:$F$32,2,FALSE))&lt;test!$K$16,$A113&lt;&gt;AA$1,Recharged_Feasible_mat!AB82=1),(VLOOKUP(AA$1,test!$A$3:$I$32,8,FALSE))-(VLOOKUP($A113,test!$A$3:$I$32,9,FALSE))-test!$B$35,0)</f>
        <v>0</v>
      </c>
      <c r="AB113">
        <f>IF(AND(SUM(VLOOKUP($A113,test!$A$3:$F$32,2,FALSE),VLOOKUP(AB$1,test!$A$3:$F$32,2,FALSE))&lt;test!$K$16,$A113&lt;&gt;AB$1,Recharged_Feasible_mat!AC82=1),(VLOOKUP(AB$1,test!$A$3:$I$32,8,FALSE))-(VLOOKUP($A113,test!$A$3:$I$32,9,FALSE))-test!$B$35,0)</f>
        <v>0</v>
      </c>
      <c r="AC113">
        <f>IF(AND(SUM(VLOOKUP($A113,test!$A$3:$F$32,2,FALSE),VLOOKUP(AC$1,test!$A$3:$F$32,2,FALSE))&lt;test!$K$16,$A113&lt;&gt;AC$1,Recharged_Feasible_mat!AD82=1),(VLOOKUP(AC$1,test!$A$3:$I$32,8,FALSE))-(VLOOKUP($A113,test!$A$3:$I$32,9,FALSE))-test!$B$35,0)</f>
        <v>35</v>
      </c>
      <c r="AD113">
        <f>IF(AND(SUM(VLOOKUP($A113,test!$A$3:$F$32,2,FALSE),VLOOKUP(AD$1,test!$A$3:$F$32,2,FALSE))&lt;test!$K$16,$A113&lt;&gt;AD$1,Recharged_Feasible_mat!AE82=1),(VLOOKUP(AD$1,test!$A$3:$I$32,8,FALSE))-(VLOOKUP($A113,test!$A$3:$I$32,9,FALSE))-test!$B$35,0)</f>
        <v>0</v>
      </c>
      <c r="AE113">
        <f>IF(AND(SUM(VLOOKUP($A113,test!$A$3:$F$32,2,FALSE),VLOOKUP(AE$1,test!$A$3:$F$32,2,FALSE))&lt;test!$K$16,$A113&lt;&gt;AE$1,Recharged_Feasible_mat!AF82=1),(VLOOKUP(AE$1,test!$A$3:$I$32,8,FALSE))-(VLOOKUP($A113,test!$A$3:$I$32,9,FALSE))-test!$B$35,0)</f>
        <v>0</v>
      </c>
      <c r="AF113">
        <f>IF(AND(SUM(VLOOKUP($A113,test!$A$3:$F$32,2,FALSE),VLOOKUP(AF$1,test!$A$3:$F$32,2,FALSE))&lt;test!$K$16,$A113&lt;&gt;AF$1,Recharged_Feasible_mat!AG82=1),(VLOOKUP(AF$1,test!$A$3:$I$32,8,FALSE))-(VLOOKUP($A113,test!$A$3:$I$32,9,FALSE))-test!$B$35,0)</f>
        <v>0</v>
      </c>
    </row>
    <row r="114" spans="1:32" x14ac:dyDescent="0.25">
      <c r="A114" t="s">
        <v>30</v>
      </c>
      <c r="B114">
        <v>0</v>
      </c>
      <c r="C114">
        <f>IF(AND(SUM(VLOOKUP($A114,test!$A$3:$F$32,2,FALSE),VLOOKUP(C$1,test!$A$3:$F$32,2,FALSE))&lt;test!$K$16,$A114&lt;&gt;C$1,Recharged_Feasible_mat!D83=1),(VLOOKUP(C$1,test!$A$3:$I$32,8,FALSE))-(VLOOKUP($A114,test!$A$3:$I$32,9,FALSE))-test!$B$35,0)</f>
        <v>0</v>
      </c>
      <c r="D114">
        <f>IF(AND(SUM(VLOOKUP($A114,test!$A$3:$F$32,2,FALSE),VLOOKUP(D$1,test!$A$3:$F$32,2,FALSE))&lt;test!$K$16,$A114&lt;&gt;D$1,Recharged_Feasible_mat!E83=1),(VLOOKUP(D$1,test!$A$3:$I$32,8,FALSE))-(VLOOKUP($A114,test!$A$3:$I$32,9,FALSE))-test!$B$35,0)</f>
        <v>0</v>
      </c>
      <c r="E114">
        <f>IF(AND(SUM(VLOOKUP($A114,test!$A$3:$F$32,2,FALSE),VLOOKUP(E$1,test!$A$3:$F$32,2,FALSE))&lt;test!$K$16,$A114&lt;&gt;E$1,Recharged_Feasible_mat!F83=1),(VLOOKUP(E$1,test!$A$3:$I$32,8,FALSE))-(VLOOKUP($A114,test!$A$3:$I$32,9,FALSE))-test!$B$35,0)</f>
        <v>0</v>
      </c>
      <c r="F114">
        <f>IF(AND(SUM(VLOOKUP($A114,test!$A$3:$F$32,2,FALSE),VLOOKUP(F$1,test!$A$3:$F$32,2,FALSE))&lt;test!$K$16,$A114&lt;&gt;F$1,Recharged_Feasible_mat!G83=1),(VLOOKUP(F$1,test!$A$3:$I$32,8,FALSE))-(VLOOKUP($A114,test!$A$3:$I$32,9,FALSE))-test!$B$35,0)</f>
        <v>0</v>
      </c>
      <c r="G114">
        <f>IF(AND(SUM(VLOOKUP($A114,test!$A$3:$F$32,2,FALSE),VLOOKUP(G$1,test!$A$3:$F$32,2,FALSE))&lt;test!$K$16,$A114&lt;&gt;G$1,Recharged_Feasible_mat!H83=1),(VLOOKUP(G$1,test!$A$3:$I$32,8,FALSE))-(VLOOKUP($A114,test!$A$3:$I$32,9,FALSE))-test!$B$35,0)</f>
        <v>0</v>
      </c>
      <c r="H114">
        <f>IF(AND(SUM(VLOOKUP($A114,test!$A$3:$F$32,2,FALSE),VLOOKUP(H$1,test!$A$3:$F$32,2,FALSE))&lt;test!$K$16,$A114&lt;&gt;H$1,Recharged_Feasible_mat!I83=1),(VLOOKUP(H$1,test!$A$3:$I$32,8,FALSE))-(VLOOKUP($A114,test!$A$3:$I$32,9,FALSE))-test!$B$35,0)</f>
        <v>0</v>
      </c>
      <c r="I114">
        <f>IF(AND(SUM(VLOOKUP($A114,test!$A$3:$F$32,2,FALSE),VLOOKUP(I$1,test!$A$3:$F$32,2,FALSE))&lt;test!$K$16,$A114&lt;&gt;I$1,Recharged_Feasible_mat!J83=1),(VLOOKUP(I$1,test!$A$3:$I$32,8,FALSE))-(VLOOKUP($A114,test!$A$3:$I$32,9,FALSE))-test!$B$35,0)</f>
        <v>5</v>
      </c>
      <c r="J114">
        <f>IF(AND(SUM(VLOOKUP($A114,test!$A$3:$F$32,2,FALSE),VLOOKUP(J$1,test!$A$3:$F$32,2,FALSE))&lt;test!$K$16,$A114&lt;&gt;J$1,Recharged_Feasible_mat!K83=1),(VLOOKUP(J$1,test!$A$3:$I$32,8,FALSE))-(VLOOKUP($A114,test!$A$3:$I$32,9,FALSE))-test!$B$35,0)</f>
        <v>95</v>
      </c>
      <c r="K114">
        <f>IF(AND(SUM(VLOOKUP($A114,test!$A$3:$F$32,2,FALSE),VLOOKUP(K$1,test!$A$3:$F$32,2,FALSE))&lt;test!$K$16,$A114&lt;&gt;K$1,Recharged_Feasible_mat!L83=1),(VLOOKUP(K$1,test!$A$3:$I$32,8,FALSE))-(VLOOKUP($A114,test!$A$3:$I$32,9,FALSE))-test!$B$35,0)</f>
        <v>0</v>
      </c>
      <c r="L114">
        <f>IF(AND(SUM(VLOOKUP($A114,test!$A$3:$F$32,2,FALSE),VLOOKUP(L$1,test!$A$3:$F$32,2,FALSE))&lt;test!$K$16,$A114&lt;&gt;L$1,Recharged_Feasible_mat!M83=1),(VLOOKUP(L$1,test!$A$3:$I$32,8,FALSE))-(VLOOKUP($A114,test!$A$3:$I$32,9,FALSE))-test!$B$35,0)</f>
        <v>0</v>
      </c>
      <c r="M114">
        <f>IF(AND(SUM(VLOOKUP($A114,test!$A$3:$F$32,2,FALSE),VLOOKUP(M$1,test!$A$3:$F$32,2,FALSE))&lt;test!$K$16,$A114&lt;&gt;M$1,Recharged_Feasible_mat!N83=1),(VLOOKUP(M$1,test!$A$3:$I$32,8,FALSE))-(VLOOKUP($A114,test!$A$3:$I$32,9,FALSE))-test!$B$35,0)</f>
        <v>0</v>
      </c>
      <c r="N114">
        <f>IF(AND(SUM(VLOOKUP($A114,test!$A$3:$F$32,2,FALSE),VLOOKUP(N$1,test!$A$3:$F$32,2,FALSE))&lt;test!$K$16,$A114&lt;&gt;N$1,Recharged_Feasible_mat!O83=1),(VLOOKUP(N$1,test!$A$3:$I$32,8,FALSE))-(VLOOKUP($A114,test!$A$3:$I$32,9,FALSE))-test!$B$35,0)</f>
        <v>60</v>
      </c>
      <c r="O114">
        <f>IF(AND(SUM(VLOOKUP($A114,test!$A$3:$F$32,2,FALSE),VLOOKUP(O$1,test!$A$3:$F$32,2,FALSE))&lt;test!$K$16,$A114&lt;&gt;O$1,Recharged_Feasible_mat!P83=1),(VLOOKUP(O$1,test!$A$3:$I$32,8,FALSE))-(VLOOKUP($A114,test!$A$3:$I$32,9,FALSE))-test!$B$35,0)</f>
        <v>120</v>
      </c>
      <c r="P114">
        <f>IF(AND(SUM(VLOOKUP($A114,test!$A$3:$F$32,2,FALSE),VLOOKUP(P$1,test!$A$3:$F$32,2,FALSE))&lt;test!$K$16,$A114&lt;&gt;P$1,Recharged_Feasible_mat!Q83=1),(VLOOKUP(P$1,test!$A$3:$I$32,8,FALSE))-(VLOOKUP($A114,test!$A$3:$I$32,9,FALSE))-test!$B$35,0)</f>
        <v>0</v>
      </c>
      <c r="Q114">
        <f>IF(AND(SUM(VLOOKUP($A114,test!$A$3:$F$32,2,FALSE),VLOOKUP(Q$1,test!$A$3:$F$32,2,FALSE))&lt;test!$K$16,$A114&lt;&gt;Q$1,Recharged_Feasible_mat!R83=1),(VLOOKUP(Q$1,test!$A$3:$I$32,8,FALSE))-(VLOOKUP($A114,test!$A$3:$I$32,9,FALSE))-test!$B$35,0)</f>
        <v>0</v>
      </c>
      <c r="R114">
        <f>IF(AND(SUM(VLOOKUP($A114,test!$A$3:$F$32,2,FALSE),VLOOKUP(R$1,test!$A$3:$F$32,2,FALSE))&lt;test!$K$16,$A114&lt;&gt;R$1,Recharged_Feasible_mat!S83=1),(VLOOKUP(R$1,test!$A$3:$I$32,8,FALSE))-(VLOOKUP($A114,test!$A$3:$I$32,9,FALSE))-test!$B$35,0)</f>
        <v>0</v>
      </c>
      <c r="S114">
        <f>IF(AND(SUM(VLOOKUP($A114,test!$A$3:$F$32,2,FALSE),VLOOKUP(S$1,test!$A$3:$F$32,2,FALSE))&lt;test!$K$16,$A114&lt;&gt;S$1,Recharged_Feasible_mat!T83=1),(VLOOKUP(S$1,test!$A$3:$I$32,8,FALSE))-(VLOOKUP($A114,test!$A$3:$I$32,9,FALSE))-test!$B$35,0)</f>
        <v>0</v>
      </c>
      <c r="T114">
        <f>IF(AND(SUM(VLOOKUP($A114,test!$A$3:$F$32,2,FALSE),VLOOKUP(T$1,test!$A$3:$F$32,2,FALSE))&lt;test!$K$16,$A114&lt;&gt;T$1,Recharged_Feasible_mat!U83=1),(VLOOKUP(T$1,test!$A$3:$I$32,8,FALSE))-(VLOOKUP($A114,test!$A$3:$I$32,9,FALSE))-test!$B$35,0)</f>
        <v>0</v>
      </c>
      <c r="U114">
        <f>IF(AND(SUM(VLOOKUP($A114,test!$A$3:$F$32,2,FALSE),VLOOKUP(U$1,test!$A$3:$F$32,2,FALSE))&lt;test!$K$16,$A114&lt;&gt;U$1,Recharged_Feasible_mat!V83=1),(VLOOKUP(U$1,test!$A$3:$I$32,8,FALSE))-(VLOOKUP($A114,test!$A$3:$I$32,9,FALSE))-test!$B$35,0)</f>
        <v>0</v>
      </c>
      <c r="V114">
        <f>IF(AND(SUM(VLOOKUP($A114,test!$A$3:$F$32,2,FALSE),VLOOKUP(V$1,test!$A$3:$F$32,2,FALSE))&lt;test!$K$16,$A114&lt;&gt;V$1,Recharged_Feasible_mat!W83=1),(VLOOKUP(V$1,test!$A$3:$I$32,8,FALSE))-(VLOOKUP($A114,test!$A$3:$I$32,9,FALSE))-test!$B$35,0)</f>
        <v>0</v>
      </c>
      <c r="W114">
        <f>IF(AND(SUM(VLOOKUP($A114,test!$A$3:$F$32,2,FALSE),VLOOKUP(W$1,test!$A$3:$F$32,2,FALSE))&lt;test!$K$16,$A114&lt;&gt;W$1,Recharged_Feasible_mat!X83=1),(VLOOKUP(W$1,test!$A$3:$I$32,8,FALSE))-(VLOOKUP($A114,test!$A$3:$I$32,9,FALSE))-test!$B$35,0)</f>
        <v>0</v>
      </c>
      <c r="X114">
        <f>IF(AND(SUM(VLOOKUP($A114,test!$A$3:$F$32,2,FALSE),VLOOKUP(X$1,test!$A$3:$F$32,2,FALSE))&lt;test!$K$16,$A114&lt;&gt;X$1,Recharged_Feasible_mat!Y83=1),(VLOOKUP(X$1,test!$A$3:$I$32,8,FALSE))-(VLOOKUP($A114,test!$A$3:$I$32,9,FALSE))-test!$B$35,0)</f>
        <v>45</v>
      </c>
      <c r="Y114">
        <f>IF(AND(SUM(VLOOKUP($A114,test!$A$3:$F$32,2,FALSE),VLOOKUP(Y$1,test!$A$3:$F$32,2,FALSE))&lt;test!$K$16,$A114&lt;&gt;Y$1,Recharged_Feasible_mat!Z83=1),(VLOOKUP(Y$1,test!$A$3:$I$32,8,FALSE))-(VLOOKUP($A114,test!$A$3:$I$32,9,FALSE))-test!$B$35,0)</f>
        <v>0</v>
      </c>
      <c r="Z114">
        <f>IF(AND(SUM(VLOOKUP($A114,test!$A$3:$F$32,2,FALSE),VLOOKUP(Z$1,test!$A$3:$F$32,2,FALSE))&lt;test!$K$16,$A114&lt;&gt;Z$1,Recharged_Feasible_mat!AA83=1),(VLOOKUP(Z$1,test!$A$3:$I$32,8,FALSE))-(VLOOKUP($A114,test!$A$3:$I$32,9,FALSE))-test!$B$35,0)</f>
        <v>0</v>
      </c>
      <c r="AA114">
        <f>IF(AND(SUM(VLOOKUP($A114,test!$A$3:$F$32,2,FALSE),VLOOKUP(AA$1,test!$A$3:$F$32,2,FALSE))&lt;test!$K$16,$A114&lt;&gt;AA$1,Recharged_Feasible_mat!AB83=1),(VLOOKUP(AA$1,test!$A$3:$I$32,8,FALSE))-(VLOOKUP($A114,test!$A$3:$I$32,9,FALSE))-test!$B$35,0)</f>
        <v>0</v>
      </c>
      <c r="AB114">
        <f>IF(AND(SUM(VLOOKUP($A114,test!$A$3:$F$32,2,FALSE),VLOOKUP(AB$1,test!$A$3:$F$32,2,FALSE))&lt;test!$K$16,$A114&lt;&gt;AB$1,Recharged_Feasible_mat!AC83=1),(VLOOKUP(AB$1,test!$A$3:$I$32,8,FALSE))-(VLOOKUP($A114,test!$A$3:$I$32,9,FALSE))-test!$B$35,0)</f>
        <v>0</v>
      </c>
      <c r="AC114">
        <f>IF(AND(SUM(VLOOKUP($A114,test!$A$3:$F$32,2,FALSE),VLOOKUP(AC$1,test!$A$3:$F$32,2,FALSE))&lt;test!$K$16,$A114&lt;&gt;AC$1,Recharged_Feasible_mat!AD83=1),(VLOOKUP(AC$1,test!$A$3:$I$32,8,FALSE))-(VLOOKUP($A114,test!$A$3:$I$32,9,FALSE))-test!$B$35,0)</f>
        <v>0</v>
      </c>
      <c r="AD114">
        <f>IF(AND(SUM(VLOOKUP($A114,test!$A$3:$F$32,2,FALSE),VLOOKUP(AD$1,test!$A$3:$F$32,2,FALSE))&lt;test!$K$16,$A114&lt;&gt;AD$1,Recharged_Feasible_mat!AE83=1),(VLOOKUP(AD$1,test!$A$3:$I$32,8,FALSE))-(VLOOKUP($A114,test!$A$3:$I$32,9,FALSE))-test!$B$35,0)</f>
        <v>0</v>
      </c>
      <c r="AE114">
        <f>IF(AND(SUM(VLOOKUP($A114,test!$A$3:$F$32,2,FALSE),VLOOKUP(AE$1,test!$A$3:$F$32,2,FALSE))&lt;test!$K$16,$A114&lt;&gt;AE$1,Recharged_Feasible_mat!AF83=1),(VLOOKUP(AE$1,test!$A$3:$I$32,8,FALSE))-(VLOOKUP($A114,test!$A$3:$I$32,9,FALSE))-test!$B$35,0)</f>
        <v>0</v>
      </c>
      <c r="AF114">
        <f>IF(AND(SUM(VLOOKUP($A114,test!$A$3:$F$32,2,FALSE),VLOOKUP(AF$1,test!$A$3:$F$32,2,FALSE))&lt;test!$K$16,$A114&lt;&gt;AF$1,Recharged_Feasible_mat!AG83=1),(VLOOKUP(AF$1,test!$A$3:$I$32,8,FALSE))-(VLOOKUP($A114,test!$A$3:$I$32,9,FALSE))-test!$B$35,0)</f>
        <v>0</v>
      </c>
    </row>
    <row r="115" spans="1:32" x14ac:dyDescent="0.25">
      <c r="A115" t="s">
        <v>31</v>
      </c>
      <c r="B115">
        <v>0</v>
      </c>
      <c r="C115">
        <f>IF(AND(SUM(VLOOKUP($A115,test!$A$3:$F$32,2,FALSE),VLOOKUP(C$1,test!$A$3:$F$32,2,FALSE))&lt;test!$K$16,$A115&lt;&gt;C$1,Recharged_Feasible_mat!D84=1),(VLOOKUP(C$1,test!$A$3:$I$32,8,FALSE))-(VLOOKUP($A115,test!$A$3:$I$32,9,FALSE))-test!$B$35,0)</f>
        <v>0</v>
      </c>
      <c r="D115">
        <f>IF(AND(SUM(VLOOKUP($A115,test!$A$3:$F$32,2,FALSE),VLOOKUP(D$1,test!$A$3:$F$32,2,FALSE))&lt;test!$K$16,$A115&lt;&gt;D$1,Recharged_Feasible_mat!E84=1),(VLOOKUP(D$1,test!$A$3:$I$32,8,FALSE))-(VLOOKUP($A115,test!$A$3:$I$32,9,FALSE))-test!$B$35,0)</f>
        <v>0</v>
      </c>
      <c r="E115">
        <f>IF(AND(SUM(VLOOKUP($A115,test!$A$3:$F$32,2,FALSE),VLOOKUP(E$1,test!$A$3:$F$32,2,FALSE))&lt;test!$K$16,$A115&lt;&gt;E$1,Recharged_Feasible_mat!F84=1),(VLOOKUP(E$1,test!$A$3:$I$32,8,FALSE))-(VLOOKUP($A115,test!$A$3:$I$32,9,FALSE))-test!$B$35,0)</f>
        <v>0</v>
      </c>
      <c r="F115">
        <f>IF(AND(SUM(VLOOKUP($A115,test!$A$3:$F$32,2,FALSE),VLOOKUP(F$1,test!$A$3:$F$32,2,FALSE))&lt;test!$K$16,$A115&lt;&gt;F$1,Recharged_Feasible_mat!G84=1),(VLOOKUP(F$1,test!$A$3:$I$32,8,FALSE))-(VLOOKUP($A115,test!$A$3:$I$32,9,FALSE))-test!$B$35,0)</f>
        <v>0</v>
      </c>
      <c r="G115">
        <f>IF(AND(SUM(VLOOKUP($A115,test!$A$3:$F$32,2,FALSE),VLOOKUP(G$1,test!$A$3:$F$32,2,FALSE))&lt;test!$K$16,$A115&lt;&gt;G$1,Recharged_Feasible_mat!H84=1),(VLOOKUP(G$1,test!$A$3:$I$32,8,FALSE))-(VLOOKUP($A115,test!$A$3:$I$32,9,FALSE))-test!$B$35,0)</f>
        <v>0</v>
      </c>
      <c r="H115">
        <f>IF(AND(SUM(VLOOKUP($A115,test!$A$3:$F$32,2,FALSE),VLOOKUP(H$1,test!$A$3:$F$32,2,FALSE))&lt;test!$K$16,$A115&lt;&gt;H$1,Recharged_Feasible_mat!I84=1),(VLOOKUP(H$1,test!$A$3:$I$32,8,FALSE))-(VLOOKUP($A115,test!$A$3:$I$32,9,FALSE))-test!$B$35,0)</f>
        <v>0</v>
      </c>
      <c r="I115">
        <f>IF(AND(SUM(VLOOKUP($A115,test!$A$3:$F$32,2,FALSE),VLOOKUP(I$1,test!$A$3:$F$32,2,FALSE))&lt;test!$K$16,$A115&lt;&gt;I$1,Recharged_Feasible_mat!J84=1),(VLOOKUP(I$1,test!$A$3:$I$32,8,FALSE))-(VLOOKUP($A115,test!$A$3:$I$32,9,FALSE))-test!$B$35,0)</f>
        <v>0</v>
      </c>
      <c r="J115">
        <f>IF(AND(SUM(VLOOKUP($A115,test!$A$3:$F$32,2,FALSE),VLOOKUP(J$1,test!$A$3:$F$32,2,FALSE))&lt;test!$K$16,$A115&lt;&gt;J$1,Recharged_Feasible_mat!K84=1),(VLOOKUP(J$1,test!$A$3:$I$32,8,FALSE))-(VLOOKUP($A115,test!$A$3:$I$32,9,FALSE))-test!$B$35,0)</f>
        <v>5</v>
      </c>
      <c r="K115">
        <f>IF(AND(SUM(VLOOKUP($A115,test!$A$3:$F$32,2,FALSE),VLOOKUP(K$1,test!$A$3:$F$32,2,FALSE))&lt;test!$K$16,$A115&lt;&gt;K$1,Recharged_Feasible_mat!L84=1),(VLOOKUP(K$1,test!$A$3:$I$32,8,FALSE))-(VLOOKUP($A115,test!$A$3:$I$32,9,FALSE))-test!$B$35,0)</f>
        <v>0</v>
      </c>
      <c r="L115">
        <f>IF(AND(SUM(VLOOKUP($A115,test!$A$3:$F$32,2,FALSE),VLOOKUP(L$1,test!$A$3:$F$32,2,FALSE))&lt;test!$K$16,$A115&lt;&gt;L$1,Recharged_Feasible_mat!M84=1),(VLOOKUP(L$1,test!$A$3:$I$32,8,FALSE))-(VLOOKUP($A115,test!$A$3:$I$32,9,FALSE))-test!$B$35,0)</f>
        <v>0</v>
      </c>
      <c r="M115">
        <f>IF(AND(SUM(VLOOKUP($A115,test!$A$3:$F$32,2,FALSE),VLOOKUP(M$1,test!$A$3:$F$32,2,FALSE))&lt;test!$K$16,$A115&lt;&gt;M$1,Recharged_Feasible_mat!N84=1),(VLOOKUP(M$1,test!$A$3:$I$32,8,FALSE))-(VLOOKUP($A115,test!$A$3:$I$32,9,FALSE))-test!$B$35,0)</f>
        <v>0</v>
      </c>
      <c r="N115">
        <f>IF(AND(SUM(VLOOKUP($A115,test!$A$3:$F$32,2,FALSE),VLOOKUP(N$1,test!$A$3:$F$32,2,FALSE))&lt;test!$K$16,$A115&lt;&gt;N$1,Recharged_Feasible_mat!O84=1),(VLOOKUP(N$1,test!$A$3:$I$32,8,FALSE))-(VLOOKUP($A115,test!$A$3:$I$32,9,FALSE))-test!$B$35,0)</f>
        <v>0</v>
      </c>
      <c r="O115">
        <f>IF(AND(SUM(VLOOKUP($A115,test!$A$3:$F$32,2,FALSE),VLOOKUP(O$1,test!$A$3:$F$32,2,FALSE))&lt;test!$K$16,$A115&lt;&gt;O$1,Recharged_Feasible_mat!P84=1),(VLOOKUP(O$1,test!$A$3:$I$32,8,FALSE))-(VLOOKUP($A115,test!$A$3:$I$32,9,FALSE))-test!$B$35,0)</f>
        <v>30</v>
      </c>
      <c r="P115">
        <f>IF(AND(SUM(VLOOKUP($A115,test!$A$3:$F$32,2,FALSE),VLOOKUP(P$1,test!$A$3:$F$32,2,FALSE))&lt;test!$K$16,$A115&lt;&gt;P$1,Recharged_Feasible_mat!Q84=1),(VLOOKUP(P$1,test!$A$3:$I$32,8,FALSE))-(VLOOKUP($A115,test!$A$3:$I$32,9,FALSE))-test!$B$35,0)</f>
        <v>0</v>
      </c>
      <c r="Q115">
        <f>IF(AND(SUM(VLOOKUP($A115,test!$A$3:$F$32,2,FALSE),VLOOKUP(Q$1,test!$A$3:$F$32,2,FALSE))&lt;test!$K$16,$A115&lt;&gt;Q$1,Recharged_Feasible_mat!R84=1),(VLOOKUP(Q$1,test!$A$3:$I$32,8,FALSE))-(VLOOKUP($A115,test!$A$3:$I$32,9,FALSE))-test!$B$35,0)</f>
        <v>0</v>
      </c>
      <c r="R115">
        <f>IF(AND(SUM(VLOOKUP($A115,test!$A$3:$F$32,2,FALSE),VLOOKUP(R$1,test!$A$3:$F$32,2,FALSE))&lt;test!$K$16,$A115&lt;&gt;R$1,Recharged_Feasible_mat!S84=1),(VLOOKUP(R$1,test!$A$3:$I$32,8,FALSE))-(VLOOKUP($A115,test!$A$3:$I$32,9,FALSE))-test!$B$35,0)</f>
        <v>0</v>
      </c>
      <c r="S115">
        <f>IF(AND(SUM(VLOOKUP($A115,test!$A$3:$F$32,2,FALSE),VLOOKUP(S$1,test!$A$3:$F$32,2,FALSE))&lt;test!$K$16,$A115&lt;&gt;S$1,Recharged_Feasible_mat!T84=1),(VLOOKUP(S$1,test!$A$3:$I$32,8,FALSE))-(VLOOKUP($A115,test!$A$3:$I$32,9,FALSE))-test!$B$35,0)</f>
        <v>0</v>
      </c>
      <c r="T115">
        <f>IF(AND(SUM(VLOOKUP($A115,test!$A$3:$F$32,2,FALSE),VLOOKUP(T$1,test!$A$3:$F$32,2,FALSE))&lt;test!$K$16,$A115&lt;&gt;T$1,Recharged_Feasible_mat!U84=1),(VLOOKUP(T$1,test!$A$3:$I$32,8,FALSE))-(VLOOKUP($A115,test!$A$3:$I$32,9,FALSE))-test!$B$35,0)</f>
        <v>0</v>
      </c>
      <c r="U115">
        <f>IF(AND(SUM(VLOOKUP($A115,test!$A$3:$F$32,2,FALSE),VLOOKUP(U$1,test!$A$3:$F$32,2,FALSE))&lt;test!$K$16,$A115&lt;&gt;U$1,Recharged_Feasible_mat!V84=1),(VLOOKUP(U$1,test!$A$3:$I$32,8,FALSE))-(VLOOKUP($A115,test!$A$3:$I$32,9,FALSE))-test!$B$35,0)</f>
        <v>0</v>
      </c>
      <c r="V115">
        <f>IF(AND(SUM(VLOOKUP($A115,test!$A$3:$F$32,2,FALSE),VLOOKUP(V$1,test!$A$3:$F$32,2,FALSE))&lt;test!$K$16,$A115&lt;&gt;V$1,Recharged_Feasible_mat!W84=1),(VLOOKUP(V$1,test!$A$3:$I$32,8,FALSE))-(VLOOKUP($A115,test!$A$3:$I$32,9,FALSE))-test!$B$35,0)</f>
        <v>0</v>
      </c>
      <c r="W115">
        <f>IF(AND(SUM(VLOOKUP($A115,test!$A$3:$F$32,2,FALSE),VLOOKUP(W$1,test!$A$3:$F$32,2,FALSE))&lt;test!$K$16,$A115&lt;&gt;W$1,Recharged_Feasible_mat!X84=1),(VLOOKUP(W$1,test!$A$3:$I$32,8,FALSE))-(VLOOKUP($A115,test!$A$3:$I$32,9,FALSE))-test!$B$35,0)</f>
        <v>0</v>
      </c>
      <c r="X115">
        <f>IF(AND(SUM(VLOOKUP($A115,test!$A$3:$F$32,2,FALSE),VLOOKUP(X$1,test!$A$3:$F$32,2,FALSE))&lt;test!$K$16,$A115&lt;&gt;X$1,Recharged_Feasible_mat!Y84=1),(VLOOKUP(X$1,test!$A$3:$I$32,8,FALSE))-(VLOOKUP($A115,test!$A$3:$I$32,9,FALSE))-test!$B$35,0)</f>
        <v>0</v>
      </c>
      <c r="Y115">
        <f>IF(AND(SUM(VLOOKUP($A115,test!$A$3:$F$32,2,FALSE),VLOOKUP(Y$1,test!$A$3:$F$32,2,FALSE))&lt;test!$K$16,$A115&lt;&gt;Y$1,Recharged_Feasible_mat!Z84=1),(VLOOKUP(Y$1,test!$A$3:$I$32,8,FALSE))-(VLOOKUP($A115,test!$A$3:$I$32,9,FALSE))-test!$B$35,0)</f>
        <v>0</v>
      </c>
      <c r="Z115">
        <f>IF(AND(SUM(VLOOKUP($A115,test!$A$3:$F$32,2,FALSE),VLOOKUP(Z$1,test!$A$3:$F$32,2,FALSE))&lt;test!$K$16,$A115&lt;&gt;Z$1,Recharged_Feasible_mat!AA84=1),(VLOOKUP(Z$1,test!$A$3:$I$32,8,FALSE))-(VLOOKUP($A115,test!$A$3:$I$32,9,FALSE))-test!$B$35,0)</f>
        <v>0</v>
      </c>
      <c r="AA115">
        <f>IF(AND(SUM(VLOOKUP($A115,test!$A$3:$F$32,2,FALSE),VLOOKUP(AA$1,test!$A$3:$F$32,2,FALSE))&lt;test!$K$16,$A115&lt;&gt;AA$1,Recharged_Feasible_mat!AB84=1),(VLOOKUP(AA$1,test!$A$3:$I$32,8,FALSE))-(VLOOKUP($A115,test!$A$3:$I$32,9,FALSE))-test!$B$35,0)</f>
        <v>0</v>
      </c>
      <c r="AB115">
        <f>IF(AND(SUM(VLOOKUP($A115,test!$A$3:$F$32,2,FALSE),VLOOKUP(AB$1,test!$A$3:$F$32,2,FALSE))&lt;test!$K$16,$A115&lt;&gt;AB$1,Recharged_Feasible_mat!AC84=1),(VLOOKUP(AB$1,test!$A$3:$I$32,8,FALSE))-(VLOOKUP($A115,test!$A$3:$I$32,9,FALSE))-test!$B$35,0)</f>
        <v>0</v>
      </c>
      <c r="AC115">
        <f>IF(AND(SUM(VLOOKUP($A115,test!$A$3:$F$32,2,FALSE),VLOOKUP(AC$1,test!$A$3:$F$32,2,FALSE))&lt;test!$K$16,$A115&lt;&gt;AC$1,Recharged_Feasible_mat!AD84=1),(VLOOKUP(AC$1,test!$A$3:$I$32,8,FALSE))-(VLOOKUP($A115,test!$A$3:$I$32,9,FALSE))-test!$B$35,0)</f>
        <v>0</v>
      </c>
      <c r="AD115">
        <f>IF(AND(SUM(VLOOKUP($A115,test!$A$3:$F$32,2,FALSE),VLOOKUP(AD$1,test!$A$3:$F$32,2,FALSE))&lt;test!$K$16,$A115&lt;&gt;AD$1,Recharged_Feasible_mat!AE84=1),(VLOOKUP(AD$1,test!$A$3:$I$32,8,FALSE))-(VLOOKUP($A115,test!$A$3:$I$32,9,FALSE))-test!$B$35,0)</f>
        <v>0</v>
      </c>
      <c r="AE115">
        <f>IF(AND(SUM(VLOOKUP($A115,test!$A$3:$F$32,2,FALSE),VLOOKUP(AE$1,test!$A$3:$F$32,2,FALSE))&lt;test!$K$16,$A115&lt;&gt;AE$1,Recharged_Feasible_mat!AF84=1),(VLOOKUP(AE$1,test!$A$3:$I$32,8,FALSE))-(VLOOKUP($A115,test!$A$3:$I$32,9,FALSE))-test!$B$35,0)</f>
        <v>0</v>
      </c>
      <c r="AF115">
        <f>IF(AND(SUM(VLOOKUP($A115,test!$A$3:$F$32,2,FALSE),VLOOKUP(AF$1,test!$A$3:$F$32,2,FALSE))&lt;test!$K$16,$A115&lt;&gt;AF$1,Recharged_Feasible_mat!AG84=1),(VLOOKUP(AF$1,test!$A$3:$I$32,8,FALSE))-(VLOOKUP($A115,test!$A$3:$I$32,9,FALSE))-test!$B$35,0)</f>
        <v>0</v>
      </c>
    </row>
    <row r="116" spans="1:32" x14ac:dyDescent="0.25">
      <c r="A116" t="s">
        <v>32</v>
      </c>
      <c r="B116">
        <v>0</v>
      </c>
      <c r="C116">
        <f>IF(AND(SUM(VLOOKUP($A116,test!$A$3:$F$32,2,FALSE),VLOOKUP(C$1,test!$A$3:$F$32,2,FALSE))&lt;test!$K$16,$A116&lt;&gt;C$1,Recharged_Feasible_mat!D85=1),(VLOOKUP(C$1,test!$A$3:$I$32,8,FALSE))-(VLOOKUP($A116,test!$A$3:$I$32,9,FALSE))-test!$B$35,0)</f>
        <v>0</v>
      </c>
      <c r="D116">
        <f>IF(AND(SUM(VLOOKUP($A116,test!$A$3:$F$32,2,FALSE),VLOOKUP(D$1,test!$A$3:$F$32,2,FALSE))&lt;test!$K$16,$A116&lt;&gt;D$1,Recharged_Feasible_mat!E85=1),(VLOOKUP(D$1,test!$A$3:$I$32,8,FALSE))-(VLOOKUP($A116,test!$A$3:$I$32,9,FALSE))-test!$B$35,0)</f>
        <v>0</v>
      </c>
      <c r="E116">
        <f>IF(AND(SUM(VLOOKUP($A116,test!$A$3:$F$32,2,FALSE),VLOOKUP(E$1,test!$A$3:$F$32,2,FALSE))&lt;test!$K$16,$A116&lt;&gt;E$1,Recharged_Feasible_mat!F85=1),(VLOOKUP(E$1,test!$A$3:$I$32,8,FALSE))-(VLOOKUP($A116,test!$A$3:$I$32,9,FALSE))-test!$B$35,0)</f>
        <v>0</v>
      </c>
      <c r="F116">
        <f>IF(AND(SUM(VLOOKUP($A116,test!$A$3:$F$32,2,FALSE),VLOOKUP(F$1,test!$A$3:$F$32,2,FALSE))&lt;test!$K$16,$A116&lt;&gt;F$1,Recharged_Feasible_mat!G85=1),(VLOOKUP(F$1,test!$A$3:$I$32,8,FALSE))-(VLOOKUP($A116,test!$A$3:$I$32,9,FALSE))-test!$B$35,0)</f>
        <v>0</v>
      </c>
      <c r="G116">
        <f>IF(AND(SUM(VLOOKUP($A116,test!$A$3:$F$32,2,FALSE),VLOOKUP(G$1,test!$A$3:$F$32,2,FALSE))&lt;test!$K$16,$A116&lt;&gt;G$1,Recharged_Feasible_mat!H85=1),(VLOOKUP(G$1,test!$A$3:$I$32,8,FALSE))-(VLOOKUP($A116,test!$A$3:$I$32,9,FALSE))-test!$B$35,0)</f>
        <v>0</v>
      </c>
      <c r="H116">
        <f>IF(AND(SUM(VLOOKUP($A116,test!$A$3:$F$32,2,FALSE),VLOOKUP(H$1,test!$A$3:$F$32,2,FALSE))&lt;test!$K$16,$A116&lt;&gt;H$1,Recharged_Feasible_mat!I85=1),(VLOOKUP(H$1,test!$A$3:$I$32,8,FALSE))-(VLOOKUP($A116,test!$A$3:$I$32,9,FALSE))-test!$B$35,0)</f>
        <v>0</v>
      </c>
      <c r="I116">
        <f>IF(AND(SUM(VLOOKUP($A116,test!$A$3:$F$32,2,FALSE),VLOOKUP(I$1,test!$A$3:$F$32,2,FALSE))&lt;test!$K$16,$A116&lt;&gt;I$1,Recharged_Feasible_mat!J85=1),(VLOOKUP(I$1,test!$A$3:$I$32,8,FALSE))-(VLOOKUP($A116,test!$A$3:$I$32,9,FALSE))-test!$B$35,0)</f>
        <v>0</v>
      </c>
      <c r="J116">
        <f>IF(AND(SUM(VLOOKUP($A116,test!$A$3:$F$32,2,FALSE),VLOOKUP(J$1,test!$A$3:$F$32,2,FALSE))&lt;test!$K$16,$A116&lt;&gt;J$1,Recharged_Feasible_mat!K85=1),(VLOOKUP(J$1,test!$A$3:$I$32,8,FALSE))-(VLOOKUP($A116,test!$A$3:$I$32,9,FALSE))-test!$B$35,0)</f>
        <v>0</v>
      </c>
      <c r="K116">
        <f>IF(AND(SUM(VLOOKUP($A116,test!$A$3:$F$32,2,FALSE),VLOOKUP(K$1,test!$A$3:$F$32,2,FALSE))&lt;test!$K$16,$A116&lt;&gt;K$1,Recharged_Feasible_mat!L85=1),(VLOOKUP(K$1,test!$A$3:$I$32,8,FALSE))-(VLOOKUP($A116,test!$A$3:$I$32,9,FALSE))-test!$B$35,0)</f>
        <v>0</v>
      </c>
      <c r="L116">
        <f>IF(AND(SUM(VLOOKUP($A116,test!$A$3:$F$32,2,FALSE),VLOOKUP(L$1,test!$A$3:$F$32,2,FALSE))&lt;test!$K$16,$A116&lt;&gt;L$1,Recharged_Feasible_mat!M85=1),(VLOOKUP(L$1,test!$A$3:$I$32,8,FALSE))-(VLOOKUP($A116,test!$A$3:$I$32,9,FALSE))-test!$B$35,0)</f>
        <v>0</v>
      </c>
      <c r="M116">
        <f>IF(AND(SUM(VLOOKUP($A116,test!$A$3:$F$32,2,FALSE),VLOOKUP(M$1,test!$A$3:$F$32,2,FALSE))&lt;test!$K$16,$A116&lt;&gt;M$1,Recharged_Feasible_mat!N85=1),(VLOOKUP(M$1,test!$A$3:$I$32,8,FALSE))-(VLOOKUP($A116,test!$A$3:$I$32,9,FALSE))-test!$B$35,0)</f>
        <v>0</v>
      </c>
      <c r="N116">
        <f>IF(AND(SUM(VLOOKUP($A116,test!$A$3:$F$32,2,FALSE),VLOOKUP(N$1,test!$A$3:$F$32,2,FALSE))&lt;test!$K$16,$A116&lt;&gt;N$1,Recharged_Feasible_mat!O85=1),(VLOOKUP(N$1,test!$A$3:$I$32,8,FALSE))-(VLOOKUP($A116,test!$A$3:$I$32,9,FALSE))-test!$B$35,0)</f>
        <v>0</v>
      </c>
      <c r="O116">
        <f>IF(AND(SUM(VLOOKUP($A116,test!$A$3:$F$32,2,FALSE),VLOOKUP(O$1,test!$A$3:$F$32,2,FALSE))&lt;test!$K$16,$A116&lt;&gt;O$1,Recharged_Feasible_mat!P85=1),(VLOOKUP(O$1,test!$A$3:$I$32,8,FALSE))-(VLOOKUP($A116,test!$A$3:$I$32,9,FALSE))-test!$B$35,0)</f>
        <v>0</v>
      </c>
      <c r="P116">
        <f>IF(AND(SUM(VLOOKUP($A116,test!$A$3:$F$32,2,FALSE),VLOOKUP(P$1,test!$A$3:$F$32,2,FALSE))&lt;test!$K$16,$A116&lt;&gt;P$1,Recharged_Feasible_mat!Q85=1),(VLOOKUP(P$1,test!$A$3:$I$32,8,FALSE))-(VLOOKUP($A116,test!$A$3:$I$32,9,FALSE))-test!$B$35,0)</f>
        <v>0</v>
      </c>
      <c r="Q116">
        <f>IF(AND(SUM(VLOOKUP($A116,test!$A$3:$F$32,2,FALSE),VLOOKUP(Q$1,test!$A$3:$F$32,2,FALSE))&lt;test!$K$16,$A116&lt;&gt;Q$1,Recharged_Feasible_mat!R85=1),(VLOOKUP(Q$1,test!$A$3:$I$32,8,FALSE))-(VLOOKUP($A116,test!$A$3:$I$32,9,FALSE))-test!$B$35,0)</f>
        <v>0</v>
      </c>
      <c r="R116">
        <f>IF(AND(SUM(VLOOKUP($A116,test!$A$3:$F$32,2,FALSE),VLOOKUP(R$1,test!$A$3:$F$32,2,FALSE))&lt;test!$K$16,$A116&lt;&gt;R$1,Recharged_Feasible_mat!S85=1),(VLOOKUP(R$1,test!$A$3:$I$32,8,FALSE))-(VLOOKUP($A116,test!$A$3:$I$32,9,FALSE))-test!$B$35,0)</f>
        <v>0</v>
      </c>
      <c r="S116">
        <f>IF(AND(SUM(VLOOKUP($A116,test!$A$3:$F$32,2,FALSE),VLOOKUP(S$1,test!$A$3:$F$32,2,FALSE))&lt;test!$K$16,$A116&lt;&gt;S$1,Recharged_Feasible_mat!T85=1),(VLOOKUP(S$1,test!$A$3:$I$32,8,FALSE))-(VLOOKUP($A116,test!$A$3:$I$32,9,FALSE))-test!$B$35,0)</f>
        <v>0</v>
      </c>
      <c r="T116">
        <f>IF(AND(SUM(VLOOKUP($A116,test!$A$3:$F$32,2,FALSE),VLOOKUP(T$1,test!$A$3:$F$32,2,FALSE))&lt;test!$K$16,$A116&lt;&gt;T$1,Recharged_Feasible_mat!U85=1),(VLOOKUP(T$1,test!$A$3:$I$32,8,FALSE))-(VLOOKUP($A116,test!$A$3:$I$32,9,FALSE))-test!$B$35,0)</f>
        <v>0</v>
      </c>
      <c r="U116">
        <f>IF(AND(SUM(VLOOKUP($A116,test!$A$3:$F$32,2,FALSE),VLOOKUP(U$1,test!$A$3:$F$32,2,FALSE))&lt;test!$K$16,$A116&lt;&gt;U$1,Recharged_Feasible_mat!V85=1),(VLOOKUP(U$1,test!$A$3:$I$32,8,FALSE))-(VLOOKUP($A116,test!$A$3:$I$32,9,FALSE))-test!$B$35,0)</f>
        <v>0</v>
      </c>
      <c r="V116">
        <f>IF(AND(SUM(VLOOKUP($A116,test!$A$3:$F$32,2,FALSE),VLOOKUP(V$1,test!$A$3:$F$32,2,FALSE))&lt;test!$K$16,$A116&lt;&gt;V$1,Recharged_Feasible_mat!W85=1),(VLOOKUP(V$1,test!$A$3:$I$32,8,FALSE))-(VLOOKUP($A116,test!$A$3:$I$32,9,FALSE))-test!$B$35,0)</f>
        <v>0</v>
      </c>
      <c r="W116">
        <f>IF(AND(SUM(VLOOKUP($A116,test!$A$3:$F$32,2,FALSE),VLOOKUP(W$1,test!$A$3:$F$32,2,FALSE))&lt;test!$K$16,$A116&lt;&gt;W$1,Recharged_Feasible_mat!X85=1),(VLOOKUP(W$1,test!$A$3:$I$32,8,FALSE))-(VLOOKUP($A116,test!$A$3:$I$32,9,FALSE))-test!$B$35,0)</f>
        <v>0</v>
      </c>
      <c r="X116">
        <f>IF(AND(SUM(VLOOKUP($A116,test!$A$3:$F$32,2,FALSE),VLOOKUP(X$1,test!$A$3:$F$32,2,FALSE))&lt;test!$K$16,$A116&lt;&gt;X$1,Recharged_Feasible_mat!Y85=1),(VLOOKUP(X$1,test!$A$3:$I$32,8,FALSE))-(VLOOKUP($A116,test!$A$3:$I$32,9,FALSE))-test!$B$35,0)</f>
        <v>0</v>
      </c>
      <c r="Y116">
        <f>IF(AND(SUM(VLOOKUP($A116,test!$A$3:$F$32,2,FALSE),VLOOKUP(Y$1,test!$A$3:$F$32,2,FALSE))&lt;test!$K$16,$A116&lt;&gt;Y$1,Recharged_Feasible_mat!Z85=1),(VLOOKUP(Y$1,test!$A$3:$I$32,8,FALSE))-(VLOOKUP($A116,test!$A$3:$I$32,9,FALSE))-test!$B$35,0)</f>
        <v>0</v>
      </c>
      <c r="Z116">
        <f>IF(AND(SUM(VLOOKUP($A116,test!$A$3:$F$32,2,FALSE),VLOOKUP(Z$1,test!$A$3:$F$32,2,FALSE))&lt;test!$K$16,$A116&lt;&gt;Z$1,Recharged_Feasible_mat!AA85=1),(VLOOKUP(Z$1,test!$A$3:$I$32,8,FALSE))-(VLOOKUP($A116,test!$A$3:$I$32,9,FALSE))-test!$B$35,0)</f>
        <v>0</v>
      </c>
      <c r="AA116">
        <f>IF(AND(SUM(VLOOKUP($A116,test!$A$3:$F$32,2,FALSE),VLOOKUP(AA$1,test!$A$3:$F$32,2,FALSE))&lt;test!$K$16,$A116&lt;&gt;AA$1,Recharged_Feasible_mat!AB85=1),(VLOOKUP(AA$1,test!$A$3:$I$32,8,FALSE))-(VLOOKUP($A116,test!$A$3:$I$32,9,FALSE))-test!$B$35,0)</f>
        <v>0</v>
      </c>
      <c r="AB116">
        <f>IF(AND(SUM(VLOOKUP($A116,test!$A$3:$F$32,2,FALSE),VLOOKUP(AB$1,test!$A$3:$F$32,2,FALSE))&lt;test!$K$16,$A116&lt;&gt;AB$1,Recharged_Feasible_mat!AC85=1),(VLOOKUP(AB$1,test!$A$3:$I$32,8,FALSE))-(VLOOKUP($A116,test!$A$3:$I$32,9,FALSE))-test!$B$35,0)</f>
        <v>0</v>
      </c>
      <c r="AC116">
        <f>IF(AND(SUM(VLOOKUP($A116,test!$A$3:$F$32,2,FALSE),VLOOKUP(AC$1,test!$A$3:$F$32,2,FALSE))&lt;test!$K$16,$A116&lt;&gt;AC$1,Recharged_Feasible_mat!AD85=1),(VLOOKUP(AC$1,test!$A$3:$I$32,8,FALSE))-(VLOOKUP($A116,test!$A$3:$I$32,9,FALSE))-test!$B$35,0)</f>
        <v>0</v>
      </c>
      <c r="AD116">
        <f>IF(AND(SUM(VLOOKUP($A116,test!$A$3:$F$32,2,FALSE),VLOOKUP(AD$1,test!$A$3:$F$32,2,FALSE))&lt;test!$K$16,$A116&lt;&gt;AD$1,Recharged_Feasible_mat!AE85=1),(VLOOKUP(AD$1,test!$A$3:$I$32,8,FALSE))-(VLOOKUP($A116,test!$A$3:$I$32,9,FALSE))-test!$B$35,0)</f>
        <v>0</v>
      </c>
      <c r="AE116">
        <f>IF(AND(SUM(VLOOKUP($A116,test!$A$3:$F$32,2,FALSE),VLOOKUP(AE$1,test!$A$3:$F$32,2,FALSE))&lt;test!$K$16,$A116&lt;&gt;AE$1,Recharged_Feasible_mat!AF85=1),(VLOOKUP(AE$1,test!$A$3:$I$32,8,FALSE))-(VLOOKUP($A116,test!$A$3:$I$32,9,FALSE))-test!$B$35,0)</f>
        <v>0</v>
      </c>
      <c r="AF116">
        <f>IF(AND(SUM(VLOOKUP($A116,test!$A$3:$F$32,2,FALSE),VLOOKUP(AF$1,test!$A$3:$F$32,2,FALSE))&lt;test!$K$16,$A116&lt;&gt;AF$1,Recharged_Feasible_mat!AG85=1),(VLOOKUP(AF$1,test!$A$3:$I$32,8,FALSE))-(VLOOKUP($A116,test!$A$3:$I$32,9,FALSE))-test!$B$35,0)</f>
        <v>0</v>
      </c>
    </row>
    <row r="117" spans="1:32" x14ac:dyDescent="0.25">
      <c r="A117" t="s">
        <v>33</v>
      </c>
      <c r="B117">
        <v>0</v>
      </c>
      <c r="C117">
        <f>IF(AND(SUM(VLOOKUP($A117,test!$A$3:$F$32,2,FALSE),VLOOKUP(C$1,test!$A$3:$F$32,2,FALSE))&lt;test!$K$16,$A117&lt;&gt;C$1,Recharged_Feasible_mat!D86=1),(VLOOKUP(C$1,test!$A$3:$I$32,8,FALSE))-(VLOOKUP($A117,test!$A$3:$I$32,9,FALSE))-test!$B$35,0)</f>
        <v>0</v>
      </c>
      <c r="D117">
        <f>IF(AND(SUM(VLOOKUP($A117,test!$A$3:$F$32,2,FALSE),VLOOKUP(D$1,test!$A$3:$F$32,2,FALSE))&lt;test!$K$16,$A117&lt;&gt;D$1,Recharged_Feasible_mat!E86=1),(VLOOKUP(D$1,test!$A$3:$I$32,8,FALSE))-(VLOOKUP($A117,test!$A$3:$I$32,9,FALSE))-test!$B$35,0)</f>
        <v>0</v>
      </c>
      <c r="E117">
        <f>IF(AND(SUM(VLOOKUP($A117,test!$A$3:$F$32,2,FALSE),VLOOKUP(E$1,test!$A$3:$F$32,2,FALSE))&lt;test!$K$16,$A117&lt;&gt;E$1,Recharged_Feasible_mat!F86=1),(VLOOKUP(E$1,test!$A$3:$I$32,8,FALSE))-(VLOOKUP($A117,test!$A$3:$I$32,9,FALSE))-test!$B$35,0)</f>
        <v>0</v>
      </c>
      <c r="F117">
        <f>IF(AND(SUM(VLOOKUP($A117,test!$A$3:$F$32,2,FALSE),VLOOKUP(F$1,test!$A$3:$F$32,2,FALSE))&lt;test!$K$16,$A117&lt;&gt;F$1,Recharged_Feasible_mat!G86=1),(VLOOKUP(F$1,test!$A$3:$I$32,8,FALSE))-(VLOOKUP($A117,test!$A$3:$I$32,9,FALSE))-test!$B$35,0)</f>
        <v>0</v>
      </c>
      <c r="G117">
        <f>IF(AND(SUM(VLOOKUP($A117,test!$A$3:$F$32,2,FALSE),VLOOKUP(G$1,test!$A$3:$F$32,2,FALSE))&lt;test!$K$16,$A117&lt;&gt;G$1,Recharged_Feasible_mat!H86=1),(VLOOKUP(G$1,test!$A$3:$I$32,8,FALSE))-(VLOOKUP($A117,test!$A$3:$I$32,9,FALSE))-test!$B$35,0)</f>
        <v>0</v>
      </c>
      <c r="H117">
        <f>IF(AND(SUM(VLOOKUP($A117,test!$A$3:$F$32,2,FALSE),VLOOKUP(H$1,test!$A$3:$F$32,2,FALSE))&lt;test!$K$16,$A117&lt;&gt;H$1,Recharged_Feasible_mat!I86=1),(VLOOKUP(H$1,test!$A$3:$I$32,8,FALSE))-(VLOOKUP($A117,test!$A$3:$I$32,9,FALSE))-test!$B$35,0)</f>
        <v>0</v>
      </c>
      <c r="I117">
        <f>IF(AND(SUM(VLOOKUP($A117,test!$A$3:$F$32,2,FALSE),VLOOKUP(I$1,test!$A$3:$F$32,2,FALSE))&lt;test!$K$16,$A117&lt;&gt;I$1,Recharged_Feasible_mat!J86=1),(VLOOKUP(I$1,test!$A$3:$I$32,8,FALSE))-(VLOOKUP($A117,test!$A$3:$I$32,9,FALSE))-test!$B$35,0)</f>
        <v>0</v>
      </c>
      <c r="J117">
        <f>IF(AND(SUM(VLOOKUP($A117,test!$A$3:$F$32,2,FALSE),VLOOKUP(J$1,test!$A$3:$F$32,2,FALSE))&lt;test!$K$16,$A117&lt;&gt;J$1,Recharged_Feasible_mat!K86=1),(VLOOKUP(J$1,test!$A$3:$I$32,8,FALSE))-(VLOOKUP($A117,test!$A$3:$I$32,9,FALSE))-test!$B$35,0)</f>
        <v>0</v>
      </c>
      <c r="K117">
        <f>IF(AND(SUM(VLOOKUP($A117,test!$A$3:$F$32,2,FALSE),VLOOKUP(K$1,test!$A$3:$F$32,2,FALSE))&lt;test!$K$16,$A117&lt;&gt;K$1,Recharged_Feasible_mat!L86=1),(VLOOKUP(K$1,test!$A$3:$I$32,8,FALSE))-(VLOOKUP($A117,test!$A$3:$I$32,9,FALSE))-test!$B$35,0)</f>
        <v>0</v>
      </c>
      <c r="L117">
        <f>IF(AND(SUM(VLOOKUP($A117,test!$A$3:$F$32,2,FALSE),VLOOKUP(L$1,test!$A$3:$F$32,2,FALSE))&lt;test!$K$16,$A117&lt;&gt;L$1,Recharged_Feasible_mat!M86=1),(VLOOKUP(L$1,test!$A$3:$I$32,8,FALSE))-(VLOOKUP($A117,test!$A$3:$I$32,9,FALSE))-test!$B$35,0)</f>
        <v>0</v>
      </c>
      <c r="M117">
        <f>IF(AND(SUM(VLOOKUP($A117,test!$A$3:$F$32,2,FALSE),VLOOKUP(M$1,test!$A$3:$F$32,2,FALSE))&lt;test!$K$16,$A117&lt;&gt;M$1,Recharged_Feasible_mat!N86=1),(VLOOKUP(M$1,test!$A$3:$I$32,8,FALSE))-(VLOOKUP($A117,test!$A$3:$I$32,9,FALSE))-test!$B$35,0)</f>
        <v>0</v>
      </c>
      <c r="N117">
        <f>IF(AND(SUM(VLOOKUP($A117,test!$A$3:$F$32,2,FALSE),VLOOKUP(N$1,test!$A$3:$F$32,2,FALSE))&lt;test!$K$16,$A117&lt;&gt;N$1,Recharged_Feasible_mat!O86=1),(VLOOKUP(N$1,test!$A$3:$I$32,8,FALSE))-(VLOOKUP($A117,test!$A$3:$I$32,9,FALSE))-test!$B$35,0)</f>
        <v>0</v>
      </c>
      <c r="O117">
        <f>IF(AND(SUM(VLOOKUP($A117,test!$A$3:$F$32,2,FALSE),VLOOKUP(O$1,test!$A$3:$F$32,2,FALSE))&lt;test!$K$16,$A117&lt;&gt;O$1,Recharged_Feasible_mat!P86=1),(VLOOKUP(O$1,test!$A$3:$I$32,8,FALSE))-(VLOOKUP($A117,test!$A$3:$I$32,9,FALSE))-test!$B$35,0)</f>
        <v>0</v>
      </c>
      <c r="P117">
        <f>IF(AND(SUM(VLOOKUP($A117,test!$A$3:$F$32,2,FALSE),VLOOKUP(P$1,test!$A$3:$F$32,2,FALSE))&lt;test!$K$16,$A117&lt;&gt;P$1,Recharged_Feasible_mat!Q86=1),(VLOOKUP(P$1,test!$A$3:$I$32,8,FALSE))-(VLOOKUP($A117,test!$A$3:$I$32,9,FALSE))-test!$B$35,0)</f>
        <v>0</v>
      </c>
      <c r="Q117">
        <f>IF(AND(SUM(VLOOKUP($A117,test!$A$3:$F$32,2,FALSE),VLOOKUP(Q$1,test!$A$3:$F$32,2,FALSE))&lt;test!$K$16,$A117&lt;&gt;Q$1,Recharged_Feasible_mat!R86=1),(VLOOKUP(Q$1,test!$A$3:$I$32,8,FALSE))-(VLOOKUP($A117,test!$A$3:$I$32,9,FALSE))-test!$B$35,0)</f>
        <v>0</v>
      </c>
      <c r="R117">
        <f>IF(AND(SUM(VLOOKUP($A117,test!$A$3:$F$32,2,FALSE),VLOOKUP(R$1,test!$A$3:$F$32,2,FALSE))&lt;test!$K$16,$A117&lt;&gt;R$1,Recharged_Feasible_mat!S86=1),(VLOOKUP(R$1,test!$A$3:$I$32,8,FALSE))-(VLOOKUP($A117,test!$A$3:$I$32,9,FALSE))-test!$B$35,0)</f>
        <v>0</v>
      </c>
      <c r="S117">
        <f>IF(AND(SUM(VLOOKUP($A117,test!$A$3:$F$32,2,FALSE),VLOOKUP(S$1,test!$A$3:$F$32,2,FALSE))&lt;test!$K$16,$A117&lt;&gt;S$1,Recharged_Feasible_mat!T86=1),(VLOOKUP(S$1,test!$A$3:$I$32,8,FALSE))-(VLOOKUP($A117,test!$A$3:$I$32,9,FALSE))-test!$B$35,0)</f>
        <v>0</v>
      </c>
      <c r="T117">
        <f>IF(AND(SUM(VLOOKUP($A117,test!$A$3:$F$32,2,FALSE),VLOOKUP(T$1,test!$A$3:$F$32,2,FALSE))&lt;test!$K$16,$A117&lt;&gt;T$1,Recharged_Feasible_mat!U86=1),(VLOOKUP(T$1,test!$A$3:$I$32,8,FALSE))-(VLOOKUP($A117,test!$A$3:$I$32,9,FALSE))-test!$B$35,0)</f>
        <v>0</v>
      </c>
      <c r="U117">
        <f>IF(AND(SUM(VLOOKUP($A117,test!$A$3:$F$32,2,FALSE),VLOOKUP(U$1,test!$A$3:$F$32,2,FALSE))&lt;test!$K$16,$A117&lt;&gt;U$1,Recharged_Feasible_mat!V86=1),(VLOOKUP(U$1,test!$A$3:$I$32,8,FALSE))-(VLOOKUP($A117,test!$A$3:$I$32,9,FALSE))-test!$B$35,0)</f>
        <v>0</v>
      </c>
      <c r="V117">
        <f>IF(AND(SUM(VLOOKUP($A117,test!$A$3:$F$32,2,FALSE),VLOOKUP(V$1,test!$A$3:$F$32,2,FALSE))&lt;test!$K$16,$A117&lt;&gt;V$1,Recharged_Feasible_mat!W86=1),(VLOOKUP(V$1,test!$A$3:$I$32,8,FALSE))-(VLOOKUP($A117,test!$A$3:$I$32,9,FALSE))-test!$B$35,0)</f>
        <v>0</v>
      </c>
      <c r="W117">
        <f>IF(AND(SUM(VLOOKUP($A117,test!$A$3:$F$32,2,FALSE),VLOOKUP(W$1,test!$A$3:$F$32,2,FALSE))&lt;test!$K$16,$A117&lt;&gt;W$1,Recharged_Feasible_mat!X86=1),(VLOOKUP(W$1,test!$A$3:$I$32,8,FALSE))-(VLOOKUP($A117,test!$A$3:$I$32,9,FALSE))-test!$B$35,0)</f>
        <v>0</v>
      </c>
      <c r="X117">
        <f>IF(AND(SUM(VLOOKUP($A117,test!$A$3:$F$32,2,FALSE),VLOOKUP(X$1,test!$A$3:$F$32,2,FALSE))&lt;test!$K$16,$A117&lt;&gt;X$1,Recharged_Feasible_mat!Y86=1),(VLOOKUP(X$1,test!$A$3:$I$32,8,FALSE))-(VLOOKUP($A117,test!$A$3:$I$32,9,FALSE))-test!$B$35,0)</f>
        <v>0</v>
      </c>
      <c r="Y117">
        <f>IF(AND(SUM(VLOOKUP($A117,test!$A$3:$F$32,2,FALSE),VLOOKUP(Y$1,test!$A$3:$F$32,2,FALSE))&lt;test!$K$16,$A117&lt;&gt;Y$1,Recharged_Feasible_mat!Z86=1),(VLOOKUP(Y$1,test!$A$3:$I$32,8,FALSE))-(VLOOKUP($A117,test!$A$3:$I$32,9,FALSE))-test!$B$35,0)</f>
        <v>0</v>
      </c>
      <c r="Z117">
        <f>IF(AND(SUM(VLOOKUP($A117,test!$A$3:$F$32,2,FALSE),VLOOKUP(Z$1,test!$A$3:$F$32,2,FALSE))&lt;test!$K$16,$A117&lt;&gt;Z$1,Recharged_Feasible_mat!AA86=1),(VLOOKUP(Z$1,test!$A$3:$I$32,8,FALSE))-(VLOOKUP($A117,test!$A$3:$I$32,9,FALSE))-test!$B$35,0)</f>
        <v>0</v>
      </c>
      <c r="AA117">
        <f>IF(AND(SUM(VLOOKUP($A117,test!$A$3:$F$32,2,FALSE),VLOOKUP(AA$1,test!$A$3:$F$32,2,FALSE))&lt;test!$K$16,$A117&lt;&gt;AA$1,Recharged_Feasible_mat!AB86=1),(VLOOKUP(AA$1,test!$A$3:$I$32,8,FALSE))-(VLOOKUP($A117,test!$A$3:$I$32,9,FALSE))-test!$B$35,0)</f>
        <v>0</v>
      </c>
      <c r="AB117">
        <f>IF(AND(SUM(VLOOKUP($A117,test!$A$3:$F$32,2,FALSE),VLOOKUP(AB$1,test!$A$3:$F$32,2,FALSE))&lt;test!$K$16,$A117&lt;&gt;AB$1,Recharged_Feasible_mat!AC86=1),(VLOOKUP(AB$1,test!$A$3:$I$32,8,FALSE))-(VLOOKUP($A117,test!$A$3:$I$32,9,FALSE))-test!$B$35,0)</f>
        <v>0</v>
      </c>
      <c r="AC117">
        <f>IF(AND(SUM(VLOOKUP($A117,test!$A$3:$F$32,2,FALSE),VLOOKUP(AC$1,test!$A$3:$F$32,2,FALSE))&lt;test!$K$16,$A117&lt;&gt;AC$1,Recharged_Feasible_mat!AD86=1),(VLOOKUP(AC$1,test!$A$3:$I$32,8,FALSE))-(VLOOKUP($A117,test!$A$3:$I$32,9,FALSE))-test!$B$35,0)</f>
        <v>0</v>
      </c>
      <c r="AD117">
        <f>IF(AND(SUM(VLOOKUP($A117,test!$A$3:$F$32,2,FALSE),VLOOKUP(AD$1,test!$A$3:$F$32,2,FALSE))&lt;test!$K$16,$A117&lt;&gt;AD$1,Recharged_Feasible_mat!AE86=1),(VLOOKUP(AD$1,test!$A$3:$I$32,8,FALSE))-(VLOOKUP($A117,test!$A$3:$I$32,9,FALSE))-test!$B$35,0)</f>
        <v>0</v>
      </c>
      <c r="AE117">
        <f>IF(AND(SUM(VLOOKUP($A117,test!$A$3:$F$32,2,FALSE),VLOOKUP(AE$1,test!$A$3:$F$32,2,FALSE))&lt;test!$K$16,$A117&lt;&gt;AE$1,Recharged_Feasible_mat!AF86=1),(VLOOKUP(AE$1,test!$A$3:$I$32,8,FALSE))-(VLOOKUP($A117,test!$A$3:$I$32,9,FALSE))-test!$B$35,0)</f>
        <v>0</v>
      </c>
      <c r="AF117">
        <f>IF(AND(SUM(VLOOKUP($A117,test!$A$3:$F$32,2,FALSE),VLOOKUP(AF$1,test!$A$3:$F$32,2,FALSE))&lt;test!$K$16,$A117&lt;&gt;AF$1,Recharged_Feasible_mat!AG86=1),(VLOOKUP(AF$1,test!$A$3:$I$32,8,FALSE))-(VLOOKUP($A117,test!$A$3:$I$32,9,FALSE))-test!$B$35,0)</f>
        <v>0</v>
      </c>
    </row>
    <row r="118" spans="1:32" x14ac:dyDescent="0.25">
      <c r="A118" t="s">
        <v>34</v>
      </c>
      <c r="B118">
        <v>0</v>
      </c>
      <c r="C118">
        <f>IF(AND(SUM(VLOOKUP($A118,test!$A$3:$F$32,2,FALSE),VLOOKUP(C$1,test!$A$3:$F$32,2,FALSE))&lt;test!$K$16,$A118&lt;&gt;C$1,Recharged_Feasible_mat!D87=1),(VLOOKUP(C$1,test!$A$3:$I$32,8,FALSE))-(VLOOKUP($A118,test!$A$3:$I$32,9,FALSE))-test!$B$35,0)</f>
        <v>0</v>
      </c>
      <c r="D118">
        <f>IF(AND(SUM(VLOOKUP($A118,test!$A$3:$F$32,2,FALSE),VLOOKUP(D$1,test!$A$3:$F$32,2,FALSE))&lt;test!$K$16,$A118&lt;&gt;D$1,Recharged_Feasible_mat!E87=1),(VLOOKUP(D$1,test!$A$3:$I$32,8,FALSE))-(VLOOKUP($A118,test!$A$3:$I$32,9,FALSE))-test!$B$35,0)</f>
        <v>0</v>
      </c>
      <c r="E118">
        <f>IF(AND(SUM(VLOOKUP($A118,test!$A$3:$F$32,2,FALSE),VLOOKUP(E$1,test!$A$3:$F$32,2,FALSE))&lt;test!$K$16,$A118&lt;&gt;E$1,Recharged_Feasible_mat!F87=1),(VLOOKUP(E$1,test!$A$3:$I$32,8,FALSE))-(VLOOKUP($A118,test!$A$3:$I$32,9,FALSE))-test!$B$35,0)</f>
        <v>60</v>
      </c>
      <c r="F118">
        <f>IF(AND(SUM(VLOOKUP($A118,test!$A$3:$F$32,2,FALSE),VLOOKUP(F$1,test!$A$3:$F$32,2,FALSE))&lt;test!$K$16,$A118&lt;&gt;F$1,Recharged_Feasible_mat!G87=1),(VLOOKUP(F$1,test!$A$3:$I$32,8,FALSE))-(VLOOKUP($A118,test!$A$3:$I$32,9,FALSE))-test!$B$35,0)</f>
        <v>150</v>
      </c>
      <c r="G118">
        <f>IF(AND(SUM(VLOOKUP($A118,test!$A$3:$F$32,2,FALSE),VLOOKUP(G$1,test!$A$3:$F$32,2,FALSE))&lt;test!$K$16,$A118&lt;&gt;G$1,Recharged_Feasible_mat!H87=1),(VLOOKUP(G$1,test!$A$3:$I$32,8,FALSE))-(VLOOKUP($A118,test!$A$3:$I$32,9,FALSE))-test!$B$35,0)</f>
        <v>210</v>
      </c>
      <c r="H118">
        <f>IF(AND(SUM(VLOOKUP($A118,test!$A$3:$F$32,2,FALSE),VLOOKUP(H$1,test!$A$3:$F$32,2,FALSE))&lt;test!$K$16,$A118&lt;&gt;H$1,Recharged_Feasible_mat!I87=1),(VLOOKUP(H$1,test!$A$3:$I$32,8,FALSE))-(VLOOKUP($A118,test!$A$3:$I$32,9,FALSE))-test!$B$35,0)</f>
        <v>270</v>
      </c>
      <c r="I118">
        <f>IF(AND(SUM(VLOOKUP($A118,test!$A$3:$F$32,2,FALSE),VLOOKUP(I$1,test!$A$3:$F$32,2,FALSE))&lt;test!$K$16,$A118&lt;&gt;I$1,Recharged_Feasible_mat!J87=1),(VLOOKUP(I$1,test!$A$3:$I$32,8,FALSE))-(VLOOKUP($A118,test!$A$3:$I$32,9,FALSE))-test!$B$35,0)</f>
        <v>330</v>
      </c>
      <c r="J118">
        <f>IF(AND(SUM(VLOOKUP($A118,test!$A$3:$F$32,2,FALSE),VLOOKUP(J$1,test!$A$3:$F$32,2,FALSE))&lt;test!$K$16,$A118&lt;&gt;J$1,Recharged_Feasible_mat!K87=1),(VLOOKUP(J$1,test!$A$3:$I$32,8,FALSE))-(VLOOKUP($A118,test!$A$3:$I$32,9,FALSE))-test!$B$35,0)</f>
        <v>420</v>
      </c>
      <c r="K118">
        <f>IF(AND(SUM(VLOOKUP($A118,test!$A$3:$F$32,2,FALSE),VLOOKUP(K$1,test!$A$3:$F$32,2,FALSE))&lt;test!$K$16,$A118&lt;&gt;K$1,Recharged_Feasible_mat!L87=1),(VLOOKUP(K$1,test!$A$3:$I$32,8,FALSE))-(VLOOKUP($A118,test!$A$3:$I$32,9,FALSE))-test!$B$35,0)</f>
        <v>0</v>
      </c>
      <c r="L118">
        <f>IF(AND(SUM(VLOOKUP($A118,test!$A$3:$F$32,2,FALSE),VLOOKUP(L$1,test!$A$3:$F$32,2,FALSE))&lt;test!$K$16,$A118&lt;&gt;L$1,Recharged_Feasible_mat!M87=1),(VLOOKUP(L$1,test!$A$3:$I$32,8,FALSE))-(VLOOKUP($A118,test!$A$3:$I$32,9,FALSE))-test!$B$35,0)</f>
        <v>0</v>
      </c>
      <c r="M118">
        <f>IF(AND(SUM(VLOOKUP($A118,test!$A$3:$F$32,2,FALSE),VLOOKUP(M$1,test!$A$3:$F$32,2,FALSE))&lt;test!$K$16,$A118&lt;&gt;M$1,Recharged_Feasible_mat!N87=1),(VLOOKUP(M$1,test!$A$3:$I$32,8,FALSE))-(VLOOKUP($A118,test!$A$3:$I$32,9,FALSE))-test!$B$35,0)</f>
        <v>25</v>
      </c>
      <c r="N118">
        <f>IF(AND(SUM(VLOOKUP($A118,test!$A$3:$F$32,2,FALSE),VLOOKUP(N$1,test!$A$3:$F$32,2,FALSE))&lt;test!$K$16,$A118&lt;&gt;N$1,Recharged_Feasible_mat!O87=1),(VLOOKUP(N$1,test!$A$3:$I$32,8,FALSE))-(VLOOKUP($A118,test!$A$3:$I$32,9,FALSE))-test!$B$35,0)</f>
        <v>385</v>
      </c>
      <c r="O118">
        <f>IF(AND(SUM(VLOOKUP($A118,test!$A$3:$F$32,2,FALSE),VLOOKUP(O$1,test!$A$3:$F$32,2,FALSE))&lt;test!$K$16,$A118&lt;&gt;O$1,Recharged_Feasible_mat!P87=1),(VLOOKUP(O$1,test!$A$3:$I$32,8,FALSE))-(VLOOKUP($A118,test!$A$3:$I$32,9,FALSE))-test!$B$35,0)</f>
        <v>445</v>
      </c>
      <c r="P118">
        <f>IF(AND(SUM(VLOOKUP($A118,test!$A$3:$F$32,2,FALSE),VLOOKUP(P$1,test!$A$3:$F$32,2,FALSE))&lt;test!$K$16,$A118&lt;&gt;P$1,Recharged_Feasible_mat!Q87=1),(VLOOKUP(P$1,test!$A$3:$I$32,8,FALSE))-(VLOOKUP($A118,test!$A$3:$I$32,9,FALSE))-test!$B$35,0)</f>
        <v>0</v>
      </c>
      <c r="Q118">
        <f>IF(AND(SUM(VLOOKUP($A118,test!$A$3:$F$32,2,FALSE),VLOOKUP(Q$1,test!$A$3:$F$32,2,FALSE))&lt;test!$K$16,$A118&lt;&gt;Q$1,Recharged_Feasible_mat!R87=1),(VLOOKUP(Q$1,test!$A$3:$I$32,8,FALSE))-(VLOOKUP($A118,test!$A$3:$I$32,9,FALSE))-test!$B$35,0)</f>
        <v>0</v>
      </c>
      <c r="R118">
        <f>IF(AND(SUM(VLOOKUP($A118,test!$A$3:$F$32,2,FALSE),VLOOKUP(R$1,test!$A$3:$F$32,2,FALSE))&lt;test!$K$16,$A118&lt;&gt;R$1,Recharged_Feasible_mat!S87=1),(VLOOKUP(R$1,test!$A$3:$I$32,8,FALSE))-(VLOOKUP($A118,test!$A$3:$I$32,9,FALSE))-test!$B$35,0)</f>
        <v>0</v>
      </c>
      <c r="S118">
        <f>IF(AND(SUM(VLOOKUP($A118,test!$A$3:$F$32,2,FALSE),VLOOKUP(S$1,test!$A$3:$F$32,2,FALSE))&lt;test!$K$16,$A118&lt;&gt;S$1,Recharged_Feasible_mat!T87=1),(VLOOKUP(S$1,test!$A$3:$I$32,8,FALSE))-(VLOOKUP($A118,test!$A$3:$I$32,9,FALSE))-test!$B$35,0)</f>
        <v>0</v>
      </c>
      <c r="T118">
        <f>IF(AND(SUM(VLOOKUP($A118,test!$A$3:$F$32,2,FALSE),VLOOKUP(T$1,test!$A$3:$F$32,2,FALSE))&lt;test!$K$16,$A118&lt;&gt;T$1,Recharged_Feasible_mat!U87=1),(VLOOKUP(T$1,test!$A$3:$I$32,8,FALSE))-(VLOOKUP($A118,test!$A$3:$I$32,9,FALSE))-test!$B$35,0)</f>
        <v>40</v>
      </c>
      <c r="U118">
        <f>IF(AND(SUM(VLOOKUP($A118,test!$A$3:$F$32,2,FALSE),VLOOKUP(U$1,test!$A$3:$F$32,2,FALSE))&lt;test!$K$16,$A118&lt;&gt;U$1,Recharged_Feasible_mat!V87=1),(VLOOKUP(U$1,test!$A$3:$I$32,8,FALSE))-(VLOOKUP($A118,test!$A$3:$I$32,9,FALSE))-test!$B$35,0)</f>
        <v>130</v>
      </c>
      <c r="V118">
        <f>IF(AND(SUM(VLOOKUP($A118,test!$A$3:$F$32,2,FALSE),VLOOKUP(V$1,test!$A$3:$F$32,2,FALSE))&lt;test!$K$16,$A118&lt;&gt;V$1,Recharged_Feasible_mat!W87=1),(VLOOKUP(V$1,test!$A$3:$I$32,8,FALSE))-(VLOOKUP($A118,test!$A$3:$I$32,9,FALSE))-test!$B$35,0)</f>
        <v>220</v>
      </c>
      <c r="W118">
        <f>IF(AND(SUM(VLOOKUP($A118,test!$A$3:$F$32,2,FALSE),VLOOKUP(W$1,test!$A$3:$F$32,2,FALSE))&lt;test!$K$16,$A118&lt;&gt;W$1,Recharged_Feasible_mat!X87=1),(VLOOKUP(W$1,test!$A$3:$I$32,8,FALSE))-(VLOOKUP($A118,test!$A$3:$I$32,9,FALSE))-test!$B$35,0)</f>
        <v>310</v>
      </c>
      <c r="X118">
        <f>IF(AND(SUM(VLOOKUP($A118,test!$A$3:$F$32,2,FALSE),VLOOKUP(X$1,test!$A$3:$F$32,2,FALSE))&lt;test!$K$16,$A118&lt;&gt;X$1,Recharged_Feasible_mat!Y87=1),(VLOOKUP(X$1,test!$A$3:$I$32,8,FALSE))-(VLOOKUP($A118,test!$A$3:$I$32,9,FALSE))-test!$B$35,0)</f>
        <v>370</v>
      </c>
      <c r="Y118">
        <f>IF(AND(SUM(VLOOKUP($A118,test!$A$3:$F$32,2,FALSE),VLOOKUP(Y$1,test!$A$3:$F$32,2,FALSE))&lt;test!$K$16,$A118&lt;&gt;Y$1,Recharged_Feasible_mat!Z87=1),(VLOOKUP(Y$1,test!$A$3:$I$32,8,FALSE))-(VLOOKUP($A118,test!$A$3:$I$32,9,FALSE))-test!$B$35,0)</f>
        <v>0</v>
      </c>
      <c r="Z118">
        <f>IF(AND(SUM(VLOOKUP($A118,test!$A$3:$F$32,2,FALSE),VLOOKUP(Z$1,test!$A$3:$F$32,2,FALSE))&lt;test!$K$16,$A118&lt;&gt;Z$1,Recharged_Feasible_mat!AA87=1),(VLOOKUP(Z$1,test!$A$3:$I$32,8,FALSE))-(VLOOKUP($A118,test!$A$3:$I$32,9,FALSE))-test!$B$35,0)</f>
        <v>0</v>
      </c>
      <c r="AA118">
        <f>IF(AND(SUM(VLOOKUP($A118,test!$A$3:$F$32,2,FALSE),VLOOKUP(AA$1,test!$A$3:$F$32,2,FALSE))&lt;test!$K$16,$A118&lt;&gt;AA$1,Recharged_Feasible_mat!AB87=1),(VLOOKUP(AA$1,test!$A$3:$I$32,8,FALSE))-(VLOOKUP($A118,test!$A$3:$I$32,9,FALSE))-test!$B$35,0)</f>
        <v>90</v>
      </c>
      <c r="AB118">
        <f>IF(AND(SUM(VLOOKUP($A118,test!$A$3:$F$32,2,FALSE),VLOOKUP(AB$1,test!$A$3:$F$32,2,FALSE))&lt;test!$K$16,$A118&lt;&gt;AB$1,Recharged_Feasible_mat!AC87=1),(VLOOKUP(AB$1,test!$A$3:$I$32,8,FALSE))-(VLOOKUP($A118,test!$A$3:$I$32,9,FALSE))-test!$B$35,0)</f>
        <v>150</v>
      </c>
      <c r="AC118">
        <f>IF(AND(SUM(VLOOKUP($A118,test!$A$3:$F$32,2,FALSE),VLOOKUP(AC$1,test!$A$3:$F$32,2,FALSE))&lt;test!$K$16,$A118&lt;&gt;AC$1,Recharged_Feasible_mat!AD87=1),(VLOOKUP(AC$1,test!$A$3:$I$32,8,FALSE))-(VLOOKUP($A118,test!$A$3:$I$32,9,FALSE))-test!$B$35,0)</f>
        <v>270</v>
      </c>
      <c r="AD118">
        <f>IF(AND(SUM(VLOOKUP($A118,test!$A$3:$F$32,2,FALSE),VLOOKUP(AD$1,test!$A$3:$F$32,2,FALSE))&lt;test!$K$16,$A118&lt;&gt;AD$1,Recharged_Feasible_mat!AE87=1),(VLOOKUP(AD$1,test!$A$3:$I$32,8,FALSE))-(VLOOKUP($A118,test!$A$3:$I$32,9,FALSE))-test!$B$35,0)</f>
        <v>0</v>
      </c>
      <c r="AE118">
        <f>IF(AND(SUM(VLOOKUP($A118,test!$A$3:$F$32,2,FALSE),VLOOKUP(AE$1,test!$A$3:$F$32,2,FALSE))&lt;test!$K$16,$A118&lt;&gt;AE$1,Recharged_Feasible_mat!AF87=1),(VLOOKUP(AE$1,test!$A$3:$I$32,8,FALSE))-(VLOOKUP($A118,test!$A$3:$I$32,9,FALSE))-test!$B$35,0)</f>
        <v>0</v>
      </c>
      <c r="AF118">
        <f>IF(AND(SUM(VLOOKUP($A118,test!$A$3:$F$32,2,FALSE),VLOOKUP(AF$1,test!$A$3:$F$32,2,FALSE))&lt;test!$K$16,$A118&lt;&gt;AF$1,Recharged_Feasible_mat!AG87=1),(VLOOKUP(AF$1,test!$A$3:$I$32,8,FALSE))-(VLOOKUP($A118,test!$A$3:$I$32,9,FALSE))-test!$B$35,0)</f>
        <v>0</v>
      </c>
    </row>
    <row r="119" spans="1:32" x14ac:dyDescent="0.25">
      <c r="A119" t="s">
        <v>35</v>
      </c>
      <c r="B119">
        <v>0</v>
      </c>
      <c r="C119">
        <f>IF(AND(SUM(VLOOKUP($A119,test!$A$3:$F$32,2,FALSE),VLOOKUP(C$1,test!$A$3:$F$32,2,FALSE))&lt;test!$K$16,$A119&lt;&gt;C$1,Recharged_Feasible_mat!D88=1),(VLOOKUP(C$1,test!$A$3:$I$32,8,FALSE))-(VLOOKUP($A119,test!$A$3:$I$32,9,FALSE))-test!$B$35,0)</f>
        <v>0</v>
      </c>
      <c r="D119">
        <f>IF(AND(SUM(VLOOKUP($A119,test!$A$3:$F$32,2,FALSE),VLOOKUP(D$1,test!$A$3:$F$32,2,FALSE))&lt;test!$K$16,$A119&lt;&gt;D$1,Recharged_Feasible_mat!E88=1),(VLOOKUP(D$1,test!$A$3:$I$32,8,FALSE))-(VLOOKUP($A119,test!$A$3:$I$32,9,FALSE))-test!$B$35,0)</f>
        <v>0</v>
      </c>
      <c r="E119">
        <f>IF(AND(SUM(VLOOKUP($A119,test!$A$3:$F$32,2,FALSE),VLOOKUP(E$1,test!$A$3:$F$32,2,FALSE))&lt;test!$K$16,$A119&lt;&gt;E$1,Recharged_Feasible_mat!F88=1),(VLOOKUP(E$1,test!$A$3:$I$32,8,FALSE))-(VLOOKUP($A119,test!$A$3:$I$32,9,FALSE))-test!$B$35,0)</f>
        <v>0</v>
      </c>
      <c r="F119">
        <f>IF(AND(SUM(VLOOKUP($A119,test!$A$3:$F$32,2,FALSE),VLOOKUP(F$1,test!$A$3:$F$32,2,FALSE))&lt;test!$K$16,$A119&lt;&gt;F$1,Recharged_Feasible_mat!G88=1),(VLOOKUP(F$1,test!$A$3:$I$32,8,FALSE))-(VLOOKUP($A119,test!$A$3:$I$32,9,FALSE))-test!$B$35,0)</f>
        <v>0</v>
      </c>
      <c r="G119">
        <f>IF(AND(SUM(VLOOKUP($A119,test!$A$3:$F$32,2,FALSE),VLOOKUP(G$1,test!$A$3:$F$32,2,FALSE))&lt;test!$K$16,$A119&lt;&gt;G$1,Recharged_Feasible_mat!H88=1),(VLOOKUP(G$1,test!$A$3:$I$32,8,FALSE))-(VLOOKUP($A119,test!$A$3:$I$32,9,FALSE))-test!$B$35,0)</f>
        <v>40</v>
      </c>
      <c r="H119">
        <f>IF(AND(SUM(VLOOKUP($A119,test!$A$3:$F$32,2,FALSE),VLOOKUP(H$1,test!$A$3:$F$32,2,FALSE))&lt;test!$K$16,$A119&lt;&gt;H$1,Recharged_Feasible_mat!I88=1),(VLOOKUP(H$1,test!$A$3:$I$32,8,FALSE))-(VLOOKUP($A119,test!$A$3:$I$32,9,FALSE))-test!$B$35,0)</f>
        <v>100</v>
      </c>
      <c r="I119">
        <f>IF(AND(SUM(VLOOKUP($A119,test!$A$3:$F$32,2,FALSE),VLOOKUP(I$1,test!$A$3:$F$32,2,FALSE))&lt;test!$K$16,$A119&lt;&gt;I$1,Recharged_Feasible_mat!J88=1),(VLOOKUP(I$1,test!$A$3:$I$32,8,FALSE))-(VLOOKUP($A119,test!$A$3:$I$32,9,FALSE))-test!$B$35,0)</f>
        <v>160</v>
      </c>
      <c r="J119">
        <f>IF(AND(SUM(VLOOKUP($A119,test!$A$3:$F$32,2,FALSE),VLOOKUP(J$1,test!$A$3:$F$32,2,FALSE))&lt;test!$K$16,$A119&lt;&gt;J$1,Recharged_Feasible_mat!K88=1),(VLOOKUP(J$1,test!$A$3:$I$32,8,FALSE))-(VLOOKUP($A119,test!$A$3:$I$32,9,FALSE))-test!$B$35,0)</f>
        <v>250</v>
      </c>
      <c r="K119">
        <f>IF(AND(SUM(VLOOKUP($A119,test!$A$3:$F$32,2,FALSE),VLOOKUP(K$1,test!$A$3:$F$32,2,FALSE))&lt;test!$K$16,$A119&lt;&gt;K$1,Recharged_Feasible_mat!L88=1),(VLOOKUP(K$1,test!$A$3:$I$32,8,FALSE))-(VLOOKUP($A119,test!$A$3:$I$32,9,FALSE))-test!$B$35,0)</f>
        <v>0</v>
      </c>
      <c r="L119">
        <f>IF(AND(SUM(VLOOKUP($A119,test!$A$3:$F$32,2,FALSE),VLOOKUP(L$1,test!$A$3:$F$32,2,FALSE))&lt;test!$K$16,$A119&lt;&gt;L$1,Recharged_Feasible_mat!M88=1),(VLOOKUP(L$1,test!$A$3:$I$32,8,FALSE))-(VLOOKUP($A119,test!$A$3:$I$32,9,FALSE))-test!$B$35,0)</f>
        <v>0</v>
      </c>
      <c r="M119">
        <f>IF(AND(SUM(VLOOKUP($A119,test!$A$3:$F$32,2,FALSE),VLOOKUP(M$1,test!$A$3:$F$32,2,FALSE))&lt;test!$K$16,$A119&lt;&gt;M$1,Recharged_Feasible_mat!N88=1),(VLOOKUP(M$1,test!$A$3:$I$32,8,FALSE))-(VLOOKUP($A119,test!$A$3:$I$32,9,FALSE))-test!$B$35,0)</f>
        <v>0</v>
      </c>
      <c r="N119">
        <f>IF(AND(SUM(VLOOKUP($A119,test!$A$3:$F$32,2,FALSE),VLOOKUP(N$1,test!$A$3:$F$32,2,FALSE))&lt;test!$K$16,$A119&lt;&gt;N$1,Recharged_Feasible_mat!O88=1),(VLOOKUP(N$1,test!$A$3:$I$32,8,FALSE))-(VLOOKUP($A119,test!$A$3:$I$32,9,FALSE))-test!$B$35,0)</f>
        <v>215</v>
      </c>
      <c r="O119">
        <f>IF(AND(SUM(VLOOKUP($A119,test!$A$3:$F$32,2,FALSE),VLOOKUP(O$1,test!$A$3:$F$32,2,FALSE))&lt;test!$K$16,$A119&lt;&gt;O$1,Recharged_Feasible_mat!P88=1),(VLOOKUP(O$1,test!$A$3:$I$32,8,FALSE))-(VLOOKUP($A119,test!$A$3:$I$32,9,FALSE))-test!$B$35,0)</f>
        <v>275</v>
      </c>
      <c r="P119">
        <f>IF(AND(SUM(VLOOKUP($A119,test!$A$3:$F$32,2,FALSE),VLOOKUP(P$1,test!$A$3:$F$32,2,FALSE))&lt;test!$K$16,$A119&lt;&gt;P$1,Recharged_Feasible_mat!Q88=1),(VLOOKUP(P$1,test!$A$3:$I$32,8,FALSE))-(VLOOKUP($A119,test!$A$3:$I$32,9,FALSE))-test!$B$35,0)</f>
        <v>0</v>
      </c>
      <c r="Q119">
        <f>IF(AND(SUM(VLOOKUP($A119,test!$A$3:$F$32,2,FALSE),VLOOKUP(Q$1,test!$A$3:$F$32,2,FALSE))&lt;test!$K$16,$A119&lt;&gt;Q$1,Recharged_Feasible_mat!R88=1),(VLOOKUP(Q$1,test!$A$3:$I$32,8,FALSE))-(VLOOKUP($A119,test!$A$3:$I$32,9,FALSE))-test!$B$35,0)</f>
        <v>0</v>
      </c>
      <c r="R119">
        <f>IF(AND(SUM(VLOOKUP($A119,test!$A$3:$F$32,2,FALSE),VLOOKUP(R$1,test!$A$3:$F$32,2,FALSE))&lt;test!$K$16,$A119&lt;&gt;R$1,Recharged_Feasible_mat!S88=1),(VLOOKUP(R$1,test!$A$3:$I$32,8,FALSE))-(VLOOKUP($A119,test!$A$3:$I$32,9,FALSE))-test!$B$35,0)</f>
        <v>0</v>
      </c>
      <c r="S119">
        <f>IF(AND(SUM(VLOOKUP($A119,test!$A$3:$F$32,2,FALSE),VLOOKUP(S$1,test!$A$3:$F$32,2,FALSE))&lt;test!$K$16,$A119&lt;&gt;S$1,Recharged_Feasible_mat!T88=1),(VLOOKUP(S$1,test!$A$3:$I$32,8,FALSE))-(VLOOKUP($A119,test!$A$3:$I$32,9,FALSE))-test!$B$35,0)</f>
        <v>0</v>
      </c>
      <c r="T119">
        <f>IF(AND(SUM(VLOOKUP($A119,test!$A$3:$F$32,2,FALSE),VLOOKUP(T$1,test!$A$3:$F$32,2,FALSE))&lt;test!$K$16,$A119&lt;&gt;T$1,Recharged_Feasible_mat!U88=1),(VLOOKUP(T$1,test!$A$3:$I$32,8,FALSE))-(VLOOKUP($A119,test!$A$3:$I$32,9,FALSE))-test!$B$35,0)</f>
        <v>0</v>
      </c>
      <c r="U119">
        <f>IF(AND(SUM(VLOOKUP($A119,test!$A$3:$F$32,2,FALSE),VLOOKUP(U$1,test!$A$3:$F$32,2,FALSE))&lt;test!$K$16,$A119&lt;&gt;U$1,Recharged_Feasible_mat!V88=1),(VLOOKUP(U$1,test!$A$3:$I$32,8,FALSE))-(VLOOKUP($A119,test!$A$3:$I$32,9,FALSE))-test!$B$35,0)</f>
        <v>0</v>
      </c>
      <c r="V119">
        <f>IF(AND(SUM(VLOOKUP($A119,test!$A$3:$F$32,2,FALSE),VLOOKUP(V$1,test!$A$3:$F$32,2,FALSE))&lt;test!$K$16,$A119&lt;&gt;V$1,Recharged_Feasible_mat!W88=1),(VLOOKUP(V$1,test!$A$3:$I$32,8,FALSE))-(VLOOKUP($A119,test!$A$3:$I$32,9,FALSE))-test!$B$35,0)</f>
        <v>50</v>
      </c>
      <c r="W119">
        <f>IF(AND(SUM(VLOOKUP($A119,test!$A$3:$F$32,2,FALSE),VLOOKUP(W$1,test!$A$3:$F$32,2,FALSE))&lt;test!$K$16,$A119&lt;&gt;W$1,Recharged_Feasible_mat!X88=1),(VLOOKUP(W$1,test!$A$3:$I$32,8,FALSE))-(VLOOKUP($A119,test!$A$3:$I$32,9,FALSE))-test!$B$35,0)</f>
        <v>140</v>
      </c>
      <c r="X119">
        <f>IF(AND(SUM(VLOOKUP($A119,test!$A$3:$F$32,2,FALSE),VLOOKUP(X$1,test!$A$3:$F$32,2,FALSE))&lt;test!$K$16,$A119&lt;&gt;X$1,Recharged_Feasible_mat!Y88=1),(VLOOKUP(X$1,test!$A$3:$I$32,8,FALSE))-(VLOOKUP($A119,test!$A$3:$I$32,9,FALSE))-test!$B$35,0)</f>
        <v>200</v>
      </c>
      <c r="Y119">
        <f>IF(AND(SUM(VLOOKUP($A119,test!$A$3:$F$32,2,FALSE),VLOOKUP(Y$1,test!$A$3:$F$32,2,FALSE))&lt;test!$K$16,$A119&lt;&gt;Y$1,Recharged_Feasible_mat!Z88=1),(VLOOKUP(Y$1,test!$A$3:$I$32,8,FALSE))-(VLOOKUP($A119,test!$A$3:$I$32,9,FALSE))-test!$B$35,0)</f>
        <v>0</v>
      </c>
      <c r="Z119">
        <f>IF(AND(SUM(VLOOKUP($A119,test!$A$3:$F$32,2,FALSE),VLOOKUP(Z$1,test!$A$3:$F$32,2,FALSE))&lt;test!$K$16,$A119&lt;&gt;Z$1,Recharged_Feasible_mat!AA88=1),(VLOOKUP(Z$1,test!$A$3:$I$32,8,FALSE))-(VLOOKUP($A119,test!$A$3:$I$32,9,FALSE))-test!$B$35,0)</f>
        <v>0</v>
      </c>
      <c r="AA119">
        <f>IF(AND(SUM(VLOOKUP($A119,test!$A$3:$F$32,2,FALSE),VLOOKUP(AA$1,test!$A$3:$F$32,2,FALSE))&lt;test!$K$16,$A119&lt;&gt;AA$1,Recharged_Feasible_mat!AB88=1),(VLOOKUP(AA$1,test!$A$3:$I$32,8,FALSE))-(VLOOKUP($A119,test!$A$3:$I$32,9,FALSE))-test!$B$35,0)</f>
        <v>0</v>
      </c>
      <c r="AB119">
        <f>IF(AND(SUM(VLOOKUP($A119,test!$A$3:$F$32,2,FALSE),VLOOKUP(AB$1,test!$A$3:$F$32,2,FALSE))&lt;test!$K$16,$A119&lt;&gt;AB$1,Recharged_Feasible_mat!AC88=1),(VLOOKUP(AB$1,test!$A$3:$I$32,8,FALSE))-(VLOOKUP($A119,test!$A$3:$I$32,9,FALSE))-test!$B$35,0)</f>
        <v>0</v>
      </c>
      <c r="AC119">
        <f>IF(AND(SUM(VLOOKUP($A119,test!$A$3:$F$32,2,FALSE),VLOOKUP(AC$1,test!$A$3:$F$32,2,FALSE))&lt;test!$K$16,$A119&lt;&gt;AC$1,Recharged_Feasible_mat!AD88=1),(VLOOKUP(AC$1,test!$A$3:$I$32,8,FALSE))-(VLOOKUP($A119,test!$A$3:$I$32,9,FALSE))-test!$B$35,0)</f>
        <v>100</v>
      </c>
      <c r="AD119">
        <f>IF(AND(SUM(VLOOKUP($A119,test!$A$3:$F$32,2,FALSE),VLOOKUP(AD$1,test!$A$3:$F$32,2,FALSE))&lt;test!$K$16,$A119&lt;&gt;AD$1,Recharged_Feasible_mat!AE88=1),(VLOOKUP(AD$1,test!$A$3:$I$32,8,FALSE))-(VLOOKUP($A119,test!$A$3:$I$32,9,FALSE))-test!$B$35,0)</f>
        <v>0</v>
      </c>
      <c r="AE119">
        <f>IF(AND(SUM(VLOOKUP($A119,test!$A$3:$F$32,2,FALSE),VLOOKUP(AE$1,test!$A$3:$F$32,2,FALSE))&lt;test!$K$16,$A119&lt;&gt;AE$1,Recharged_Feasible_mat!AF88=1),(VLOOKUP(AE$1,test!$A$3:$I$32,8,FALSE))-(VLOOKUP($A119,test!$A$3:$I$32,9,FALSE))-test!$B$35,0)</f>
        <v>0</v>
      </c>
      <c r="AF119">
        <f>IF(AND(SUM(VLOOKUP($A119,test!$A$3:$F$32,2,FALSE),VLOOKUP(AF$1,test!$A$3:$F$32,2,FALSE))&lt;test!$K$16,$A119&lt;&gt;AF$1,Recharged_Feasible_mat!AG88=1),(VLOOKUP(AF$1,test!$A$3:$I$32,8,FALSE))-(VLOOKUP($A119,test!$A$3:$I$32,9,FALSE))-test!$B$35,0)</f>
        <v>0</v>
      </c>
    </row>
    <row r="120" spans="1:32" x14ac:dyDescent="0.25">
      <c r="A120" t="s">
        <v>36</v>
      </c>
      <c r="B120">
        <v>0</v>
      </c>
      <c r="C120">
        <f>IF(AND(SUM(VLOOKUP($A120,test!$A$3:$F$32,2,FALSE),VLOOKUP(C$1,test!$A$3:$F$32,2,FALSE))&lt;test!$K$16,$A120&lt;&gt;C$1,Recharged_Feasible_mat!D89=1),(VLOOKUP(C$1,test!$A$3:$I$32,8,FALSE))-(VLOOKUP($A120,test!$A$3:$I$32,9,FALSE))-test!$B$35,0)</f>
        <v>0</v>
      </c>
      <c r="D120">
        <f>IF(AND(SUM(VLOOKUP($A120,test!$A$3:$F$32,2,FALSE),VLOOKUP(D$1,test!$A$3:$F$32,2,FALSE))&lt;test!$K$16,$A120&lt;&gt;D$1,Recharged_Feasible_mat!E89=1),(VLOOKUP(D$1,test!$A$3:$I$32,8,FALSE))-(VLOOKUP($A120,test!$A$3:$I$32,9,FALSE))-test!$B$35,0)</f>
        <v>0</v>
      </c>
      <c r="E120">
        <f>IF(AND(SUM(VLOOKUP($A120,test!$A$3:$F$32,2,FALSE),VLOOKUP(E$1,test!$A$3:$F$32,2,FALSE))&lt;test!$K$16,$A120&lt;&gt;E$1,Recharged_Feasible_mat!F89=1),(VLOOKUP(E$1,test!$A$3:$I$32,8,FALSE))-(VLOOKUP($A120,test!$A$3:$I$32,9,FALSE))-test!$B$35,0)</f>
        <v>0</v>
      </c>
      <c r="F120">
        <f>IF(AND(SUM(VLOOKUP($A120,test!$A$3:$F$32,2,FALSE),VLOOKUP(F$1,test!$A$3:$F$32,2,FALSE))&lt;test!$K$16,$A120&lt;&gt;F$1,Recharged_Feasible_mat!G89=1),(VLOOKUP(F$1,test!$A$3:$I$32,8,FALSE))-(VLOOKUP($A120,test!$A$3:$I$32,9,FALSE))-test!$B$35,0)</f>
        <v>0</v>
      </c>
      <c r="G120">
        <f>IF(AND(SUM(VLOOKUP($A120,test!$A$3:$F$32,2,FALSE),VLOOKUP(G$1,test!$A$3:$F$32,2,FALSE))&lt;test!$K$16,$A120&lt;&gt;G$1,Recharged_Feasible_mat!H89=1),(VLOOKUP(G$1,test!$A$3:$I$32,8,FALSE))-(VLOOKUP($A120,test!$A$3:$I$32,9,FALSE))-test!$B$35,0)</f>
        <v>0</v>
      </c>
      <c r="H120">
        <f>IF(AND(SUM(VLOOKUP($A120,test!$A$3:$F$32,2,FALSE),VLOOKUP(H$1,test!$A$3:$F$32,2,FALSE))&lt;test!$K$16,$A120&lt;&gt;H$1,Recharged_Feasible_mat!I89=1),(VLOOKUP(H$1,test!$A$3:$I$32,8,FALSE))-(VLOOKUP($A120,test!$A$3:$I$32,9,FALSE))-test!$B$35,0)</f>
        <v>0</v>
      </c>
      <c r="I120">
        <f>IF(AND(SUM(VLOOKUP($A120,test!$A$3:$F$32,2,FALSE),VLOOKUP(I$1,test!$A$3:$F$32,2,FALSE))&lt;test!$K$16,$A120&lt;&gt;I$1,Recharged_Feasible_mat!J89=1),(VLOOKUP(I$1,test!$A$3:$I$32,8,FALSE))-(VLOOKUP($A120,test!$A$3:$I$32,9,FALSE))-test!$B$35,0)</f>
        <v>40</v>
      </c>
      <c r="J120">
        <f>IF(AND(SUM(VLOOKUP($A120,test!$A$3:$F$32,2,FALSE),VLOOKUP(J$1,test!$A$3:$F$32,2,FALSE))&lt;test!$K$16,$A120&lt;&gt;J$1,Recharged_Feasible_mat!K89=1),(VLOOKUP(J$1,test!$A$3:$I$32,8,FALSE))-(VLOOKUP($A120,test!$A$3:$I$32,9,FALSE))-test!$B$35,0)</f>
        <v>130</v>
      </c>
      <c r="K120">
        <f>IF(AND(SUM(VLOOKUP($A120,test!$A$3:$F$32,2,FALSE),VLOOKUP(K$1,test!$A$3:$F$32,2,FALSE))&lt;test!$K$16,$A120&lt;&gt;K$1,Recharged_Feasible_mat!L89=1),(VLOOKUP(K$1,test!$A$3:$I$32,8,FALSE))-(VLOOKUP($A120,test!$A$3:$I$32,9,FALSE))-test!$B$35,0)</f>
        <v>0</v>
      </c>
      <c r="L120">
        <f>IF(AND(SUM(VLOOKUP($A120,test!$A$3:$F$32,2,FALSE),VLOOKUP(L$1,test!$A$3:$F$32,2,FALSE))&lt;test!$K$16,$A120&lt;&gt;L$1,Recharged_Feasible_mat!M89=1),(VLOOKUP(L$1,test!$A$3:$I$32,8,FALSE))-(VLOOKUP($A120,test!$A$3:$I$32,9,FALSE))-test!$B$35,0)</f>
        <v>0</v>
      </c>
      <c r="M120">
        <f>IF(AND(SUM(VLOOKUP($A120,test!$A$3:$F$32,2,FALSE),VLOOKUP(M$1,test!$A$3:$F$32,2,FALSE))&lt;test!$K$16,$A120&lt;&gt;M$1,Recharged_Feasible_mat!N89=1),(VLOOKUP(M$1,test!$A$3:$I$32,8,FALSE))-(VLOOKUP($A120,test!$A$3:$I$32,9,FALSE))-test!$B$35,0)</f>
        <v>0</v>
      </c>
      <c r="N120">
        <f>IF(AND(SUM(VLOOKUP($A120,test!$A$3:$F$32,2,FALSE),VLOOKUP(N$1,test!$A$3:$F$32,2,FALSE))&lt;test!$K$16,$A120&lt;&gt;N$1,Recharged_Feasible_mat!O89=1),(VLOOKUP(N$1,test!$A$3:$I$32,8,FALSE))-(VLOOKUP($A120,test!$A$3:$I$32,9,FALSE))-test!$B$35,0)</f>
        <v>95</v>
      </c>
      <c r="O120">
        <f>IF(AND(SUM(VLOOKUP($A120,test!$A$3:$F$32,2,FALSE),VLOOKUP(O$1,test!$A$3:$F$32,2,FALSE))&lt;test!$K$16,$A120&lt;&gt;O$1,Recharged_Feasible_mat!P89=1),(VLOOKUP(O$1,test!$A$3:$I$32,8,FALSE))-(VLOOKUP($A120,test!$A$3:$I$32,9,FALSE))-test!$B$35,0)</f>
        <v>155</v>
      </c>
      <c r="P120">
        <f>IF(AND(SUM(VLOOKUP($A120,test!$A$3:$F$32,2,FALSE),VLOOKUP(P$1,test!$A$3:$F$32,2,FALSE))&lt;test!$K$16,$A120&lt;&gt;P$1,Recharged_Feasible_mat!Q89=1),(VLOOKUP(P$1,test!$A$3:$I$32,8,FALSE))-(VLOOKUP($A120,test!$A$3:$I$32,9,FALSE))-test!$B$35,0)</f>
        <v>0</v>
      </c>
      <c r="Q120">
        <f>IF(AND(SUM(VLOOKUP($A120,test!$A$3:$F$32,2,FALSE),VLOOKUP(Q$1,test!$A$3:$F$32,2,FALSE))&lt;test!$K$16,$A120&lt;&gt;Q$1,Recharged_Feasible_mat!R89=1),(VLOOKUP(Q$1,test!$A$3:$I$32,8,FALSE))-(VLOOKUP($A120,test!$A$3:$I$32,9,FALSE))-test!$B$35,0)</f>
        <v>0</v>
      </c>
      <c r="R120">
        <f>IF(AND(SUM(VLOOKUP($A120,test!$A$3:$F$32,2,FALSE),VLOOKUP(R$1,test!$A$3:$F$32,2,FALSE))&lt;test!$K$16,$A120&lt;&gt;R$1,Recharged_Feasible_mat!S89=1),(VLOOKUP(R$1,test!$A$3:$I$32,8,FALSE))-(VLOOKUP($A120,test!$A$3:$I$32,9,FALSE))-test!$B$35,0)</f>
        <v>0</v>
      </c>
      <c r="S120">
        <f>IF(AND(SUM(VLOOKUP($A120,test!$A$3:$F$32,2,FALSE),VLOOKUP(S$1,test!$A$3:$F$32,2,FALSE))&lt;test!$K$16,$A120&lt;&gt;S$1,Recharged_Feasible_mat!T89=1),(VLOOKUP(S$1,test!$A$3:$I$32,8,FALSE))-(VLOOKUP($A120,test!$A$3:$I$32,9,FALSE))-test!$B$35,0)</f>
        <v>0</v>
      </c>
      <c r="T120">
        <f>IF(AND(SUM(VLOOKUP($A120,test!$A$3:$F$32,2,FALSE),VLOOKUP(T$1,test!$A$3:$F$32,2,FALSE))&lt;test!$K$16,$A120&lt;&gt;T$1,Recharged_Feasible_mat!U89=1),(VLOOKUP(T$1,test!$A$3:$I$32,8,FALSE))-(VLOOKUP($A120,test!$A$3:$I$32,9,FALSE))-test!$B$35,0)</f>
        <v>0</v>
      </c>
      <c r="U120">
        <f>IF(AND(SUM(VLOOKUP($A120,test!$A$3:$F$32,2,FALSE),VLOOKUP(U$1,test!$A$3:$F$32,2,FALSE))&lt;test!$K$16,$A120&lt;&gt;U$1,Recharged_Feasible_mat!V89=1),(VLOOKUP(U$1,test!$A$3:$I$32,8,FALSE))-(VLOOKUP($A120,test!$A$3:$I$32,9,FALSE))-test!$B$35,0)</f>
        <v>0</v>
      </c>
      <c r="V120">
        <f>IF(AND(SUM(VLOOKUP($A120,test!$A$3:$F$32,2,FALSE),VLOOKUP(V$1,test!$A$3:$F$32,2,FALSE))&lt;test!$K$16,$A120&lt;&gt;V$1,Recharged_Feasible_mat!W89=1),(VLOOKUP(V$1,test!$A$3:$I$32,8,FALSE))-(VLOOKUP($A120,test!$A$3:$I$32,9,FALSE))-test!$B$35,0)</f>
        <v>0</v>
      </c>
      <c r="W120">
        <f>IF(AND(SUM(VLOOKUP($A120,test!$A$3:$F$32,2,FALSE),VLOOKUP(W$1,test!$A$3:$F$32,2,FALSE))&lt;test!$K$16,$A120&lt;&gt;W$1,Recharged_Feasible_mat!X89=1),(VLOOKUP(W$1,test!$A$3:$I$32,8,FALSE))-(VLOOKUP($A120,test!$A$3:$I$32,9,FALSE))-test!$B$35,0)</f>
        <v>20</v>
      </c>
      <c r="X120">
        <f>IF(AND(SUM(VLOOKUP($A120,test!$A$3:$F$32,2,FALSE),VLOOKUP(X$1,test!$A$3:$F$32,2,FALSE))&lt;test!$K$16,$A120&lt;&gt;X$1,Recharged_Feasible_mat!Y89=1),(VLOOKUP(X$1,test!$A$3:$I$32,8,FALSE))-(VLOOKUP($A120,test!$A$3:$I$32,9,FALSE))-test!$B$35,0)</f>
        <v>80</v>
      </c>
      <c r="Y120">
        <f>IF(AND(SUM(VLOOKUP($A120,test!$A$3:$F$32,2,FALSE),VLOOKUP(Y$1,test!$A$3:$F$32,2,FALSE))&lt;test!$K$16,$A120&lt;&gt;Y$1,Recharged_Feasible_mat!Z89=1),(VLOOKUP(Y$1,test!$A$3:$I$32,8,FALSE))-(VLOOKUP($A120,test!$A$3:$I$32,9,FALSE))-test!$B$35,0)</f>
        <v>0</v>
      </c>
      <c r="Z120">
        <f>IF(AND(SUM(VLOOKUP($A120,test!$A$3:$F$32,2,FALSE),VLOOKUP(Z$1,test!$A$3:$F$32,2,FALSE))&lt;test!$K$16,$A120&lt;&gt;Z$1,Recharged_Feasible_mat!AA89=1),(VLOOKUP(Z$1,test!$A$3:$I$32,8,FALSE))-(VLOOKUP($A120,test!$A$3:$I$32,9,FALSE))-test!$B$35,0)</f>
        <v>0</v>
      </c>
      <c r="AA120">
        <f>IF(AND(SUM(VLOOKUP($A120,test!$A$3:$F$32,2,FALSE),VLOOKUP(AA$1,test!$A$3:$F$32,2,FALSE))&lt;test!$K$16,$A120&lt;&gt;AA$1,Recharged_Feasible_mat!AB89=1),(VLOOKUP(AA$1,test!$A$3:$I$32,8,FALSE))-(VLOOKUP($A120,test!$A$3:$I$32,9,FALSE))-test!$B$35,0)</f>
        <v>0</v>
      </c>
      <c r="AB120">
        <f>IF(AND(SUM(VLOOKUP($A120,test!$A$3:$F$32,2,FALSE),VLOOKUP(AB$1,test!$A$3:$F$32,2,FALSE))&lt;test!$K$16,$A120&lt;&gt;AB$1,Recharged_Feasible_mat!AC89=1),(VLOOKUP(AB$1,test!$A$3:$I$32,8,FALSE))-(VLOOKUP($A120,test!$A$3:$I$32,9,FALSE))-test!$B$35,0)</f>
        <v>0</v>
      </c>
      <c r="AC120">
        <f>IF(AND(SUM(VLOOKUP($A120,test!$A$3:$F$32,2,FALSE),VLOOKUP(AC$1,test!$A$3:$F$32,2,FALSE))&lt;test!$K$16,$A120&lt;&gt;AC$1,Recharged_Feasible_mat!AD89=1),(VLOOKUP(AC$1,test!$A$3:$I$32,8,FALSE))-(VLOOKUP($A120,test!$A$3:$I$32,9,FALSE))-test!$B$35,0)</f>
        <v>0</v>
      </c>
      <c r="AD120">
        <f>IF(AND(SUM(VLOOKUP($A120,test!$A$3:$F$32,2,FALSE),VLOOKUP(AD$1,test!$A$3:$F$32,2,FALSE))&lt;test!$K$16,$A120&lt;&gt;AD$1,Recharged_Feasible_mat!AE89=1),(VLOOKUP(AD$1,test!$A$3:$I$32,8,FALSE))-(VLOOKUP($A120,test!$A$3:$I$32,9,FALSE))-test!$B$35,0)</f>
        <v>0</v>
      </c>
      <c r="AE120">
        <f>IF(AND(SUM(VLOOKUP($A120,test!$A$3:$F$32,2,FALSE),VLOOKUP(AE$1,test!$A$3:$F$32,2,FALSE))&lt;test!$K$16,$A120&lt;&gt;AE$1,Recharged_Feasible_mat!AF89=1),(VLOOKUP(AE$1,test!$A$3:$I$32,8,FALSE))-(VLOOKUP($A120,test!$A$3:$I$32,9,FALSE))-test!$B$35,0)</f>
        <v>0</v>
      </c>
      <c r="AF120">
        <f>IF(AND(SUM(VLOOKUP($A120,test!$A$3:$F$32,2,FALSE),VLOOKUP(AF$1,test!$A$3:$F$32,2,FALSE))&lt;test!$K$16,$A120&lt;&gt;AF$1,Recharged_Feasible_mat!AG89=1),(VLOOKUP(AF$1,test!$A$3:$I$32,8,FALSE))-(VLOOKUP($A120,test!$A$3:$I$32,9,FALSE))-test!$B$35,0)</f>
        <v>0</v>
      </c>
    </row>
    <row r="121" spans="1:32" x14ac:dyDescent="0.25">
      <c r="A121" t="s">
        <v>37</v>
      </c>
      <c r="B121">
        <v>0</v>
      </c>
      <c r="C121">
        <f>IF(AND(SUM(VLOOKUP($A121,test!$A$3:$F$32,2,FALSE),VLOOKUP(C$1,test!$A$3:$F$32,2,FALSE))&lt;test!$K$16,$A121&lt;&gt;C$1,Recharged_Feasible_mat!D90=1),(VLOOKUP(C$1,test!$A$3:$I$32,8,FALSE))-(VLOOKUP($A121,test!$A$3:$I$32,9,FALSE))-test!$B$35,0)</f>
        <v>0</v>
      </c>
      <c r="D121">
        <f>IF(AND(SUM(VLOOKUP($A121,test!$A$3:$F$32,2,FALSE),VLOOKUP(D$1,test!$A$3:$F$32,2,FALSE))&lt;test!$K$16,$A121&lt;&gt;D$1,Recharged_Feasible_mat!E90=1),(VLOOKUP(D$1,test!$A$3:$I$32,8,FALSE))-(VLOOKUP($A121,test!$A$3:$I$32,9,FALSE))-test!$B$35,0)</f>
        <v>0</v>
      </c>
      <c r="E121">
        <f>IF(AND(SUM(VLOOKUP($A121,test!$A$3:$F$32,2,FALSE),VLOOKUP(E$1,test!$A$3:$F$32,2,FALSE))&lt;test!$K$16,$A121&lt;&gt;E$1,Recharged_Feasible_mat!F90=1),(VLOOKUP(E$1,test!$A$3:$I$32,8,FALSE))-(VLOOKUP($A121,test!$A$3:$I$32,9,FALSE))-test!$B$35,0)</f>
        <v>0</v>
      </c>
      <c r="F121">
        <f>IF(AND(SUM(VLOOKUP($A121,test!$A$3:$F$32,2,FALSE),VLOOKUP(F$1,test!$A$3:$F$32,2,FALSE))&lt;test!$K$16,$A121&lt;&gt;F$1,Recharged_Feasible_mat!G90=1),(VLOOKUP(F$1,test!$A$3:$I$32,8,FALSE))-(VLOOKUP($A121,test!$A$3:$I$32,9,FALSE))-test!$B$35,0)</f>
        <v>0</v>
      </c>
      <c r="G121">
        <f>IF(AND(SUM(VLOOKUP($A121,test!$A$3:$F$32,2,FALSE),VLOOKUP(G$1,test!$A$3:$F$32,2,FALSE))&lt;test!$K$16,$A121&lt;&gt;G$1,Recharged_Feasible_mat!H90=1),(VLOOKUP(G$1,test!$A$3:$I$32,8,FALSE))-(VLOOKUP($A121,test!$A$3:$I$32,9,FALSE))-test!$B$35,0)</f>
        <v>0</v>
      </c>
      <c r="H121">
        <f>IF(AND(SUM(VLOOKUP($A121,test!$A$3:$F$32,2,FALSE),VLOOKUP(H$1,test!$A$3:$F$32,2,FALSE))&lt;test!$K$16,$A121&lt;&gt;H$1,Recharged_Feasible_mat!I90=1),(VLOOKUP(H$1,test!$A$3:$I$32,8,FALSE))-(VLOOKUP($A121,test!$A$3:$I$32,9,FALSE))-test!$B$35,0)</f>
        <v>0</v>
      </c>
      <c r="I121">
        <f>IF(AND(SUM(VLOOKUP($A121,test!$A$3:$F$32,2,FALSE),VLOOKUP(I$1,test!$A$3:$F$32,2,FALSE))&lt;test!$K$16,$A121&lt;&gt;I$1,Recharged_Feasible_mat!J90=1),(VLOOKUP(I$1,test!$A$3:$I$32,8,FALSE))-(VLOOKUP($A121,test!$A$3:$I$32,9,FALSE))-test!$B$35,0)</f>
        <v>0</v>
      </c>
      <c r="J121">
        <f>IF(AND(SUM(VLOOKUP($A121,test!$A$3:$F$32,2,FALSE),VLOOKUP(J$1,test!$A$3:$F$32,2,FALSE))&lt;test!$K$16,$A121&lt;&gt;J$1,Recharged_Feasible_mat!K90=1),(VLOOKUP(J$1,test!$A$3:$I$32,8,FALSE))-(VLOOKUP($A121,test!$A$3:$I$32,9,FALSE))-test!$B$35,0)</f>
        <v>70</v>
      </c>
      <c r="K121">
        <f>IF(AND(SUM(VLOOKUP($A121,test!$A$3:$F$32,2,FALSE),VLOOKUP(K$1,test!$A$3:$F$32,2,FALSE))&lt;test!$K$16,$A121&lt;&gt;K$1,Recharged_Feasible_mat!L90=1),(VLOOKUP(K$1,test!$A$3:$I$32,8,FALSE))-(VLOOKUP($A121,test!$A$3:$I$32,9,FALSE))-test!$B$35,0)</f>
        <v>0</v>
      </c>
      <c r="L121">
        <f>IF(AND(SUM(VLOOKUP($A121,test!$A$3:$F$32,2,FALSE),VLOOKUP(L$1,test!$A$3:$F$32,2,FALSE))&lt;test!$K$16,$A121&lt;&gt;L$1,Recharged_Feasible_mat!M90=1),(VLOOKUP(L$1,test!$A$3:$I$32,8,FALSE))-(VLOOKUP($A121,test!$A$3:$I$32,9,FALSE))-test!$B$35,0)</f>
        <v>0</v>
      </c>
      <c r="M121">
        <f>IF(AND(SUM(VLOOKUP($A121,test!$A$3:$F$32,2,FALSE),VLOOKUP(M$1,test!$A$3:$F$32,2,FALSE))&lt;test!$K$16,$A121&lt;&gt;M$1,Recharged_Feasible_mat!N90=1),(VLOOKUP(M$1,test!$A$3:$I$32,8,FALSE))-(VLOOKUP($A121,test!$A$3:$I$32,9,FALSE))-test!$B$35,0)</f>
        <v>0</v>
      </c>
      <c r="N121">
        <f>IF(AND(SUM(VLOOKUP($A121,test!$A$3:$F$32,2,FALSE),VLOOKUP(N$1,test!$A$3:$F$32,2,FALSE))&lt;test!$K$16,$A121&lt;&gt;N$1,Recharged_Feasible_mat!O90=1),(VLOOKUP(N$1,test!$A$3:$I$32,8,FALSE))-(VLOOKUP($A121,test!$A$3:$I$32,9,FALSE))-test!$B$35,0)</f>
        <v>35</v>
      </c>
      <c r="O121">
        <f>IF(AND(SUM(VLOOKUP($A121,test!$A$3:$F$32,2,FALSE),VLOOKUP(O$1,test!$A$3:$F$32,2,FALSE))&lt;test!$K$16,$A121&lt;&gt;O$1,Recharged_Feasible_mat!P90=1),(VLOOKUP(O$1,test!$A$3:$I$32,8,FALSE))-(VLOOKUP($A121,test!$A$3:$I$32,9,FALSE))-test!$B$35,0)</f>
        <v>95</v>
      </c>
      <c r="P121">
        <f>IF(AND(SUM(VLOOKUP($A121,test!$A$3:$F$32,2,FALSE),VLOOKUP(P$1,test!$A$3:$F$32,2,FALSE))&lt;test!$K$16,$A121&lt;&gt;P$1,Recharged_Feasible_mat!Q90=1),(VLOOKUP(P$1,test!$A$3:$I$32,8,FALSE))-(VLOOKUP($A121,test!$A$3:$I$32,9,FALSE))-test!$B$35,0)</f>
        <v>0</v>
      </c>
      <c r="Q121">
        <f>IF(AND(SUM(VLOOKUP($A121,test!$A$3:$F$32,2,FALSE),VLOOKUP(Q$1,test!$A$3:$F$32,2,FALSE))&lt;test!$K$16,$A121&lt;&gt;Q$1,Recharged_Feasible_mat!R90=1),(VLOOKUP(Q$1,test!$A$3:$I$32,8,FALSE))-(VLOOKUP($A121,test!$A$3:$I$32,9,FALSE))-test!$B$35,0)</f>
        <v>0</v>
      </c>
      <c r="R121">
        <f>IF(AND(SUM(VLOOKUP($A121,test!$A$3:$F$32,2,FALSE),VLOOKUP(R$1,test!$A$3:$F$32,2,FALSE))&lt;test!$K$16,$A121&lt;&gt;R$1,Recharged_Feasible_mat!S90=1),(VLOOKUP(R$1,test!$A$3:$I$32,8,FALSE))-(VLOOKUP($A121,test!$A$3:$I$32,9,FALSE))-test!$B$35,0)</f>
        <v>0</v>
      </c>
      <c r="S121">
        <f>IF(AND(SUM(VLOOKUP($A121,test!$A$3:$F$32,2,FALSE),VLOOKUP(S$1,test!$A$3:$F$32,2,FALSE))&lt;test!$K$16,$A121&lt;&gt;S$1,Recharged_Feasible_mat!T90=1),(VLOOKUP(S$1,test!$A$3:$I$32,8,FALSE))-(VLOOKUP($A121,test!$A$3:$I$32,9,FALSE))-test!$B$35,0)</f>
        <v>0</v>
      </c>
      <c r="T121">
        <f>IF(AND(SUM(VLOOKUP($A121,test!$A$3:$F$32,2,FALSE),VLOOKUP(T$1,test!$A$3:$F$32,2,FALSE))&lt;test!$K$16,$A121&lt;&gt;T$1,Recharged_Feasible_mat!U90=1),(VLOOKUP(T$1,test!$A$3:$I$32,8,FALSE))-(VLOOKUP($A121,test!$A$3:$I$32,9,FALSE))-test!$B$35,0)</f>
        <v>0</v>
      </c>
      <c r="U121">
        <f>IF(AND(SUM(VLOOKUP($A121,test!$A$3:$F$32,2,FALSE),VLOOKUP(U$1,test!$A$3:$F$32,2,FALSE))&lt;test!$K$16,$A121&lt;&gt;U$1,Recharged_Feasible_mat!V90=1),(VLOOKUP(U$1,test!$A$3:$I$32,8,FALSE))-(VLOOKUP($A121,test!$A$3:$I$32,9,FALSE))-test!$B$35,0)</f>
        <v>0</v>
      </c>
      <c r="V121">
        <f>IF(AND(SUM(VLOOKUP($A121,test!$A$3:$F$32,2,FALSE),VLOOKUP(V$1,test!$A$3:$F$32,2,FALSE))&lt;test!$K$16,$A121&lt;&gt;V$1,Recharged_Feasible_mat!W90=1),(VLOOKUP(V$1,test!$A$3:$I$32,8,FALSE))-(VLOOKUP($A121,test!$A$3:$I$32,9,FALSE))-test!$B$35,0)</f>
        <v>0</v>
      </c>
      <c r="W121">
        <f>IF(AND(SUM(VLOOKUP($A121,test!$A$3:$F$32,2,FALSE),VLOOKUP(W$1,test!$A$3:$F$32,2,FALSE))&lt;test!$K$16,$A121&lt;&gt;W$1,Recharged_Feasible_mat!X90=1),(VLOOKUP(W$1,test!$A$3:$I$32,8,FALSE))-(VLOOKUP($A121,test!$A$3:$I$32,9,FALSE))-test!$B$35,0)</f>
        <v>0</v>
      </c>
      <c r="X121">
        <f>IF(AND(SUM(VLOOKUP($A121,test!$A$3:$F$32,2,FALSE),VLOOKUP(X$1,test!$A$3:$F$32,2,FALSE))&lt;test!$K$16,$A121&lt;&gt;X$1,Recharged_Feasible_mat!Y90=1),(VLOOKUP(X$1,test!$A$3:$I$32,8,FALSE))-(VLOOKUP($A121,test!$A$3:$I$32,9,FALSE))-test!$B$35,0)</f>
        <v>20</v>
      </c>
      <c r="Y121">
        <f>IF(AND(SUM(VLOOKUP($A121,test!$A$3:$F$32,2,FALSE),VLOOKUP(Y$1,test!$A$3:$F$32,2,FALSE))&lt;test!$K$16,$A121&lt;&gt;Y$1,Recharged_Feasible_mat!Z90=1),(VLOOKUP(Y$1,test!$A$3:$I$32,8,FALSE))-(VLOOKUP($A121,test!$A$3:$I$32,9,FALSE))-test!$B$35,0)</f>
        <v>0</v>
      </c>
      <c r="Z121">
        <f>IF(AND(SUM(VLOOKUP($A121,test!$A$3:$F$32,2,FALSE),VLOOKUP(Z$1,test!$A$3:$F$32,2,FALSE))&lt;test!$K$16,$A121&lt;&gt;Z$1,Recharged_Feasible_mat!AA90=1),(VLOOKUP(Z$1,test!$A$3:$I$32,8,FALSE))-(VLOOKUP($A121,test!$A$3:$I$32,9,FALSE))-test!$B$35,0)</f>
        <v>0</v>
      </c>
      <c r="AA121">
        <f>IF(AND(SUM(VLOOKUP($A121,test!$A$3:$F$32,2,FALSE),VLOOKUP(AA$1,test!$A$3:$F$32,2,FALSE))&lt;test!$K$16,$A121&lt;&gt;AA$1,Recharged_Feasible_mat!AB90=1),(VLOOKUP(AA$1,test!$A$3:$I$32,8,FALSE))-(VLOOKUP($A121,test!$A$3:$I$32,9,FALSE))-test!$B$35,0)</f>
        <v>0</v>
      </c>
      <c r="AB121">
        <f>IF(AND(SUM(VLOOKUP($A121,test!$A$3:$F$32,2,FALSE),VLOOKUP(AB$1,test!$A$3:$F$32,2,FALSE))&lt;test!$K$16,$A121&lt;&gt;AB$1,Recharged_Feasible_mat!AC90=1),(VLOOKUP(AB$1,test!$A$3:$I$32,8,FALSE))-(VLOOKUP($A121,test!$A$3:$I$32,9,FALSE))-test!$B$35,0)</f>
        <v>0</v>
      </c>
      <c r="AC121">
        <f>IF(AND(SUM(VLOOKUP($A121,test!$A$3:$F$32,2,FALSE),VLOOKUP(AC$1,test!$A$3:$F$32,2,FALSE))&lt;test!$K$16,$A121&lt;&gt;AC$1,Recharged_Feasible_mat!AD90=1),(VLOOKUP(AC$1,test!$A$3:$I$32,8,FALSE))-(VLOOKUP($A121,test!$A$3:$I$32,9,FALSE))-test!$B$35,0)</f>
        <v>0</v>
      </c>
      <c r="AD121">
        <f>IF(AND(SUM(VLOOKUP($A121,test!$A$3:$F$32,2,FALSE),VLOOKUP(AD$1,test!$A$3:$F$32,2,FALSE))&lt;test!$K$16,$A121&lt;&gt;AD$1,Recharged_Feasible_mat!AE90=1),(VLOOKUP(AD$1,test!$A$3:$I$32,8,FALSE))-(VLOOKUP($A121,test!$A$3:$I$32,9,FALSE))-test!$B$35,0)</f>
        <v>0</v>
      </c>
      <c r="AE121">
        <f>IF(AND(SUM(VLOOKUP($A121,test!$A$3:$F$32,2,FALSE),VLOOKUP(AE$1,test!$A$3:$F$32,2,FALSE))&lt;test!$K$16,$A121&lt;&gt;AE$1,Recharged_Feasible_mat!AF90=1),(VLOOKUP(AE$1,test!$A$3:$I$32,8,FALSE))-(VLOOKUP($A121,test!$A$3:$I$32,9,FALSE))-test!$B$35,0)</f>
        <v>0</v>
      </c>
      <c r="AF121">
        <f>IF(AND(SUM(VLOOKUP($A121,test!$A$3:$F$32,2,FALSE),VLOOKUP(AF$1,test!$A$3:$F$32,2,FALSE))&lt;test!$K$16,$A121&lt;&gt;AF$1,Recharged_Feasible_mat!AG90=1),(VLOOKUP(AF$1,test!$A$3:$I$32,8,FALSE))-(VLOOKUP($A121,test!$A$3:$I$32,9,FALSE))-test!$B$35,0)</f>
        <v>0</v>
      </c>
    </row>
    <row r="122" spans="1:32" x14ac:dyDescent="0.25">
      <c r="A122" t="s">
        <v>38</v>
      </c>
      <c r="B122">
        <v>0</v>
      </c>
      <c r="C122">
        <f>IF(AND(SUM(VLOOKUP($A122,test!$A$3:$F$32,2,FALSE),VLOOKUP(C$1,test!$A$3:$F$32,2,FALSE))&lt;test!$K$16,$A122&lt;&gt;C$1,Recharged_Feasible_mat!D91=1),(VLOOKUP(C$1,test!$A$3:$I$32,8,FALSE))-(VLOOKUP($A122,test!$A$3:$I$32,9,FALSE))-test!$B$35,0)</f>
        <v>0</v>
      </c>
      <c r="D122">
        <f>IF(AND(SUM(VLOOKUP($A122,test!$A$3:$F$32,2,FALSE),VLOOKUP(D$1,test!$A$3:$F$32,2,FALSE))&lt;test!$K$16,$A122&lt;&gt;D$1,Recharged_Feasible_mat!E91=1),(VLOOKUP(D$1,test!$A$3:$I$32,8,FALSE))-(VLOOKUP($A122,test!$A$3:$I$32,9,FALSE))-test!$B$35,0)</f>
        <v>0</v>
      </c>
      <c r="E122">
        <f>IF(AND(SUM(VLOOKUP($A122,test!$A$3:$F$32,2,FALSE),VLOOKUP(E$1,test!$A$3:$F$32,2,FALSE))&lt;test!$K$16,$A122&lt;&gt;E$1,Recharged_Feasible_mat!F91=1),(VLOOKUP(E$1,test!$A$3:$I$32,8,FALSE))-(VLOOKUP($A122,test!$A$3:$I$32,9,FALSE))-test!$B$35,0)</f>
        <v>0</v>
      </c>
      <c r="F122">
        <f>IF(AND(SUM(VLOOKUP($A122,test!$A$3:$F$32,2,FALSE),VLOOKUP(F$1,test!$A$3:$F$32,2,FALSE))&lt;test!$K$16,$A122&lt;&gt;F$1,Recharged_Feasible_mat!G91=1),(VLOOKUP(F$1,test!$A$3:$I$32,8,FALSE))-(VLOOKUP($A122,test!$A$3:$I$32,9,FALSE))-test!$B$35,0)</f>
        <v>0</v>
      </c>
      <c r="G122">
        <f>IF(AND(SUM(VLOOKUP($A122,test!$A$3:$F$32,2,FALSE),VLOOKUP(G$1,test!$A$3:$F$32,2,FALSE))&lt;test!$K$16,$A122&lt;&gt;G$1,Recharged_Feasible_mat!H91=1),(VLOOKUP(G$1,test!$A$3:$I$32,8,FALSE))-(VLOOKUP($A122,test!$A$3:$I$32,9,FALSE))-test!$B$35,0)</f>
        <v>0</v>
      </c>
      <c r="H122">
        <f>IF(AND(SUM(VLOOKUP($A122,test!$A$3:$F$32,2,FALSE),VLOOKUP(H$1,test!$A$3:$F$32,2,FALSE))&lt;test!$K$16,$A122&lt;&gt;H$1,Recharged_Feasible_mat!I91=1),(VLOOKUP(H$1,test!$A$3:$I$32,8,FALSE))-(VLOOKUP($A122,test!$A$3:$I$32,9,FALSE))-test!$B$35,0)</f>
        <v>0</v>
      </c>
      <c r="I122">
        <f>IF(AND(SUM(VLOOKUP($A122,test!$A$3:$F$32,2,FALSE),VLOOKUP(I$1,test!$A$3:$F$32,2,FALSE))&lt;test!$K$16,$A122&lt;&gt;I$1,Recharged_Feasible_mat!J91=1),(VLOOKUP(I$1,test!$A$3:$I$32,8,FALSE))-(VLOOKUP($A122,test!$A$3:$I$32,9,FALSE))-test!$B$35,0)</f>
        <v>0</v>
      </c>
      <c r="J122">
        <f>IF(AND(SUM(VLOOKUP($A122,test!$A$3:$F$32,2,FALSE),VLOOKUP(J$1,test!$A$3:$F$32,2,FALSE))&lt;test!$K$16,$A122&lt;&gt;J$1,Recharged_Feasible_mat!K91=1),(VLOOKUP(J$1,test!$A$3:$I$32,8,FALSE))-(VLOOKUP($A122,test!$A$3:$I$32,9,FALSE))-test!$B$35,0)</f>
        <v>0</v>
      </c>
      <c r="K122">
        <f>IF(AND(SUM(VLOOKUP($A122,test!$A$3:$F$32,2,FALSE),VLOOKUP(K$1,test!$A$3:$F$32,2,FALSE))&lt;test!$K$16,$A122&lt;&gt;K$1,Recharged_Feasible_mat!L91=1),(VLOOKUP(K$1,test!$A$3:$I$32,8,FALSE))-(VLOOKUP($A122,test!$A$3:$I$32,9,FALSE))-test!$B$35,0)</f>
        <v>0</v>
      </c>
      <c r="L122">
        <f>IF(AND(SUM(VLOOKUP($A122,test!$A$3:$F$32,2,FALSE),VLOOKUP(L$1,test!$A$3:$F$32,2,FALSE))&lt;test!$K$16,$A122&lt;&gt;L$1,Recharged_Feasible_mat!M91=1),(VLOOKUP(L$1,test!$A$3:$I$32,8,FALSE))-(VLOOKUP($A122,test!$A$3:$I$32,9,FALSE))-test!$B$35,0)</f>
        <v>0</v>
      </c>
      <c r="M122">
        <f>IF(AND(SUM(VLOOKUP($A122,test!$A$3:$F$32,2,FALSE),VLOOKUP(M$1,test!$A$3:$F$32,2,FALSE))&lt;test!$K$16,$A122&lt;&gt;M$1,Recharged_Feasible_mat!N91=1),(VLOOKUP(M$1,test!$A$3:$I$32,8,FALSE))-(VLOOKUP($A122,test!$A$3:$I$32,9,FALSE))-test!$B$35,0)</f>
        <v>0</v>
      </c>
      <c r="N122">
        <f>IF(AND(SUM(VLOOKUP($A122,test!$A$3:$F$32,2,FALSE),VLOOKUP(N$1,test!$A$3:$F$32,2,FALSE))&lt;test!$K$16,$A122&lt;&gt;N$1,Recharged_Feasible_mat!O91=1),(VLOOKUP(N$1,test!$A$3:$I$32,8,FALSE))-(VLOOKUP($A122,test!$A$3:$I$32,9,FALSE))-test!$B$35,0)</f>
        <v>0</v>
      </c>
      <c r="O122">
        <f>IF(AND(SUM(VLOOKUP($A122,test!$A$3:$F$32,2,FALSE),VLOOKUP(O$1,test!$A$3:$F$32,2,FALSE))&lt;test!$K$16,$A122&lt;&gt;O$1,Recharged_Feasible_mat!P91=1),(VLOOKUP(O$1,test!$A$3:$I$32,8,FALSE))-(VLOOKUP($A122,test!$A$3:$I$32,9,FALSE))-test!$B$35,0)</f>
        <v>0</v>
      </c>
      <c r="P122">
        <f>IF(AND(SUM(VLOOKUP($A122,test!$A$3:$F$32,2,FALSE),VLOOKUP(P$1,test!$A$3:$F$32,2,FALSE))&lt;test!$K$16,$A122&lt;&gt;P$1,Recharged_Feasible_mat!Q91=1),(VLOOKUP(P$1,test!$A$3:$I$32,8,FALSE))-(VLOOKUP($A122,test!$A$3:$I$32,9,FALSE))-test!$B$35,0)</f>
        <v>0</v>
      </c>
      <c r="Q122">
        <f>IF(AND(SUM(VLOOKUP($A122,test!$A$3:$F$32,2,FALSE),VLOOKUP(Q$1,test!$A$3:$F$32,2,FALSE))&lt;test!$K$16,$A122&lt;&gt;Q$1,Recharged_Feasible_mat!R91=1),(VLOOKUP(Q$1,test!$A$3:$I$32,8,FALSE))-(VLOOKUP($A122,test!$A$3:$I$32,9,FALSE))-test!$B$35,0)</f>
        <v>0</v>
      </c>
      <c r="R122">
        <f>IF(AND(SUM(VLOOKUP($A122,test!$A$3:$F$32,2,FALSE),VLOOKUP(R$1,test!$A$3:$F$32,2,FALSE))&lt;test!$K$16,$A122&lt;&gt;R$1,Recharged_Feasible_mat!S91=1),(VLOOKUP(R$1,test!$A$3:$I$32,8,FALSE))-(VLOOKUP($A122,test!$A$3:$I$32,9,FALSE))-test!$B$35,0)</f>
        <v>0</v>
      </c>
      <c r="S122">
        <f>IF(AND(SUM(VLOOKUP($A122,test!$A$3:$F$32,2,FALSE),VLOOKUP(S$1,test!$A$3:$F$32,2,FALSE))&lt;test!$K$16,$A122&lt;&gt;S$1,Recharged_Feasible_mat!T91=1),(VLOOKUP(S$1,test!$A$3:$I$32,8,FALSE))-(VLOOKUP($A122,test!$A$3:$I$32,9,FALSE))-test!$B$35,0)</f>
        <v>0</v>
      </c>
      <c r="T122">
        <f>IF(AND(SUM(VLOOKUP($A122,test!$A$3:$F$32,2,FALSE),VLOOKUP(T$1,test!$A$3:$F$32,2,FALSE))&lt;test!$K$16,$A122&lt;&gt;T$1,Recharged_Feasible_mat!U91=1),(VLOOKUP(T$1,test!$A$3:$I$32,8,FALSE))-(VLOOKUP($A122,test!$A$3:$I$32,9,FALSE))-test!$B$35,0)</f>
        <v>0</v>
      </c>
      <c r="U122">
        <f>IF(AND(SUM(VLOOKUP($A122,test!$A$3:$F$32,2,FALSE),VLOOKUP(U$1,test!$A$3:$F$32,2,FALSE))&lt;test!$K$16,$A122&lt;&gt;U$1,Recharged_Feasible_mat!V91=1),(VLOOKUP(U$1,test!$A$3:$I$32,8,FALSE))-(VLOOKUP($A122,test!$A$3:$I$32,9,FALSE))-test!$B$35,0)</f>
        <v>0</v>
      </c>
      <c r="V122">
        <f>IF(AND(SUM(VLOOKUP($A122,test!$A$3:$F$32,2,FALSE),VLOOKUP(V$1,test!$A$3:$F$32,2,FALSE))&lt;test!$K$16,$A122&lt;&gt;V$1,Recharged_Feasible_mat!W91=1),(VLOOKUP(V$1,test!$A$3:$I$32,8,FALSE))-(VLOOKUP($A122,test!$A$3:$I$32,9,FALSE))-test!$B$35,0)</f>
        <v>0</v>
      </c>
      <c r="W122">
        <f>IF(AND(SUM(VLOOKUP($A122,test!$A$3:$F$32,2,FALSE),VLOOKUP(W$1,test!$A$3:$F$32,2,FALSE))&lt;test!$K$16,$A122&lt;&gt;W$1,Recharged_Feasible_mat!X91=1),(VLOOKUP(W$1,test!$A$3:$I$32,8,FALSE))-(VLOOKUP($A122,test!$A$3:$I$32,9,FALSE))-test!$B$35,0)</f>
        <v>0</v>
      </c>
      <c r="X122">
        <f>IF(AND(SUM(VLOOKUP($A122,test!$A$3:$F$32,2,FALSE),VLOOKUP(X$1,test!$A$3:$F$32,2,FALSE))&lt;test!$K$16,$A122&lt;&gt;X$1,Recharged_Feasible_mat!Y91=1),(VLOOKUP(X$1,test!$A$3:$I$32,8,FALSE))-(VLOOKUP($A122,test!$A$3:$I$32,9,FALSE))-test!$B$35,0)</f>
        <v>0</v>
      </c>
      <c r="Y122">
        <f>IF(AND(SUM(VLOOKUP($A122,test!$A$3:$F$32,2,FALSE),VLOOKUP(Y$1,test!$A$3:$F$32,2,FALSE))&lt;test!$K$16,$A122&lt;&gt;Y$1,Recharged_Feasible_mat!Z91=1),(VLOOKUP(Y$1,test!$A$3:$I$32,8,FALSE))-(VLOOKUP($A122,test!$A$3:$I$32,9,FALSE))-test!$B$35,0)</f>
        <v>0</v>
      </c>
      <c r="Z122">
        <f>IF(AND(SUM(VLOOKUP($A122,test!$A$3:$F$32,2,FALSE),VLOOKUP(Z$1,test!$A$3:$F$32,2,FALSE))&lt;test!$K$16,$A122&lt;&gt;Z$1,Recharged_Feasible_mat!AA91=1),(VLOOKUP(Z$1,test!$A$3:$I$32,8,FALSE))-(VLOOKUP($A122,test!$A$3:$I$32,9,FALSE))-test!$B$35,0)</f>
        <v>0</v>
      </c>
      <c r="AA122">
        <f>IF(AND(SUM(VLOOKUP($A122,test!$A$3:$F$32,2,FALSE),VLOOKUP(AA$1,test!$A$3:$F$32,2,FALSE))&lt;test!$K$16,$A122&lt;&gt;AA$1,Recharged_Feasible_mat!AB91=1),(VLOOKUP(AA$1,test!$A$3:$I$32,8,FALSE))-(VLOOKUP($A122,test!$A$3:$I$32,9,FALSE))-test!$B$35,0)</f>
        <v>0</v>
      </c>
      <c r="AB122">
        <f>IF(AND(SUM(VLOOKUP($A122,test!$A$3:$F$32,2,FALSE),VLOOKUP(AB$1,test!$A$3:$F$32,2,FALSE))&lt;test!$K$16,$A122&lt;&gt;AB$1,Recharged_Feasible_mat!AC91=1),(VLOOKUP(AB$1,test!$A$3:$I$32,8,FALSE))-(VLOOKUP($A122,test!$A$3:$I$32,9,FALSE))-test!$B$35,0)</f>
        <v>0</v>
      </c>
      <c r="AC122">
        <f>IF(AND(SUM(VLOOKUP($A122,test!$A$3:$F$32,2,FALSE),VLOOKUP(AC$1,test!$A$3:$F$32,2,FALSE))&lt;test!$K$16,$A122&lt;&gt;AC$1,Recharged_Feasible_mat!AD91=1),(VLOOKUP(AC$1,test!$A$3:$I$32,8,FALSE))-(VLOOKUP($A122,test!$A$3:$I$32,9,FALSE))-test!$B$35,0)</f>
        <v>0</v>
      </c>
      <c r="AD122">
        <f>IF(AND(SUM(VLOOKUP($A122,test!$A$3:$F$32,2,FALSE),VLOOKUP(AD$1,test!$A$3:$F$32,2,FALSE))&lt;test!$K$16,$A122&lt;&gt;AD$1,Recharged_Feasible_mat!AE91=1),(VLOOKUP(AD$1,test!$A$3:$I$32,8,FALSE))-(VLOOKUP($A122,test!$A$3:$I$32,9,FALSE))-test!$B$35,0)</f>
        <v>0</v>
      </c>
      <c r="AE122">
        <f>IF(AND(SUM(VLOOKUP($A122,test!$A$3:$F$32,2,FALSE),VLOOKUP(AE$1,test!$A$3:$F$32,2,FALSE))&lt;test!$K$16,$A122&lt;&gt;AE$1,Recharged_Feasible_mat!AF91=1),(VLOOKUP(AE$1,test!$A$3:$I$32,8,FALSE))-(VLOOKUP($A122,test!$A$3:$I$32,9,FALSE))-test!$B$35,0)</f>
        <v>0</v>
      </c>
      <c r="AF122">
        <f>IF(AND(SUM(VLOOKUP($A122,test!$A$3:$F$32,2,FALSE),VLOOKUP(AF$1,test!$A$3:$F$32,2,FALSE))&lt;test!$K$16,$A122&lt;&gt;AF$1,Recharged_Feasible_mat!AG91=1),(VLOOKUP(AF$1,test!$A$3:$I$32,8,FALSE))-(VLOOKUP($A122,test!$A$3:$I$32,9,FALSE))-test!$B$35,0)</f>
        <v>0</v>
      </c>
    </row>
    <row r="123" spans="1:32" x14ac:dyDescent="0.25">
      <c r="A123" t="s">
        <v>39</v>
      </c>
      <c r="B123">
        <v>0</v>
      </c>
      <c r="C123">
        <f>IF(AND(SUM(VLOOKUP($A123,test!$A$3:$F$32,2,FALSE),VLOOKUP(C$1,test!$A$3:$F$32,2,FALSE))&lt;test!$K$16,$A123&lt;&gt;C$1,Recharged_Feasible_mat!D92=1),(VLOOKUP(C$1,test!$A$3:$I$32,8,FALSE))-(VLOOKUP($A123,test!$A$3:$I$32,9,FALSE))-test!$B$35,0)</f>
        <v>0</v>
      </c>
      <c r="D123">
        <f>IF(AND(SUM(VLOOKUP($A123,test!$A$3:$F$32,2,FALSE),VLOOKUP(D$1,test!$A$3:$F$32,2,FALSE))&lt;test!$K$16,$A123&lt;&gt;D$1,Recharged_Feasible_mat!E92=1),(VLOOKUP(D$1,test!$A$3:$I$32,8,FALSE))-(VLOOKUP($A123,test!$A$3:$I$32,9,FALSE))-test!$B$35,0)</f>
        <v>0</v>
      </c>
      <c r="E123">
        <f>IF(AND(SUM(VLOOKUP($A123,test!$A$3:$F$32,2,FALSE),VLOOKUP(E$1,test!$A$3:$F$32,2,FALSE))&lt;test!$K$16,$A123&lt;&gt;E$1,Recharged_Feasible_mat!F92=1),(VLOOKUP(E$1,test!$A$3:$I$32,8,FALSE))-(VLOOKUP($A123,test!$A$3:$I$32,9,FALSE))-test!$B$35,0)</f>
        <v>0</v>
      </c>
      <c r="F123">
        <f>IF(AND(SUM(VLOOKUP($A123,test!$A$3:$F$32,2,FALSE),VLOOKUP(F$1,test!$A$3:$F$32,2,FALSE))&lt;test!$K$16,$A123&lt;&gt;F$1,Recharged_Feasible_mat!G92=1),(VLOOKUP(F$1,test!$A$3:$I$32,8,FALSE))-(VLOOKUP($A123,test!$A$3:$I$32,9,FALSE))-test!$B$35,0)</f>
        <v>0</v>
      </c>
      <c r="G123">
        <f>IF(AND(SUM(VLOOKUP($A123,test!$A$3:$F$32,2,FALSE),VLOOKUP(G$1,test!$A$3:$F$32,2,FALSE))&lt;test!$K$16,$A123&lt;&gt;G$1,Recharged_Feasible_mat!H92=1),(VLOOKUP(G$1,test!$A$3:$I$32,8,FALSE))-(VLOOKUP($A123,test!$A$3:$I$32,9,FALSE))-test!$B$35,0)</f>
        <v>0</v>
      </c>
      <c r="H123">
        <f>IF(AND(SUM(VLOOKUP($A123,test!$A$3:$F$32,2,FALSE),VLOOKUP(H$1,test!$A$3:$F$32,2,FALSE))&lt;test!$K$16,$A123&lt;&gt;H$1,Recharged_Feasible_mat!I92=1),(VLOOKUP(H$1,test!$A$3:$I$32,8,FALSE))-(VLOOKUP($A123,test!$A$3:$I$32,9,FALSE))-test!$B$35,0)</f>
        <v>0</v>
      </c>
      <c r="I123">
        <f>IF(AND(SUM(VLOOKUP($A123,test!$A$3:$F$32,2,FALSE),VLOOKUP(I$1,test!$A$3:$F$32,2,FALSE))&lt;test!$K$16,$A123&lt;&gt;I$1,Recharged_Feasible_mat!J92=1),(VLOOKUP(I$1,test!$A$3:$I$32,8,FALSE))-(VLOOKUP($A123,test!$A$3:$I$32,9,FALSE))-test!$B$35,0)</f>
        <v>0</v>
      </c>
      <c r="J123">
        <f>IF(AND(SUM(VLOOKUP($A123,test!$A$3:$F$32,2,FALSE),VLOOKUP(J$1,test!$A$3:$F$32,2,FALSE))&lt;test!$K$16,$A123&lt;&gt;J$1,Recharged_Feasible_mat!K92=1),(VLOOKUP(J$1,test!$A$3:$I$32,8,FALSE))-(VLOOKUP($A123,test!$A$3:$I$32,9,FALSE))-test!$B$35,0)</f>
        <v>0</v>
      </c>
      <c r="K123">
        <f>IF(AND(SUM(VLOOKUP($A123,test!$A$3:$F$32,2,FALSE),VLOOKUP(K$1,test!$A$3:$F$32,2,FALSE))&lt;test!$K$16,$A123&lt;&gt;K$1,Recharged_Feasible_mat!L92=1),(VLOOKUP(K$1,test!$A$3:$I$32,8,FALSE))-(VLOOKUP($A123,test!$A$3:$I$32,9,FALSE))-test!$B$35,0)</f>
        <v>0</v>
      </c>
      <c r="L123">
        <f>IF(AND(SUM(VLOOKUP($A123,test!$A$3:$F$32,2,FALSE),VLOOKUP(L$1,test!$A$3:$F$32,2,FALSE))&lt;test!$K$16,$A123&lt;&gt;L$1,Recharged_Feasible_mat!M92=1),(VLOOKUP(L$1,test!$A$3:$I$32,8,FALSE))-(VLOOKUP($A123,test!$A$3:$I$32,9,FALSE))-test!$B$35,0)</f>
        <v>0</v>
      </c>
      <c r="M123">
        <f>IF(AND(SUM(VLOOKUP($A123,test!$A$3:$F$32,2,FALSE),VLOOKUP(M$1,test!$A$3:$F$32,2,FALSE))&lt;test!$K$16,$A123&lt;&gt;M$1,Recharged_Feasible_mat!N92=1),(VLOOKUP(M$1,test!$A$3:$I$32,8,FALSE))-(VLOOKUP($A123,test!$A$3:$I$32,9,FALSE))-test!$B$35,0)</f>
        <v>0</v>
      </c>
      <c r="N123">
        <f>IF(AND(SUM(VLOOKUP($A123,test!$A$3:$F$32,2,FALSE),VLOOKUP(N$1,test!$A$3:$F$32,2,FALSE))&lt;test!$K$16,$A123&lt;&gt;N$1,Recharged_Feasible_mat!O92=1),(VLOOKUP(N$1,test!$A$3:$I$32,8,FALSE))-(VLOOKUP($A123,test!$A$3:$I$32,9,FALSE))-test!$B$35,0)</f>
        <v>0</v>
      </c>
      <c r="O123">
        <f>IF(AND(SUM(VLOOKUP($A123,test!$A$3:$F$32,2,FALSE),VLOOKUP(O$1,test!$A$3:$F$32,2,FALSE))&lt;test!$K$16,$A123&lt;&gt;O$1,Recharged_Feasible_mat!P92=1),(VLOOKUP(O$1,test!$A$3:$I$32,8,FALSE))-(VLOOKUP($A123,test!$A$3:$I$32,9,FALSE))-test!$B$35,0)</f>
        <v>0</v>
      </c>
      <c r="P123">
        <f>IF(AND(SUM(VLOOKUP($A123,test!$A$3:$F$32,2,FALSE),VLOOKUP(P$1,test!$A$3:$F$32,2,FALSE))&lt;test!$K$16,$A123&lt;&gt;P$1,Recharged_Feasible_mat!Q92=1),(VLOOKUP(P$1,test!$A$3:$I$32,8,FALSE))-(VLOOKUP($A123,test!$A$3:$I$32,9,FALSE))-test!$B$35,0)</f>
        <v>0</v>
      </c>
      <c r="Q123">
        <f>IF(AND(SUM(VLOOKUP($A123,test!$A$3:$F$32,2,FALSE),VLOOKUP(Q$1,test!$A$3:$F$32,2,FALSE))&lt;test!$K$16,$A123&lt;&gt;Q$1,Recharged_Feasible_mat!R92=1),(VLOOKUP(Q$1,test!$A$3:$I$32,8,FALSE))-(VLOOKUP($A123,test!$A$3:$I$32,9,FALSE))-test!$B$35,0)</f>
        <v>0</v>
      </c>
      <c r="R123">
        <f>IF(AND(SUM(VLOOKUP($A123,test!$A$3:$F$32,2,FALSE),VLOOKUP(R$1,test!$A$3:$F$32,2,FALSE))&lt;test!$K$16,$A123&lt;&gt;R$1,Recharged_Feasible_mat!S92=1),(VLOOKUP(R$1,test!$A$3:$I$32,8,FALSE))-(VLOOKUP($A123,test!$A$3:$I$32,9,FALSE))-test!$B$35,0)</f>
        <v>0</v>
      </c>
      <c r="S123">
        <f>IF(AND(SUM(VLOOKUP($A123,test!$A$3:$F$32,2,FALSE),VLOOKUP(S$1,test!$A$3:$F$32,2,FALSE))&lt;test!$K$16,$A123&lt;&gt;S$1,Recharged_Feasible_mat!T92=1),(VLOOKUP(S$1,test!$A$3:$I$32,8,FALSE))-(VLOOKUP($A123,test!$A$3:$I$32,9,FALSE))-test!$B$35,0)</f>
        <v>0</v>
      </c>
      <c r="T123">
        <f>IF(AND(SUM(VLOOKUP($A123,test!$A$3:$F$32,2,FALSE),VLOOKUP(T$1,test!$A$3:$F$32,2,FALSE))&lt;test!$K$16,$A123&lt;&gt;T$1,Recharged_Feasible_mat!U92=1),(VLOOKUP(T$1,test!$A$3:$I$32,8,FALSE))-(VLOOKUP($A123,test!$A$3:$I$32,9,FALSE))-test!$B$35,0)</f>
        <v>0</v>
      </c>
      <c r="U123">
        <f>IF(AND(SUM(VLOOKUP($A123,test!$A$3:$F$32,2,FALSE),VLOOKUP(U$1,test!$A$3:$F$32,2,FALSE))&lt;test!$K$16,$A123&lt;&gt;U$1,Recharged_Feasible_mat!V92=1),(VLOOKUP(U$1,test!$A$3:$I$32,8,FALSE))-(VLOOKUP($A123,test!$A$3:$I$32,9,FALSE))-test!$B$35,0)</f>
        <v>0</v>
      </c>
      <c r="V123">
        <f>IF(AND(SUM(VLOOKUP($A123,test!$A$3:$F$32,2,FALSE),VLOOKUP(V$1,test!$A$3:$F$32,2,FALSE))&lt;test!$K$16,$A123&lt;&gt;V$1,Recharged_Feasible_mat!W92=1),(VLOOKUP(V$1,test!$A$3:$I$32,8,FALSE))-(VLOOKUP($A123,test!$A$3:$I$32,9,FALSE))-test!$B$35,0)</f>
        <v>0</v>
      </c>
      <c r="W123">
        <f>IF(AND(SUM(VLOOKUP($A123,test!$A$3:$F$32,2,FALSE),VLOOKUP(W$1,test!$A$3:$F$32,2,FALSE))&lt;test!$K$16,$A123&lt;&gt;W$1,Recharged_Feasible_mat!X92=1),(VLOOKUP(W$1,test!$A$3:$I$32,8,FALSE))-(VLOOKUP($A123,test!$A$3:$I$32,9,FALSE))-test!$B$35,0)</f>
        <v>0</v>
      </c>
      <c r="X123">
        <f>IF(AND(SUM(VLOOKUP($A123,test!$A$3:$F$32,2,FALSE),VLOOKUP(X$1,test!$A$3:$F$32,2,FALSE))&lt;test!$K$16,$A123&lt;&gt;X$1,Recharged_Feasible_mat!Y92=1),(VLOOKUP(X$1,test!$A$3:$I$32,8,FALSE))-(VLOOKUP($A123,test!$A$3:$I$32,9,FALSE))-test!$B$35,0)</f>
        <v>0</v>
      </c>
      <c r="Y123">
        <f>IF(AND(SUM(VLOOKUP($A123,test!$A$3:$F$32,2,FALSE),VLOOKUP(Y$1,test!$A$3:$F$32,2,FALSE))&lt;test!$K$16,$A123&lt;&gt;Y$1,Recharged_Feasible_mat!Z92=1),(VLOOKUP(Y$1,test!$A$3:$I$32,8,FALSE))-(VLOOKUP($A123,test!$A$3:$I$32,9,FALSE))-test!$B$35,0)</f>
        <v>0</v>
      </c>
      <c r="Z123">
        <f>IF(AND(SUM(VLOOKUP($A123,test!$A$3:$F$32,2,FALSE),VLOOKUP(Z$1,test!$A$3:$F$32,2,FALSE))&lt;test!$K$16,$A123&lt;&gt;Z$1,Recharged_Feasible_mat!AA92=1),(VLOOKUP(Z$1,test!$A$3:$I$32,8,FALSE))-(VLOOKUP($A123,test!$A$3:$I$32,9,FALSE))-test!$B$35,0)</f>
        <v>0</v>
      </c>
      <c r="AA123">
        <f>IF(AND(SUM(VLOOKUP($A123,test!$A$3:$F$32,2,FALSE),VLOOKUP(AA$1,test!$A$3:$F$32,2,FALSE))&lt;test!$K$16,$A123&lt;&gt;AA$1,Recharged_Feasible_mat!AB92=1),(VLOOKUP(AA$1,test!$A$3:$I$32,8,FALSE))-(VLOOKUP($A123,test!$A$3:$I$32,9,FALSE))-test!$B$35,0)</f>
        <v>0</v>
      </c>
      <c r="AB123">
        <f>IF(AND(SUM(VLOOKUP($A123,test!$A$3:$F$32,2,FALSE),VLOOKUP(AB$1,test!$A$3:$F$32,2,FALSE))&lt;test!$K$16,$A123&lt;&gt;AB$1,Recharged_Feasible_mat!AC92=1),(VLOOKUP(AB$1,test!$A$3:$I$32,8,FALSE))-(VLOOKUP($A123,test!$A$3:$I$32,9,FALSE))-test!$B$35,0)</f>
        <v>0</v>
      </c>
      <c r="AC123">
        <f>IF(AND(SUM(VLOOKUP($A123,test!$A$3:$F$32,2,FALSE),VLOOKUP(AC$1,test!$A$3:$F$32,2,FALSE))&lt;test!$K$16,$A123&lt;&gt;AC$1,Recharged_Feasible_mat!AD92=1),(VLOOKUP(AC$1,test!$A$3:$I$32,8,FALSE))-(VLOOKUP($A123,test!$A$3:$I$32,9,FALSE))-test!$B$35,0)</f>
        <v>0</v>
      </c>
      <c r="AD123">
        <f>IF(AND(SUM(VLOOKUP($A123,test!$A$3:$F$32,2,FALSE),VLOOKUP(AD$1,test!$A$3:$F$32,2,FALSE))&lt;test!$K$16,$A123&lt;&gt;AD$1,Recharged_Feasible_mat!AE92=1),(VLOOKUP(AD$1,test!$A$3:$I$32,8,FALSE))-(VLOOKUP($A123,test!$A$3:$I$32,9,FALSE))-test!$B$35,0)</f>
        <v>0</v>
      </c>
      <c r="AE123">
        <f>IF(AND(SUM(VLOOKUP($A123,test!$A$3:$F$32,2,FALSE),VLOOKUP(AE$1,test!$A$3:$F$32,2,FALSE))&lt;test!$K$16,$A123&lt;&gt;AE$1,Recharged_Feasible_mat!AF92=1),(VLOOKUP(AE$1,test!$A$3:$I$32,8,FALSE))-(VLOOKUP($A123,test!$A$3:$I$32,9,FALSE))-test!$B$35,0)</f>
        <v>0</v>
      </c>
      <c r="AF123">
        <f>IF(AND(SUM(VLOOKUP($A123,test!$A$3:$F$32,2,FALSE),VLOOKUP(AF$1,test!$A$3:$F$32,2,FALSE))&lt;test!$K$16,$A123&lt;&gt;AF$1,Recharged_Feasible_mat!AG92=1),(VLOOKUP(AF$1,test!$A$3:$I$32,8,FALSE))-(VLOOKUP($A123,test!$A$3:$I$32,9,FALSE))-test!$B$35,0)</f>
        <v>0</v>
      </c>
    </row>
    <row r="124" spans="1:32" x14ac:dyDescent="0.25">
      <c r="A124" t="s">
        <v>40</v>
      </c>
      <c r="B124">
        <v>0</v>
      </c>
      <c r="C124">
        <f>IF(AND(SUM(VLOOKUP($A124,test!$A$3:$F$32,2,FALSE),VLOOKUP(C$1,test!$A$3:$F$32,2,FALSE))&lt;test!$K$16,$A124&lt;&gt;C$1,Recharged_Feasible_mat!D93=1),(VLOOKUP(C$1,test!$A$3:$I$32,8,FALSE))-(VLOOKUP($A124,test!$A$3:$I$32,9,FALSE))-test!$B$35,0)</f>
        <v>0</v>
      </c>
      <c r="D124">
        <f>IF(AND(SUM(VLOOKUP($A124,test!$A$3:$F$32,2,FALSE),VLOOKUP(D$1,test!$A$3:$F$32,2,FALSE))&lt;test!$K$16,$A124&lt;&gt;D$1,Recharged_Feasible_mat!E93=1),(VLOOKUP(D$1,test!$A$3:$I$32,8,FALSE))-(VLOOKUP($A124,test!$A$3:$I$32,9,FALSE))-test!$B$35,0)</f>
        <v>0</v>
      </c>
      <c r="E124">
        <f>IF(AND(SUM(VLOOKUP($A124,test!$A$3:$F$32,2,FALSE),VLOOKUP(E$1,test!$A$3:$F$32,2,FALSE))&lt;test!$K$16,$A124&lt;&gt;E$1,Recharged_Feasible_mat!F93=1),(VLOOKUP(E$1,test!$A$3:$I$32,8,FALSE))-(VLOOKUP($A124,test!$A$3:$I$32,9,FALSE))-test!$B$35,0)</f>
        <v>0</v>
      </c>
      <c r="F124">
        <f>IF(AND(SUM(VLOOKUP($A124,test!$A$3:$F$32,2,FALSE),VLOOKUP(F$1,test!$A$3:$F$32,2,FALSE))&lt;test!$K$16,$A124&lt;&gt;F$1,Recharged_Feasible_mat!G93=1),(VLOOKUP(F$1,test!$A$3:$I$32,8,FALSE))-(VLOOKUP($A124,test!$A$3:$I$32,9,FALSE))-test!$B$35,0)</f>
        <v>0</v>
      </c>
      <c r="G124">
        <f>IF(AND(SUM(VLOOKUP($A124,test!$A$3:$F$32,2,FALSE),VLOOKUP(G$1,test!$A$3:$F$32,2,FALSE))&lt;test!$K$16,$A124&lt;&gt;G$1,Recharged_Feasible_mat!H93=1),(VLOOKUP(G$1,test!$A$3:$I$32,8,FALSE))-(VLOOKUP($A124,test!$A$3:$I$32,9,FALSE))-test!$B$35,0)</f>
        <v>0</v>
      </c>
      <c r="H124">
        <f>IF(AND(SUM(VLOOKUP($A124,test!$A$3:$F$32,2,FALSE),VLOOKUP(H$1,test!$A$3:$F$32,2,FALSE))&lt;test!$K$16,$A124&lt;&gt;H$1,Recharged_Feasible_mat!I93=1),(VLOOKUP(H$1,test!$A$3:$I$32,8,FALSE))-(VLOOKUP($A124,test!$A$3:$I$32,9,FALSE))-test!$B$35,0)</f>
        <v>0</v>
      </c>
      <c r="I124">
        <f>IF(AND(SUM(VLOOKUP($A124,test!$A$3:$F$32,2,FALSE),VLOOKUP(I$1,test!$A$3:$F$32,2,FALSE))&lt;test!$K$16,$A124&lt;&gt;I$1,Recharged_Feasible_mat!J93=1),(VLOOKUP(I$1,test!$A$3:$I$32,8,FALSE))-(VLOOKUP($A124,test!$A$3:$I$32,9,FALSE))-test!$B$35,0)</f>
        <v>0</v>
      </c>
      <c r="J124">
        <f>IF(AND(SUM(VLOOKUP($A124,test!$A$3:$F$32,2,FALSE),VLOOKUP(J$1,test!$A$3:$F$32,2,FALSE))&lt;test!$K$16,$A124&lt;&gt;J$1,Recharged_Feasible_mat!K93=1),(VLOOKUP(J$1,test!$A$3:$I$32,8,FALSE))-(VLOOKUP($A124,test!$A$3:$I$32,9,FALSE))-test!$B$35,0)</f>
        <v>60</v>
      </c>
      <c r="K124">
        <f>IF(AND(SUM(VLOOKUP($A124,test!$A$3:$F$32,2,FALSE),VLOOKUP(K$1,test!$A$3:$F$32,2,FALSE))&lt;test!$K$16,$A124&lt;&gt;K$1,Recharged_Feasible_mat!L93=1),(VLOOKUP(K$1,test!$A$3:$I$32,8,FALSE))-(VLOOKUP($A124,test!$A$3:$I$32,9,FALSE))-test!$B$35,0)</f>
        <v>0</v>
      </c>
      <c r="L124">
        <f>IF(AND(SUM(VLOOKUP($A124,test!$A$3:$F$32,2,FALSE),VLOOKUP(L$1,test!$A$3:$F$32,2,FALSE))&lt;test!$K$16,$A124&lt;&gt;L$1,Recharged_Feasible_mat!M93=1),(VLOOKUP(L$1,test!$A$3:$I$32,8,FALSE))-(VLOOKUP($A124,test!$A$3:$I$32,9,FALSE))-test!$B$35,0)</f>
        <v>0</v>
      </c>
      <c r="M124">
        <f>IF(AND(SUM(VLOOKUP($A124,test!$A$3:$F$32,2,FALSE),VLOOKUP(M$1,test!$A$3:$F$32,2,FALSE))&lt;test!$K$16,$A124&lt;&gt;M$1,Recharged_Feasible_mat!N93=1),(VLOOKUP(M$1,test!$A$3:$I$32,8,FALSE))-(VLOOKUP($A124,test!$A$3:$I$32,9,FALSE))-test!$B$35,0)</f>
        <v>0</v>
      </c>
      <c r="N124">
        <f>IF(AND(SUM(VLOOKUP($A124,test!$A$3:$F$32,2,FALSE),VLOOKUP(N$1,test!$A$3:$F$32,2,FALSE))&lt;test!$K$16,$A124&lt;&gt;N$1,Recharged_Feasible_mat!O93=1),(VLOOKUP(N$1,test!$A$3:$I$32,8,FALSE))-(VLOOKUP($A124,test!$A$3:$I$32,9,FALSE))-test!$B$35,0)</f>
        <v>0</v>
      </c>
      <c r="O124">
        <f>IF(AND(SUM(VLOOKUP($A124,test!$A$3:$F$32,2,FALSE),VLOOKUP(O$1,test!$A$3:$F$32,2,FALSE))&lt;test!$K$16,$A124&lt;&gt;O$1,Recharged_Feasible_mat!P93=1),(VLOOKUP(O$1,test!$A$3:$I$32,8,FALSE))-(VLOOKUP($A124,test!$A$3:$I$32,9,FALSE))-test!$B$35,0)</f>
        <v>0</v>
      </c>
      <c r="P124">
        <f>IF(AND(SUM(VLOOKUP($A124,test!$A$3:$F$32,2,FALSE),VLOOKUP(P$1,test!$A$3:$F$32,2,FALSE))&lt;test!$K$16,$A124&lt;&gt;P$1,Recharged_Feasible_mat!Q93=1),(VLOOKUP(P$1,test!$A$3:$I$32,8,FALSE))-(VLOOKUP($A124,test!$A$3:$I$32,9,FALSE))-test!$B$35,0)</f>
        <v>0</v>
      </c>
      <c r="Q124">
        <f>IF(AND(SUM(VLOOKUP($A124,test!$A$3:$F$32,2,FALSE),VLOOKUP(Q$1,test!$A$3:$F$32,2,FALSE))&lt;test!$K$16,$A124&lt;&gt;Q$1,Recharged_Feasible_mat!R93=1),(VLOOKUP(Q$1,test!$A$3:$I$32,8,FALSE))-(VLOOKUP($A124,test!$A$3:$I$32,9,FALSE))-test!$B$35,0)</f>
        <v>0</v>
      </c>
      <c r="R124">
        <f>IF(AND(SUM(VLOOKUP($A124,test!$A$3:$F$32,2,FALSE),VLOOKUP(R$1,test!$A$3:$F$32,2,FALSE))&lt;test!$K$16,$A124&lt;&gt;R$1,Recharged_Feasible_mat!S93=1),(VLOOKUP(R$1,test!$A$3:$I$32,8,FALSE))-(VLOOKUP($A124,test!$A$3:$I$32,9,FALSE))-test!$B$35,0)</f>
        <v>0</v>
      </c>
      <c r="S124">
        <f>IF(AND(SUM(VLOOKUP($A124,test!$A$3:$F$32,2,FALSE),VLOOKUP(S$1,test!$A$3:$F$32,2,FALSE))&lt;test!$K$16,$A124&lt;&gt;S$1,Recharged_Feasible_mat!T93=1),(VLOOKUP(S$1,test!$A$3:$I$32,8,FALSE))-(VLOOKUP($A124,test!$A$3:$I$32,9,FALSE))-test!$B$35,0)</f>
        <v>0</v>
      </c>
      <c r="T124">
        <f>IF(AND(SUM(VLOOKUP($A124,test!$A$3:$F$32,2,FALSE),VLOOKUP(T$1,test!$A$3:$F$32,2,FALSE))&lt;test!$K$16,$A124&lt;&gt;T$1,Recharged_Feasible_mat!U93=1),(VLOOKUP(T$1,test!$A$3:$I$32,8,FALSE))-(VLOOKUP($A124,test!$A$3:$I$32,9,FALSE))-test!$B$35,0)</f>
        <v>0</v>
      </c>
      <c r="U124">
        <f>IF(AND(SUM(VLOOKUP($A124,test!$A$3:$F$32,2,FALSE),VLOOKUP(U$1,test!$A$3:$F$32,2,FALSE))&lt;test!$K$16,$A124&lt;&gt;U$1,Recharged_Feasible_mat!V93=1),(VLOOKUP(U$1,test!$A$3:$I$32,8,FALSE))-(VLOOKUP($A124,test!$A$3:$I$32,9,FALSE))-test!$B$35,0)</f>
        <v>0</v>
      </c>
      <c r="V124">
        <f>IF(AND(SUM(VLOOKUP($A124,test!$A$3:$F$32,2,FALSE),VLOOKUP(V$1,test!$A$3:$F$32,2,FALSE))&lt;test!$K$16,$A124&lt;&gt;V$1,Recharged_Feasible_mat!W93=1),(VLOOKUP(V$1,test!$A$3:$I$32,8,FALSE))-(VLOOKUP($A124,test!$A$3:$I$32,9,FALSE))-test!$B$35,0)</f>
        <v>0</v>
      </c>
      <c r="W124">
        <f>IF(AND(SUM(VLOOKUP($A124,test!$A$3:$F$32,2,FALSE),VLOOKUP(W$1,test!$A$3:$F$32,2,FALSE))&lt;test!$K$16,$A124&lt;&gt;W$1,Recharged_Feasible_mat!X93=1),(VLOOKUP(W$1,test!$A$3:$I$32,8,FALSE))-(VLOOKUP($A124,test!$A$3:$I$32,9,FALSE))-test!$B$35,0)</f>
        <v>0</v>
      </c>
      <c r="X124">
        <f>IF(AND(SUM(VLOOKUP($A124,test!$A$3:$F$32,2,FALSE),VLOOKUP(X$1,test!$A$3:$F$32,2,FALSE))&lt;test!$K$16,$A124&lt;&gt;X$1,Recharged_Feasible_mat!Y93=1),(VLOOKUP(X$1,test!$A$3:$I$32,8,FALSE))-(VLOOKUP($A124,test!$A$3:$I$32,9,FALSE))-test!$B$35,0)</f>
        <v>10</v>
      </c>
      <c r="Y124">
        <f>IF(AND(SUM(VLOOKUP($A124,test!$A$3:$F$32,2,FALSE),VLOOKUP(Y$1,test!$A$3:$F$32,2,FALSE))&lt;test!$K$16,$A124&lt;&gt;Y$1,Recharged_Feasible_mat!Z93=1),(VLOOKUP(Y$1,test!$A$3:$I$32,8,FALSE))-(VLOOKUP($A124,test!$A$3:$I$32,9,FALSE))-test!$B$35,0)</f>
        <v>0</v>
      </c>
      <c r="Z124">
        <f>IF(AND(SUM(VLOOKUP($A124,test!$A$3:$F$32,2,FALSE),VLOOKUP(Z$1,test!$A$3:$F$32,2,FALSE))&lt;test!$K$16,$A124&lt;&gt;Z$1,Recharged_Feasible_mat!AA93=1),(VLOOKUP(Z$1,test!$A$3:$I$32,8,FALSE))-(VLOOKUP($A124,test!$A$3:$I$32,9,FALSE))-test!$B$35,0)</f>
        <v>0</v>
      </c>
      <c r="AA124">
        <f>IF(AND(SUM(VLOOKUP($A124,test!$A$3:$F$32,2,FALSE),VLOOKUP(AA$1,test!$A$3:$F$32,2,FALSE))&lt;test!$K$16,$A124&lt;&gt;AA$1,Recharged_Feasible_mat!AB93=1),(VLOOKUP(AA$1,test!$A$3:$I$32,8,FALSE))-(VLOOKUP($A124,test!$A$3:$I$32,9,FALSE))-test!$B$35,0)</f>
        <v>0</v>
      </c>
      <c r="AB124">
        <f>IF(AND(SUM(VLOOKUP($A124,test!$A$3:$F$32,2,FALSE),VLOOKUP(AB$1,test!$A$3:$F$32,2,FALSE))&lt;test!$K$16,$A124&lt;&gt;AB$1,Recharged_Feasible_mat!AC93=1),(VLOOKUP(AB$1,test!$A$3:$I$32,8,FALSE))-(VLOOKUP($A124,test!$A$3:$I$32,9,FALSE))-test!$B$35,0)</f>
        <v>0</v>
      </c>
      <c r="AC124">
        <f>IF(AND(SUM(VLOOKUP($A124,test!$A$3:$F$32,2,FALSE),VLOOKUP(AC$1,test!$A$3:$F$32,2,FALSE))&lt;test!$K$16,$A124&lt;&gt;AC$1,Recharged_Feasible_mat!AD93=1),(VLOOKUP(AC$1,test!$A$3:$I$32,8,FALSE))-(VLOOKUP($A124,test!$A$3:$I$32,9,FALSE))-test!$B$35,0)</f>
        <v>0</v>
      </c>
      <c r="AD124">
        <f>IF(AND(SUM(VLOOKUP($A124,test!$A$3:$F$32,2,FALSE),VLOOKUP(AD$1,test!$A$3:$F$32,2,FALSE))&lt;test!$K$16,$A124&lt;&gt;AD$1,Recharged_Feasible_mat!AE93=1),(VLOOKUP(AD$1,test!$A$3:$I$32,8,FALSE))-(VLOOKUP($A124,test!$A$3:$I$32,9,FALSE))-test!$B$35,0)</f>
        <v>0</v>
      </c>
      <c r="AE124">
        <f>IF(AND(SUM(VLOOKUP($A124,test!$A$3:$F$32,2,FALSE),VLOOKUP(AE$1,test!$A$3:$F$32,2,FALSE))&lt;test!$K$16,$A124&lt;&gt;AE$1,Recharged_Feasible_mat!AF93=1),(VLOOKUP(AE$1,test!$A$3:$I$32,8,FALSE))-(VLOOKUP($A124,test!$A$3:$I$32,9,FALSE))-test!$B$35,0)</f>
        <v>0</v>
      </c>
      <c r="AF124">
        <f>IF(AND(SUM(VLOOKUP($A124,test!$A$3:$F$32,2,FALSE),VLOOKUP(AF$1,test!$A$3:$F$32,2,FALSE))&lt;test!$K$16,$A124&lt;&gt;AF$1,Recharged_Feasible_mat!AG93=1),(VLOOKUP(AF$1,test!$A$3:$I$32,8,FALSE))-(VLOOKUP($A124,test!$A$3:$I$32,9,FALSE))-test!$B$35,0)</f>
        <v>0</v>
      </c>
    </row>
    <row r="125" spans="1:32" x14ac:dyDescent="0.25">
      <c r="A125" t="s">
        <v>41</v>
      </c>
      <c r="B125">
        <v>0</v>
      </c>
      <c r="C125">
        <f>IF(AND(SUM(VLOOKUP($A125,test!$A$3:$F$32,2,FALSE),VLOOKUP(C$1,test!$A$3:$F$32,2,FALSE))&lt;test!$K$16,$A125&lt;&gt;C$1,Recharged_Feasible_mat!D94=1),(VLOOKUP(C$1,test!$A$3:$I$32,8,FALSE))-(VLOOKUP($A125,test!$A$3:$I$32,9,FALSE))-test!$B$35,0)</f>
        <v>0</v>
      </c>
      <c r="D125">
        <f>IF(AND(SUM(VLOOKUP($A125,test!$A$3:$F$32,2,FALSE),VLOOKUP(D$1,test!$A$3:$F$32,2,FALSE))&lt;test!$K$16,$A125&lt;&gt;D$1,Recharged_Feasible_mat!E94=1),(VLOOKUP(D$1,test!$A$3:$I$32,8,FALSE))-(VLOOKUP($A125,test!$A$3:$I$32,9,FALSE))-test!$B$35,0)</f>
        <v>0</v>
      </c>
      <c r="E125">
        <f>IF(AND(SUM(VLOOKUP($A125,test!$A$3:$F$32,2,FALSE),VLOOKUP(E$1,test!$A$3:$F$32,2,FALSE))&lt;test!$K$16,$A125&lt;&gt;E$1,Recharged_Feasible_mat!F94=1),(VLOOKUP(E$1,test!$A$3:$I$32,8,FALSE))-(VLOOKUP($A125,test!$A$3:$I$32,9,FALSE))-test!$B$35,0)</f>
        <v>0</v>
      </c>
      <c r="F125">
        <f>IF(AND(SUM(VLOOKUP($A125,test!$A$3:$F$32,2,FALSE),VLOOKUP(F$1,test!$A$3:$F$32,2,FALSE))&lt;test!$K$16,$A125&lt;&gt;F$1,Recharged_Feasible_mat!G94=1),(VLOOKUP(F$1,test!$A$3:$I$32,8,FALSE))-(VLOOKUP($A125,test!$A$3:$I$32,9,FALSE))-test!$B$35,0)</f>
        <v>0</v>
      </c>
      <c r="G125">
        <f>IF(AND(SUM(VLOOKUP($A125,test!$A$3:$F$32,2,FALSE),VLOOKUP(G$1,test!$A$3:$F$32,2,FALSE))&lt;test!$K$16,$A125&lt;&gt;G$1,Recharged_Feasible_mat!H94=1),(VLOOKUP(G$1,test!$A$3:$I$32,8,FALSE))-(VLOOKUP($A125,test!$A$3:$I$32,9,FALSE))-test!$B$35,0)</f>
        <v>0</v>
      </c>
      <c r="H125">
        <f>IF(AND(SUM(VLOOKUP($A125,test!$A$3:$F$32,2,FALSE),VLOOKUP(H$1,test!$A$3:$F$32,2,FALSE))&lt;test!$K$16,$A125&lt;&gt;H$1,Recharged_Feasible_mat!I94=1),(VLOOKUP(H$1,test!$A$3:$I$32,8,FALSE))-(VLOOKUP($A125,test!$A$3:$I$32,9,FALSE))-test!$B$35,0)</f>
        <v>0</v>
      </c>
      <c r="I125">
        <f>IF(AND(SUM(VLOOKUP($A125,test!$A$3:$F$32,2,FALSE),VLOOKUP(I$1,test!$A$3:$F$32,2,FALSE))&lt;test!$K$16,$A125&lt;&gt;I$1,Recharged_Feasible_mat!J94=1),(VLOOKUP(I$1,test!$A$3:$I$32,8,FALSE))-(VLOOKUP($A125,test!$A$3:$I$32,9,FALSE))-test!$B$35,0)</f>
        <v>0</v>
      </c>
      <c r="J125">
        <f>IF(AND(SUM(VLOOKUP($A125,test!$A$3:$F$32,2,FALSE),VLOOKUP(J$1,test!$A$3:$F$32,2,FALSE))&lt;test!$K$16,$A125&lt;&gt;J$1,Recharged_Feasible_mat!K94=1),(VLOOKUP(J$1,test!$A$3:$I$32,8,FALSE))-(VLOOKUP($A125,test!$A$3:$I$32,9,FALSE))-test!$B$35,0)</f>
        <v>0</v>
      </c>
      <c r="K125">
        <f>IF(AND(SUM(VLOOKUP($A125,test!$A$3:$F$32,2,FALSE),VLOOKUP(K$1,test!$A$3:$F$32,2,FALSE))&lt;test!$K$16,$A125&lt;&gt;K$1,Recharged_Feasible_mat!L94=1),(VLOOKUP(K$1,test!$A$3:$I$32,8,FALSE))-(VLOOKUP($A125,test!$A$3:$I$32,9,FALSE))-test!$B$35,0)</f>
        <v>0</v>
      </c>
      <c r="L125">
        <f>IF(AND(SUM(VLOOKUP($A125,test!$A$3:$F$32,2,FALSE),VLOOKUP(L$1,test!$A$3:$F$32,2,FALSE))&lt;test!$K$16,$A125&lt;&gt;L$1,Recharged_Feasible_mat!M94=1),(VLOOKUP(L$1,test!$A$3:$I$32,8,FALSE))-(VLOOKUP($A125,test!$A$3:$I$32,9,FALSE))-test!$B$35,0)</f>
        <v>0</v>
      </c>
      <c r="M125">
        <f>IF(AND(SUM(VLOOKUP($A125,test!$A$3:$F$32,2,FALSE),VLOOKUP(M$1,test!$A$3:$F$32,2,FALSE))&lt;test!$K$16,$A125&lt;&gt;M$1,Recharged_Feasible_mat!N94=1),(VLOOKUP(M$1,test!$A$3:$I$32,8,FALSE))-(VLOOKUP($A125,test!$A$3:$I$32,9,FALSE))-test!$B$35,0)</f>
        <v>0</v>
      </c>
      <c r="N125">
        <f>IF(AND(SUM(VLOOKUP($A125,test!$A$3:$F$32,2,FALSE),VLOOKUP(N$1,test!$A$3:$F$32,2,FALSE))&lt;test!$K$16,$A125&lt;&gt;N$1,Recharged_Feasible_mat!O94=1),(VLOOKUP(N$1,test!$A$3:$I$32,8,FALSE))-(VLOOKUP($A125,test!$A$3:$I$32,9,FALSE))-test!$B$35,0)</f>
        <v>0</v>
      </c>
      <c r="O125">
        <f>IF(AND(SUM(VLOOKUP($A125,test!$A$3:$F$32,2,FALSE),VLOOKUP(O$1,test!$A$3:$F$32,2,FALSE))&lt;test!$K$16,$A125&lt;&gt;O$1,Recharged_Feasible_mat!P94=1),(VLOOKUP(O$1,test!$A$3:$I$32,8,FALSE))-(VLOOKUP($A125,test!$A$3:$I$32,9,FALSE))-test!$B$35,0)</f>
        <v>0</v>
      </c>
      <c r="P125">
        <f>IF(AND(SUM(VLOOKUP($A125,test!$A$3:$F$32,2,FALSE),VLOOKUP(P$1,test!$A$3:$F$32,2,FALSE))&lt;test!$K$16,$A125&lt;&gt;P$1,Recharged_Feasible_mat!Q94=1),(VLOOKUP(P$1,test!$A$3:$I$32,8,FALSE))-(VLOOKUP($A125,test!$A$3:$I$32,9,FALSE))-test!$B$35,0)</f>
        <v>0</v>
      </c>
      <c r="Q125">
        <f>IF(AND(SUM(VLOOKUP($A125,test!$A$3:$F$32,2,FALSE),VLOOKUP(Q$1,test!$A$3:$F$32,2,FALSE))&lt;test!$K$16,$A125&lt;&gt;Q$1,Recharged_Feasible_mat!R94=1),(VLOOKUP(Q$1,test!$A$3:$I$32,8,FALSE))-(VLOOKUP($A125,test!$A$3:$I$32,9,FALSE))-test!$B$35,0)</f>
        <v>0</v>
      </c>
      <c r="R125">
        <f>IF(AND(SUM(VLOOKUP($A125,test!$A$3:$F$32,2,FALSE),VLOOKUP(R$1,test!$A$3:$F$32,2,FALSE))&lt;test!$K$16,$A125&lt;&gt;R$1,Recharged_Feasible_mat!S94=1),(VLOOKUP(R$1,test!$A$3:$I$32,8,FALSE))-(VLOOKUP($A125,test!$A$3:$I$32,9,FALSE))-test!$B$35,0)</f>
        <v>0</v>
      </c>
      <c r="S125">
        <f>IF(AND(SUM(VLOOKUP($A125,test!$A$3:$F$32,2,FALSE),VLOOKUP(S$1,test!$A$3:$F$32,2,FALSE))&lt;test!$K$16,$A125&lt;&gt;S$1,Recharged_Feasible_mat!T94=1),(VLOOKUP(S$1,test!$A$3:$I$32,8,FALSE))-(VLOOKUP($A125,test!$A$3:$I$32,9,FALSE))-test!$B$35,0)</f>
        <v>0</v>
      </c>
      <c r="T125">
        <f>IF(AND(SUM(VLOOKUP($A125,test!$A$3:$F$32,2,FALSE),VLOOKUP(T$1,test!$A$3:$F$32,2,FALSE))&lt;test!$K$16,$A125&lt;&gt;T$1,Recharged_Feasible_mat!U94=1),(VLOOKUP(T$1,test!$A$3:$I$32,8,FALSE))-(VLOOKUP($A125,test!$A$3:$I$32,9,FALSE))-test!$B$35,0)</f>
        <v>0</v>
      </c>
      <c r="U125">
        <f>IF(AND(SUM(VLOOKUP($A125,test!$A$3:$F$32,2,FALSE),VLOOKUP(U$1,test!$A$3:$F$32,2,FALSE))&lt;test!$K$16,$A125&lt;&gt;U$1,Recharged_Feasible_mat!V94=1),(VLOOKUP(U$1,test!$A$3:$I$32,8,FALSE))-(VLOOKUP($A125,test!$A$3:$I$32,9,FALSE))-test!$B$35,0)</f>
        <v>0</v>
      </c>
      <c r="V125">
        <f>IF(AND(SUM(VLOOKUP($A125,test!$A$3:$F$32,2,FALSE),VLOOKUP(V$1,test!$A$3:$F$32,2,FALSE))&lt;test!$K$16,$A125&lt;&gt;V$1,Recharged_Feasible_mat!W94=1),(VLOOKUP(V$1,test!$A$3:$I$32,8,FALSE))-(VLOOKUP($A125,test!$A$3:$I$32,9,FALSE))-test!$B$35,0)</f>
        <v>0</v>
      </c>
      <c r="W125">
        <f>IF(AND(SUM(VLOOKUP($A125,test!$A$3:$F$32,2,FALSE),VLOOKUP(W$1,test!$A$3:$F$32,2,FALSE))&lt;test!$K$16,$A125&lt;&gt;W$1,Recharged_Feasible_mat!X94=1),(VLOOKUP(W$1,test!$A$3:$I$32,8,FALSE))-(VLOOKUP($A125,test!$A$3:$I$32,9,FALSE))-test!$B$35,0)</f>
        <v>0</v>
      </c>
      <c r="X125">
        <f>IF(AND(SUM(VLOOKUP($A125,test!$A$3:$F$32,2,FALSE),VLOOKUP(X$1,test!$A$3:$F$32,2,FALSE))&lt;test!$K$16,$A125&lt;&gt;X$1,Recharged_Feasible_mat!Y94=1),(VLOOKUP(X$1,test!$A$3:$I$32,8,FALSE))-(VLOOKUP($A125,test!$A$3:$I$32,9,FALSE))-test!$B$35,0)</f>
        <v>0</v>
      </c>
      <c r="Y125">
        <f>IF(AND(SUM(VLOOKUP($A125,test!$A$3:$F$32,2,FALSE),VLOOKUP(Y$1,test!$A$3:$F$32,2,FALSE))&lt;test!$K$16,$A125&lt;&gt;Y$1,Recharged_Feasible_mat!Z94=1),(VLOOKUP(Y$1,test!$A$3:$I$32,8,FALSE))-(VLOOKUP($A125,test!$A$3:$I$32,9,FALSE))-test!$B$35,0)</f>
        <v>0</v>
      </c>
      <c r="Z125">
        <f>IF(AND(SUM(VLOOKUP($A125,test!$A$3:$F$32,2,FALSE),VLOOKUP(Z$1,test!$A$3:$F$32,2,FALSE))&lt;test!$K$16,$A125&lt;&gt;Z$1,Recharged_Feasible_mat!AA94=1),(VLOOKUP(Z$1,test!$A$3:$I$32,8,FALSE))-(VLOOKUP($A125,test!$A$3:$I$32,9,FALSE))-test!$B$35,0)</f>
        <v>0</v>
      </c>
      <c r="AA125">
        <f>IF(AND(SUM(VLOOKUP($A125,test!$A$3:$F$32,2,FALSE),VLOOKUP(AA$1,test!$A$3:$F$32,2,FALSE))&lt;test!$K$16,$A125&lt;&gt;AA$1,Recharged_Feasible_mat!AB94=1),(VLOOKUP(AA$1,test!$A$3:$I$32,8,FALSE))-(VLOOKUP($A125,test!$A$3:$I$32,9,FALSE))-test!$B$35,0)</f>
        <v>0</v>
      </c>
      <c r="AB125">
        <f>IF(AND(SUM(VLOOKUP($A125,test!$A$3:$F$32,2,FALSE),VLOOKUP(AB$1,test!$A$3:$F$32,2,FALSE))&lt;test!$K$16,$A125&lt;&gt;AB$1,Recharged_Feasible_mat!AC94=1),(VLOOKUP(AB$1,test!$A$3:$I$32,8,FALSE))-(VLOOKUP($A125,test!$A$3:$I$32,9,FALSE))-test!$B$35,0)</f>
        <v>0</v>
      </c>
      <c r="AC125">
        <f>IF(AND(SUM(VLOOKUP($A125,test!$A$3:$F$32,2,FALSE),VLOOKUP(AC$1,test!$A$3:$F$32,2,FALSE))&lt;test!$K$16,$A125&lt;&gt;AC$1,Recharged_Feasible_mat!AD94=1),(VLOOKUP(AC$1,test!$A$3:$I$32,8,FALSE))-(VLOOKUP($A125,test!$A$3:$I$32,9,FALSE))-test!$B$35,0)</f>
        <v>0</v>
      </c>
      <c r="AD125">
        <f>IF(AND(SUM(VLOOKUP($A125,test!$A$3:$F$32,2,FALSE),VLOOKUP(AD$1,test!$A$3:$F$32,2,FALSE))&lt;test!$K$16,$A125&lt;&gt;AD$1,Recharged_Feasible_mat!AE94=1),(VLOOKUP(AD$1,test!$A$3:$I$32,8,FALSE))-(VLOOKUP($A125,test!$A$3:$I$32,9,FALSE))-test!$B$35,0)</f>
        <v>0</v>
      </c>
      <c r="AE125">
        <f>IF(AND(SUM(VLOOKUP($A125,test!$A$3:$F$32,2,FALSE),VLOOKUP(AE$1,test!$A$3:$F$32,2,FALSE))&lt;test!$K$16,$A125&lt;&gt;AE$1,Recharged_Feasible_mat!AF94=1),(VLOOKUP(AE$1,test!$A$3:$I$32,8,FALSE))-(VLOOKUP($A125,test!$A$3:$I$32,9,FALSE))-test!$B$35,0)</f>
        <v>0</v>
      </c>
      <c r="AF125">
        <f>IF(AND(SUM(VLOOKUP($A125,test!$A$3:$F$32,2,FALSE),VLOOKUP(AF$1,test!$A$3:$F$32,2,FALSE))&lt;test!$K$16,$A125&lt;&gt;AF$1,Recharged_Feasible_mat!AG94=1),(VLOOKUP(AF$1,test!$A$3:$I$32,8,FALSE))-(VLOOKUP($A125,test!$A$3:$I$32,9,FALSE))-test!$B$35,0)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CDAC-5966-4CFE-9AEA-0357830988F2}">
  <dimension ref="A1:AH94"/>
  <sheetViews>
    <sheetView topLeftCell="A16" workbookViewId="0">
      <selection activeCell="AG63" sqref="AG63"/>
    </sheetView>
  </sheetViews>
  <sheetFormatPr defaultRowHeight="15" x14ac:dyDescent="0.25"/>
  <sheetData>
    <row r="1" spans="1:34" x14ac:dyDescent="0.25">
      <c r="A1" t="s">
        <v>61</v>
      </c>
      <c r="C1" t="s">
        <v>47</v>
      </c>
      <c r="D1" t="s">
        <v>6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18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</row>
    <row r="2" spans="1:34" x14ac:dyDescent="0.25">
      <c r="A2" t="s">
        <v>49</v>
      </c>
      <c r="B2" t="s">
        <v>47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s="3"/>
    </row>
    <row r="3" spans="1:34" x14ac:dyDescent="0.25">
      <c r="A3" t="s">
        <v>49</v>
      </c>
      <c r="B3" t="s">
        <v>6</v>
      </c>
      <c r="C3">
        <v>0</v>
      </c>
      <c r="D3" s="2">
        <f>IF(AND(VLOOKUP(D$1,test!$A$3:$F$32,5,FALSE) - VLOOKUP($B3,test!$A$3:$G$32,6,FALSE) &gt;= (test!$B$33)/1440),1,0)</f>
        <v>0</v>
      </c>
      <c r="E3" s="2">
        <f>IF(AND(VLOOKUP(E$1,test!$A$3:$F$32,5,FALSE) - VLOOKUP($B3,test!$A$3:$G$32,6,FALSE) &gt;= (test!$B$33)/1440),1,0)</f>
        <v>0</v>
      </c>
      <c r="F3" s="2">
        <f>IF(AND(VLOOKUP(F$1,test!$A$3:$F$32,5,FALSE) - VLOOKUP($B3,test!$A$3:$G$32,6,FALSE) &gt;= (test!$B$33)/1440),1,0)</f>
        <v>1</v>
      </c>
      <c r="G3" s="2">
        <f>IF(AND(VLOOKUP(G$1,test!$A$3:$F$32,5,FALSE) - VLOOKUP($B3,test!$A$3:$G$32,6,FALSE) &gt;= (test!$B$33)/1440),1,0)</f>
        <v>1</v>
      </c>
      <c r="H3" s="2">
        <f>IF(AND(VLOOKUP(H$1,test!$A$3:$F$32,5,FALSE) - VLOOKUP($B3,test!$A$3:$G$32,6,FALSE) &gt;= (test!$B$33)/1440),1,0)</f>
        <v>1</v>
      </c>
      <c r="I3" s="2">
        <f>IF(AND(VLOOKUP(I$1,test!$A$3:$F$32,5,FALSE) - VLOOKUP($B3,test!$A$3:$G$32,6,FALSE) &gt;= (test!$B$33)/1440),1,0)</f>
        <v>1</v>
      </c>
      <c r="J3" s="2">
        <f>IF(AND(VLOOKUP(J$1,test!$A$3:$F$32,5,FALSE) - VLOOKUP($B3,test!$A$3:$G$32,6,FALSE) &gt;= (test!$B$33)/1440),1,0)</f>
        <v>1</v>
      </c>
      <c r="K3" s="2">
        <f>IF(AND(VLOOKUP(K$1,test!$A$3:$F$32,5,FALSE) - VLOOKUP($B3,test!$A$3:$G$32,6,FALSE) &gt;= (test!$B$33)/1440),1,0)</f>
        <v>1</v>
      </c>
      <c r="L3" s="2">
        <f>IF(AND(VLOOKUP(L$1,test!$A$3:$F$32,5,FALSE) - VLOOKUP($B3,test!$A$3:$G$32,6,FALSE) &gt;= (test!$B$33)/1440),1,0)</f>
        <v>0</v>
      </c>
      <c r="M3" s="2">
        <f>IF(AND(VLOOKUP(M$1,test!$A$3:$F$32,5,FALSE) - VLOOKUP($B3,test!$A$3:$G$32,6,FALSE) &gt;= (test!$B$33)/1440),1,0)</f>
        <v>0</v>
      </c>
      <c r="N3" s="2">
        <f>IF(AND(VLOOKUP(N$1,test!$A$3:$F$32,5,FALSE) - VLOOKUP($B3,test!$A$3:$G$32,6,FALSE) &gt;= (test!$B$33)/1440),1,0)</f>
        <v>1</v>
      </c>
      <c r="O3" s="2">
        <f>IF(AND(VLOOKUP(O$1,test!$A$3:$F$32,5,FALSE) - VLOOKUP($B3,test!$A$3:$G$32,6,FALSE) &gt;= (test!$B$33)/1440),1,0)</f>
        <v>1</v>
      </c>
      <c r="P3" s="2">
        <f>IF(AND(VLOOKUP(P$1,test!$A$3:$F$32,5,FALSE) - VLOOKUP($B3,test!$A$3:$G$32,6,FALSE) &gt;= (test!$B$33)/1440),1,0)</f>
        <v>1</v>
      </c>
      <c r="Q3" s="2">
        <f>IF(AND(VLOOKUP(Q$1,test!$A$3:$F$32,5,FALSE) - VLOOKUP($B3,test!$A$3:$G$32,6,FALSE) &gt;= (test!$B$33)/1440),1,0)</f>
        <v>0</v>
      </c>
      <c r="R3" s="2">
        <f>IF(AND(VLOOKUP(R$1,test!$A$3:$F$32,5,FALSE) - VLOOKUP($B3,test!$A$3:$G$32,6,FALSE) &gt;= (test!$B$33)/1440),1,0)</f>
        <v>0</v>
      </c>
      <c r="S3" s="2">
        <f>IF(AND(VLOOKUP(S$1,test!$A$3:$F$32,5,FALSE) - VLOOKUP($B3,test!$A$3:$G$32,6,FALSE) &gt;= (test!$B$33)/1440),1,0)</f>
        <v>0</v>
      </c>
      <c r="T3" s="2">
        <f>IF(AND(VLOOKUP(T$1,test!$A$3:$F$32,5,FALSE) - VLOOKUP($B3,test!$A$3:$G$32,6,FALSE) &gt;= (test!$B$33)/1440),1,0)</f>
        <v>0</v>
      </c>
      <c r="U3" s="2">
        <f>IF(AND(VLOOKUP(U$1,test!$A$3:$F$32,5,FALSE) - VLOOKUP($B3,test!$A$3:$G$32,6,FALSE) &gt;= (test!$B$33)/1440),1,0)</f>
        <v>1</v>
      </c>
      <c r="V3" s="2">
        <f>IF(AND(VLOOKUP(V$1,test!$A$3:$F$32,5,FALSE) - VLOOKUP($B3,test!$A$3:$G$32,6,FALSE) &gt;= (test!$B$33)/1440),1,0)</f>
        <v>1</v>
      </c>
      <c r="W3" s="2">
        <f>IF(AND(VLOOKUP(W$1,test!$A$3:$F$32,5,FALSE) - VLOOKUP($B3,test!$A$3:$G$32,6,FALSE) &gt;= (test!$B$33)/1440),1,0)</f>
        <v>1</v>
      </c>
      <c r="X3" s="2">
        <f>IF(AND(VLOOKUP(X$1,test!$A$3:$F$32,5,FALSE) - VLOOKUP($B3,test!$A$3:$G$32,6,FALSE) &gt;= (test!$B$33)/1440),1,0)</f>
        <v>1</v>
      </c>
      <c r="Y3" s="2">
        <f>IF(AND(VLOOKUP(Y$1,test!$A$3:$F$32,5,FALSE) - VLOOKUP($B3,test!$A$3:$G$32,6,FALSE) &gt;= (test!$B$33)/1440),1,0)</f>
        <v>1</v>
      </c>
      <c r="Z3" s="2">
        <f>IF(AND(VLOOKUP(Z$1,test!$A$3:$F$32,5,FALSE) - VLOOKUP($B3,test!$A$3:$G$32,6,FALSE) &gt;= (test!$B$33)/1440),1,0)</f>
        <v>0</v>
      </c>
      <c r="AA3" s="2">
        <f>IF(AND(VLOOKUP(AA$1,test!$A$3:$F$32,5,FALSE) - VLOOKUP($B3,test!$A$3:$G$32,6,FALSE) &gt;= (test!$B$33)/1440),1,0)</f>
        <v>0</v>
      </c>
      <c r="AB3" s="2">
        <f>IF(AND(VLOOKUP(AB$1,test!$A$3:$F$32,5,FALSE) - VLOOKUP($B3,test!$A$3:$G$32,6,FALSE) &gt;= (test!$B$33)/1440),1,0)</f>
        <v>1</v>
      </c>
      <c r="AC3" s="2">
        <f>IF(AND(VLOOKUP(AC$1,test!$A$3:$F$32,5,FALSE) - VLOOKUP($B3,test!$A$3:$G$32,6,FALSE) &gt;= (test!$B$33)/1440),1,0)</f>
        <v>1</v>
      </c>
      <c r="AD3" s="2">
        <f>IF(AND(VLOOKUP(AD$1,test!$A$3:$F$32,5,FALSE) - VLOOKUP($B3,test!$A$3:$G$32,6,FALSE) &gt;= (test!$B$33)/1440),1,0)</f>
        <v>1</v>
      </c>
      <c r="AE3" s="2">
        <f>IF(AND(VLOOKUP(AE$1,test!$A$3:$F$32,5,FALSE) - VLOOKUP($B3,test!$A$3:$G$32,6,FALSE) &gt;= (test!$B$33)/1440),1,0)</f>
        <v>0</v>
      </c>
      <c r="AF3" s="2">
        <f>IF(AND(VLOOKUP(AF$1,test!$A$3:$F$32,5,FALSE) - VLOOKUP($B3,test!$A$3:$G$32,6,FALSE) &gt;= (test!$B$33)/1440),1,0)</f>
        <v>1</v>
      </c>
      <c r="AG3" s="2">
        <f>IF(AND(VLOOKUP(AG$1,test!$A$3:$F$32,5,FALSE) - VLOOKUP($B3,test!$A$3:$G$32,6,FALSE) &gt;= (test!$B$33)/1440),1,0)</f>
        <v>1</v>
      </c>
    </row>
    <row r="4" spans="1:34" x14ac:dyDescent="0.25">
      <c r="A4" t="s">
        <v>49</v>
      </c>
      <c r="B4" t="s">
        <v>9</v>
      </c>
      <c r="C4">
        <v>0</v>
      </c>
      <c r="D4" s="2">
        <f>IF(AND(VLOOKUP(D$1,test!$A$3:$F$32,5,FALSE) - VLOOKUP($B4,test!$A$3:$G$32,6,FALSE) &gt;= (test!$B$33)/1440),1,0)</f>
        <v>0</v>
      </c>
      <c r="E4" s="2">
        <f>IF(AND(VLOOKUP(E$1,test!$A$3:$F$32,5,FALSE) - VLOOKUP($B4,test!$A$3:$G$32,6,FALSE) &gt;= (test!$B$33)/1440),1,0)</f>
        <v>0</v>
      </c>
      <c r="F4" s="2">
        <f>IF(AND(VLOOKUP(F$1,test!$A$3:$F$32,5,FALSE) - VLOOKUP($B4,test!$A$3:$G$32,6,FALSE) &gt;= (test!$B$33)/1440),1,0)</f>
        <v>0</v>
      </c>
      <c r="G4" s="2">
        <f>IF(AND(VLOOKUP(G$1,test!$A$3:$F$32,5,FALSE) - VLOOKUP($B4,test!$A$3:$G$32,6,FALSE) &gt;= (test!$B$33)/1440),1,0)</f>
        <v>0</v>
      </c>
      <c r="H4" s="2">
        <f>IF(AND(VLOOKUP(H$1,test!$A$3:$F$32,5,FALSE) - VLOOKUP($B4,test!$A$3:$G$32,6,FALSE) &gt;= (test!$B$33)/1440),1,0)</f>
        <v>1</v>
      </c>
      <c r="I4" s="2">
        <f>IF(AND(VLOOKUP(I$1,test!$A$3:$F$32,5,FALSE) - VLOOKUP($B4,test!$A$3:$G$32,6,FALSE) &gt;= (test!$B$33)/1440),1,0)</f>
        <v>1</v>
      </c>
      <c r="J4" s="2">
        <f>IF(AND(VLOOKUP(J$1,test!$A$3:$F$32,5,FALSE) - VLOOKUP($B4,test!$A$3:$G$32,6,FALSE) &gt;= (test!$B$33)/1440),1,0)</f>
        <v>1</v>
      </c>
      <c r="K4" s="2">
        <f>IF(AND(VLOOKUP(K$1,test!$A$3:$F$32,5,FALSE) - VLOOKUP($B4,test!$A$3:$G$32,6,FALSE) &gt;= (test!$B$33)/1440),1,0)</f>
        <v>1</v>
      </c>
      <c r="L4" s="2">
        <f>IF(AND(VLOOKUP(L$1,test!$A$3:$F$32,5,FALSE) - VLOOKUP($B4,test!$A$3:$G$32,6,FALSE) &gt;= (test!$B$33)/1440),1,0)</f>
        <v>0</v>
      </c>
      <c r="M4" s="2">
        <f>IF(AND(VLOOKUP(M$1,test!$A$3:$F$32,5,FALSE) - VLOOKUP($B4,test!$A$3:$G$32,6,FALSE) &gt;= (test!$B$33)/1440),1,0)</f>
        <v>0</v>
      </c>
      <c r="N4" s="2">
        <f>IF(AND(VLOOKUP(N$1,test!$A$3:$F$32,5,FALSE) - VLOOKUP($B4,test!$A$3:$G$32,6,FALSE) &gt;= (test!$B$33)/1440),1,0)</f>
        <v>0</v>
      </c>
      <c r="O4" s="2">
        <f>IF(AND(VLOOKUP(O$1,test!$A$3:$F$32,5,FALSE) - VLOOKUP($B4,test!$A$3:$G$32,6,FALSE) &gt;= (test!$B$33)/1440),1,0)</f>
        <v>1</v>
      </c>
      <c r="P4" s="2">
        <f>IF(AND(VLOOKUP(P$1,test!$A$3:$F$32,5,FALSE) - VLOOKUP($B4,test!$A$3:$G$32,6,FALSE) &gt;= (test!$B$33)/1440),1,0)</f>
        <v>1</v>
      </c>
      <c r="Q4" s="2">
        <f>IF(AND(VLOOKUP(Q$1,test!$A$3:$F$32,5,FALSE) - VLOOKUP($B4,test!$A$3:$G$32,6,FALSE) &gt;= (test!$B$33)/1440),1,0)</f>
        <v>0</v>
      </c>
      <c r="R4" s="2">
        <f>IF(AND(VLOOKUP(R$1,test!$A$3:$F$32,5,FALSE) - VLOOKUP($B4,test!$A$3:$G$32,6,FALSE) &gt;= (test!$B$33)/1440),1,0)</f>
        <v>0</v>
      </c>
      <c r="S4" s="2">
        <f>IF(AND(VLOOKUP(S$1,test!$A$3:$F$32,5,FALSE) - VLOOKUP($B4,test!$A$3:$G$32,6,FALSE) &gt;= (test!$B$33)/1440),1,0)</f>
        <v>0</v>
      </c>
      <c r="T4" s="2">
        <f>IF(AND(VLOOKUP(T$1,test!$A$3:$F$32,5,FALSE) - VLOOKUP($B4,test!$A$3:$G$32,6,FALSE) &gt;= (test!$B$33)/1440),1,0)</f>
        <v>0</v>
      </c>
      <c r="U4" s="2">
        <f>IF(AND(VLOOKUP(U$1,test!$A$3:$F$32,5,FALSE) - VLOOKUP($B4,test!$A$3:$G$32,6,FALSE) &gt;= (test!$B$33)/1440),1,0)</f>
        <v>0</v>
      </c>
      <c r="V4" s="2">
        <f>IF(AND(VLOOKUP(V$1,test!$A$3:$F$32,5,FALSE) - VLOOKUP($B4,test!$A$3:$G$32,6,FALSE) &gt;= (test!$B$33)/1440),1,0)</f>
        <v>0</v>
      </c>
      <c r="W4" s="2">
        <f>IF(AND(VLOOKUP(W$1,test!$A$3:$F$32,5,FALSE) - VLOOKUP($B4,test!$A$3:$G$32,6,FALSE) &gt;= (test!$B$33)/1440),1,0)</f>
        <v>1</v>
      </c>
      <c r="X4" s="2">
        <f>IF(AND(VLOOKUP(X$1,test!$A$3:$F$32,5,FALSE) - VLOOKUP($B4,test!$A$3:$G$32,6,FALSE) &gt;= (test!$B$33)/1440),1,0)</f>
        <v>1</v>
      </c>
      <c r="Y4" s="2">
        <f>IF(AND(VLOOKUP(Y$1,test!$A$3:$F$32,5,FALSE) - VLOOKUP($B4,test!$A$3:$G$32,6,FALSE) &gt;= (test!$B$33)/1440),1,0)</f>
        <v>1</v>
      </c>
      <c r="Z4" s="2">
        <f>IF(AND(VLOOKUP(Z$1,test!$A$3:$F$32,5,FALSE) - VLOOKUP($B4,test!$A$3:$G$32,6,FALSE) &gt;= (test!$B$33)/1440),1,0)</f>
        <v>0</v>
      </c>
      <c r="AA4" s="2">
        <f>IF(AND(VLOOKUP(AA$1,test!$A$3:$F$32,5,FALSE) - VLOOKUP($B4,test!$A$3:$G$32,6,FALSE) &gt;= (test!$B$33)/1440),1,0)</f>
        <v>0</v>
      </c>
      <c r="AB4" s="2">
        <f>IF(AND(VLOOKUP(AB$1,test!$A$3:$F$32,5,FALSE) - VLOOKUP($B4,test!$A$3:$G$32,6,FALSE) &gt;= (test!$B$33)/1440),1,0)</f>
        <v>0</v>
      </c>
      <c r="AC4" s="2">
        <f>IF(AND(VLOOKUP(AC$1,test!$A$3:$F$32,5,FALSE) - VLOOKUP($B4,test!$A$3:$G$32,6,FALSE) &gt;= (test!$B$33)/1440),1,0)</f>
        <v>0</v>
      </c>
      <c r="AD4" s="2">
        <f>IF(AND(VLOOKUP(AD$1,test!$A$3:$F$32,5,FALSE) - VLOOKUP($B4,test!$A$3:$G$32,6,FALSE) &gt;= (test!$B$33)/1440),1,0)</f>
        <v>1</v>
      </c>
      <c r="AE4" s="2">
        <f>IF(AND(VLOOKUP(AE$1,test!$A$3:$F$32,5,FALSE) - VLOOKUP($B4,test!$A$3:$G$32,6,FALSE) &gt;= (test!$B$33)/1440),1,0)</f>
        <v>0</v>
      </c>
      <c r="AF4" s="2">
        <f>IF(AND(VLOOKUP(AF$1,test!$A$3:$F$32,5,FALSE) - VLOOKUP($B4,test!$A$3:$G$32,6,FALSE) &gt;= (test!$B$33)/1440),1,0)</f>
        <v>0</v>
      </c>
      <c r="AG4" s="2">
        <f>IF(AND(VLOOKUP(AG$1,test!$A$3:$F$32,5,FALSE) - VLOOKUP($B4,test!$A$3:$G$32,6,FALSE) &gt;= (test!$B$33)/1440),1,0)</f>
        <v>0</v>
      </c>
    </row>
    <row r="5" spans="1:34" x14ac:dyDescent="0.25">
      <c r="A5" t="s">
        <v>49</v>
      </c>
      <c r="B5" t="s">
        <v>10</v>
      </c>
      <c r="C5">
        <v>0</v>
      </c>
      <c r="D5" s="2">
        <f>IF(AND(VLOOKUP(D$1,test!$A$3:$F$32,5,FALSE) - VLOOKUP($B5,test!$A$3:$G$32,6,FALSE) &gt;= (test!$B$33)/1440),1,0)</f>
        <v>0</v>
      </c>
      <c r="E5" s="2">
        <f>IF(AND(VLOOKUP(E$1,test!$A$3:$F$32,5,FALSE) - VLOOKUP($B5,test!$A$3:$G$32,6,FALSE) &gt;= (test!$B$33)/1440),1,0)</f>
        <v>0</v>
      </c>
      <c r="F5" s="2">
        <f>IF(AND(VLOOKUP(F$1,test!$A$3:$F$32,5,FALSE) - VLOOKUP($B5,test!$A$3:$G$32,6,FALSE) &gt;= (test!$B$33)/1440),1,0)</f>
        <v>0</v>
      </c>
      <c r="G5" s="2">
        <f>IF(AND(VLOOKUP(G$1,test!$A$3:$F$32,5,FALSE) - VLOOKUP($B5,test!$A$3:$G$32,6,FALSE) &gt;= (test!$B$33)/1440),1,0)</f>
        <v>0</v>
      </c>
      <c r="H5" s="2">
        <f>IF(AND(VLOOKUP(H$1,test!$A$3:$F$32,5,FALSE) - VLOOKUP($B5,test!$A$3:$G$32,6,FALSE) &gt;= (test!$B$33)/1440),1,0)</f>
        <v>0</v>
      </c>
      <c r="I5" s="2">
        <f>IF(AND(VLOOKUP(I$1,test!$A$3:$F$32,5,FALSE) - VLOOKUP($B5,test!$A$3:$G$32,6,FALSE) &gt;= (test!$B$33)/1440),1,0)</f>
        <v>1</v>
      </c>
      <c r="J5" s="2">
        <f>IF(AND(VLOOKUP(J$1,test!$A$3:$F$32,5,FALSE) - VLOOKUP($B5,test!$A$3:$G$32,6,FALSE) &gt;= (test!$B$33)/1440),1,0)</f>
        <v>1</v>
      </c>
      <c r="K5" s="2">
        <f>IF(AND(VLOOKUP(K$1,test!$A$3:$F$32,5,FALSE) - VLOOKUP($B5,test!$A$3:$G$32,6,FALSE) &gt;= (test!$B$33)/1440),1,0)</f>
        <v>1</v>
      </c>
      <c r="L5" s="2">
        <f>IF(AND(VLOOKUP(L$1,test!$A$3:$F$32,5,FALSE) - VLOOKUP($B5,test!$A$3:$G$32,6,FALSE) &gt;= (test!$B$33)/1440),1,0)</f>
        <v>0</v>
      </c>
      <c r="M5" s="2">
        <f>IF(AND(VLOOKUP(M$1,test!$A$3:$F$32,5,FALSE) - VLOOKUP($B5,test!$A$3:$G$32,6,FALSE) &gt;= (test!$B$33)/1440),1,0)</f>
        <v>0</v>
      </c>
      <c r="N5" s="2">
        <f>IF(AND(VLOOKUP(N$1,test!$A$3:$F$32,5,FALSE) - VLOOKUP($B5,test!$A$3:$G$32,6,FALSE) &gt;= (test!$B$33)/1440),1,0)</f>
        <v>0</v>
      </c>
      <c r="O5" s="2">
        <f>IF(AND(VLOOKUP(O$1,test!$A$3:$F$32,5,FALSE) - VLOOKUP($B5,test!$A$3:$G$32,6,FALSE) &gt;= (test!$B$33)/1440),1,0)</f>
        <v>1</v>
      </c>
      <c r="P5" s="2">
        <f>IF(AND(VLOOKUP(P$1,test!$A$3:$F$32,5,FALSE) - VLOOKUP($B5,test!$A$3:$G$32,6,FALSE) &gt;= (test!$B$33)/1440),1,0)</f>
        <v>1</v>
      </c>
      <c r="Q5" s="2">
        <f>IF(AND(VLOOKUP(Q$1,test!$A$3:$F$32,5,FALSE) - VLOOKUP($B5,test!$A$3:$G$32,6,FALSE) &gt;= (test!$B$33)/1440),1,0)</f>
        <v>0</v>
      </c>
      <c r="R5" s="2">
        <f>IF(AND(VLOOKUP(R$1,test!$A$3:$F$32,5,FALSE) - VLOOKUP($B5,test!$A$3:$G$32,6,FALSE) &gt;= (test!$B$33)/1440),1,0)</f>
        <v>0</v>
      </c>
      <c r="S5" s="2">
        <f>IF(AND(VLOOKUP(S$1,test!$A$3:$F$32,5,FALSE) - VLOOKUP($B5,test!$A$3:$G$32,6,FALSE) &gt;= (test!$B$33)/1440),1,0)</f>
        <v>0</v>
      </c>
      <c r="T5" s="2">
        <f>IF(AND(VLOOKUP(T$1,test!$A$3:$F$32,5,FALSE) - VLOOKUP($B5,test!$A$3:$G$32,6,FALSE) &gt;= (test!$B$33)/1440),1,0)</f>
        <v>0</v>
      </c>
      <c r="U5" s="2">
        <f>IF(AND(VLOOKUP(U$1,test!$A$3:$F$32,5,FALSE) - VLOOKUP($B5,test!$A$3:$G$32,6,FALSE) &gt;= (test!$B$33)/1440),1,0)</f>
        <v>0</v>
      </c>
      <c r="V5" s="2">
        <f>IF(AND(VLOOKUP(V$1,test!$A$3:$F$32,5,FALSE) - VLOOKUP($B5,test!$A$3:$G$32,6,FALSE) &gt;= (test!$B$33)/1440),1,0)</f>
        <v>0</v>
      </c>
      <c r="W5" s="2">
        <f>IF(AND(VLOOKUP(W$1,test!$A$3:$F$32,5,FALSE) - VLOOKUP($B5,test!$A$3:$G$32,6,FALSE) &gt;= (test!$B$33)/1440),1,0)</f>
        <v>0</v>
      </c>
      <c r="X5" s="2">
        <f>IF(AND(VLOOKUP(X$1,test!$A$3:$F$32,5,FALSE) - VLOOKUP($B5,test!$A$3:$G$32,6,FALSE) &gt;= (test!$B$33)/1440),1,0)</f>
        <v>1</v>
      </c>
      <c r="Y5" s="2">
        <f>IF(AND(VLOOKUP(Y$1,test!$A$3:$F$32,5,FALSE) - VLOOKUP($B5,test!$A$3:$G$32,6,FALSE) &gt;= (test!$B$33)/1440),1,0)</f>
        <v>1</v>
      </c>
      <c r="Z5" s="2">
        <f>IF(AND(VLOOKUP(Z$1,test!$A$3:$F$32,5,FALSE) - VLOOKUP($B5,test!$A$3:$G$32,6,FALSE) &gt;= (test!$B$33)/1440),1,0)</f>
        <v>0</v>
      </c>
      <c r="AA5" s="2">
        <f>IF(AND(VLOOKUP(AA$1,test!$A$3:$F$32,5,FALSE) - VLOOKUP($B5,test!$A$3:$G$32,6,FALSE) &gt;= (test!$B$33)/1440),1,0)</f>
        <v>0</v>
      </c>
      <c r="AB5" s="2">
        <f>IF(AND(VLOOKUP(AB$1,test!$A$3:$F$32,5,FALSE) - VLOOKUP($B5,test!$A$3:$G$32,6,FALSE) &gt;= (test!$B$33)/1440),1,0)</f>
        <v>0</v>
      </c>
      <c r="AC5" s="2">
        <f>IF(AND(VLOOKUP(AC$1,test!$A$3:$F$32,5,FALSE) - VLOOKUP($B5,test!$A$3:$G$32,6,FALSE) &gt;= (test!$B$33)/1440),1,0)</f>
        <v>0</v>
      </c>
      <c r="AD5" s="2">
        <f>IF(AND(VLOOKUP(AD$1,test!$A$3:$F$32,5,FALSE) - VLOOKUP($B5,test!$A$3:$G$32,6,FALSE) &gt;= (test!$B$33)/1440),1,0)</f>
        <v>1</v>
      </c>
      <c r="AE5" s="2">
        <f>IF(AND(VLOOKUP(AE$1,test!$A$3:$F$32,5,FALSE) - VLOOKUP($B5,test!$A$3:$G$32,6,FALSE) &gt;= (test!$B$33)/1440),1,0)</f>
        <v>0</v>
      </c>
      <c r="AF5" s="2">
        <f>IF(AND(VLOOKUP(AF$1,test!$A$3:$F$32,5,FALSE) - VLOOKUP($B5,test!$A$3:$G$32,6,FALSE) &gt;= (test!$B$33)/1440),1,0)</f>
        <v>0</v>
      </c>
      <c r="AG5" s="2">
        <f>IF(AND(VLOOKUP(AG$1,test!$A$3:$F$32,5,FALSE) - VLOOKUP($B5,test!$A$3:$G$32,6,FALSE) &gt;= (test!$B$33)/1440),1,0)</f>
        <v>0</v>
      </c>
    </row>
    <row r="6" spans="1:34" x14ac:dyDescent="0.25">
      <c r="A6" t="s">
        <v>49</v>
      </c>
      <c r="B6" t="s">
        <v>11</v>
      </c>
      <c r="C6">
        <v>0</v>
      </c>
      <c r="D6" s="2">
        <f>IF(AND(VLOOKUP(D$1,test!$A$3:$F$32,5,FALSE) - VLOOKUP($B6,test!$A$3:$G$32,6,FALSE) &gt;= (test!$B$33)/1440),1,0)</f>
        <v>0</v>
      </c>
      <c r="E6" s="2">
        <f>IF(AND(VLOOKUP(E$1,test!$A$3:$F$32,5,FALSE) - VLOOKUP($B6,test!$A$3:$G$32,6,FALSE) &gt;= (test!$B$33)/1440),1,0)</f>
        <v>0</v>
      </c>
      <c r="F6" s="2">
        <f>IF(AND(VLOOKUP(F$1,test!$A$3:$F$32,5,FALSE) - VLOOKUP($B6,test!$A$3:$G$32,6,FALSE) &gt;= (test!$B$33)/1440),1,0)</f>
        <v>0</v>
      </c>
      <c r="G6" s="2">
        <f>IF(AND(VLOOKUP(G$1,test!$A$3:$F$32,5,FALSE) - VLOOKUP($B6,test!$A$3:$G$32,6,FALSE) &gt;= (test!$B$33)/1440),1,0)</f>
        <v>0</v>
      </c>
      <c r="H6" s="2">
        <f>IF(AND(VLOOKUP(H$1,test!$A$3:$F$32,5,FALSE) - VLOOKUP($B6,test!$A$3:$G$32,6,FALSE) &gt;= (test!$B$33)/1440),1,0)</f>
        <v>0</v>
      </c>
      <c r="I6" s="2">
        <f>IF(AND(VLOOKUP(I$1,test!$A$3:$F$32,5,FALSE) - VLOOKUP($B6,test!$A$3:$G$32,6,FALSE) &gt;= (test!$B$33)/1440),1,0)</f>
        <v>0</v>
      </c>
      <c r="J6" s="2">
        <f>IF(AND(VLOOKUP(J$1,test!$A$3:$F$32,5,FALSE) - VLOOKUP($B6,test!$A$3:$G$32,6,FALSE) &gt;= (test!$B$33)/1440),1,0)</f>
        <v>0</v>
      </c>
      <c r="K6" s="2">
        <f>IF(AND(VLOOKUP(K$1,test!$A$3:$F$32,5,FALSE) - VLOOKUP($B6,test!$A$3:$G$32,6,FALSE) &gt;= (test!$B$33)/1440),1,0)</f>
        <v>1</v>
      </c>
      <c r="L6" s="2">
        <f>IF(AND(VLOOKUP(L$1,test!$A$3:$F$32,5,FALSE) - VLOOKUP($B6,test!$A$3:$G$32,6,FALSE) &gt;= (test!$B$33)/1440),1,0)</f>
        <v>0</v>
      </c>
      <c r="M6" s="2">
        <f>IF(AND(VLOOKUP(M$1,test!$A$3:$F$32,5,FALSE) - VLOOKUP($B6,test!$A$3:$G$32,6,FALSE) &gt;= (test!$B$33)/1440),1,0)</f>
        <v>0</v>
      </c>
      <c r="N6" s="2">
        <f>IF(AND(VLOOKUP(N$1,test!$A$3:$F$32,5,FALSE) - VLOOKUP($B6,test!$A$3:$G$32,6,FALSE) &gt;= (test!$B$33)/1440),1,0)</f>
        <v>0</v>
      </c>
      <c r="O6" s="2">
        <f>IF(AND(VLOOKUP(O$1,test!$A$3:$F$32,5,FALSE) - VLOOKUP($B6,test!$A$3:$G$32,6,FALSE) &gt;= (test!$B$33)/1440),1,0)</f>
        <v>1</v>
      </c>
      <c r="P6" s="2">
        <f>IF(AND(VLOOKUP(P$1,test!$A$3:$F$32,5,FALSE) - VLOOKUP($B6,test!$A$3:$G$32,6,FALSE) &gt;= (test!$B$33)/1440),1,0)</f>
        <v>1</v>
      </c>
      <c r="Q6" s="2">
        <f>IF(AND(VLOOKUP(Q$1,test!$A$3:$F$32,5,FALSE) - VLOOKUP($B6,test!$A$3:$G$32,6,FALSE) &gt;= (test!$B$33)/1440),1,0)</f>
        <v>0</v>
      </c>
      <c r="R6" s="2">
        <f>IF(AND(VLOOKUP(R$1,test!$A$3:$F$32,5,FALSE) - VLOOKUP($B6,test!$A$3:$G$32,6,FALSE) &gt;= (test!$B$33)/1440),1,0)</f>
        <v>0</v>
      </c>
      <c r="S6" s="2">
        <f>IF(AND(VLOOKUP(S$1,test!$A$3:$F$32,5,FALSE) - VLOOKUP($B6,test!$A$3:$G$32,6,FALSE) &gt;= (test!$B$33)/1440),1,0)</f>
        <v>0</v>
      </c>
      <c r="T6" s="2">
        <f>IF(AND(VLOOKUP(T$1,test!$A$3:$F$32,5,FALSE) - VLOOKUP($B6,test!$A$3:$G$32,6,FALSE) &gt;= (test!$B$33)/1440),1,0)</f>
        <v>0</v>
      </c>
      <c r="U6" s="2">
        <f>IF(AND(VLOOKUP(U$1,test!$A$3:$F$32,5,FALSE) - VLOOKUP($B6,test!$A$3:$G$32,6,FALSE) &gt;= (test!$B$33)/1440),1,0)</f>
        <v>0</v>
      </c>
      <c r="V6" s="2">
        <f>IF(AND(VLOOKUP(V$1,test!$A$3:$F$32,5,FALSE) - VLOOKUP($B6,test!$A$3:$G$32,6,FALSE) &gt;= (test!$B$33)/1440),1,0)</f>
        <v>0</v>
      </c>
      <c r="W6" s="2">
        <f>IF(AND(VLOOKUP(W$1,test!$A$3:$F$32,5,FALSE) - VLOOKUP($B6,test!$A$3:$G$32,6,FALSE) &gt;= (test!$B$33)/1440),1,0)</f>
        <v>0</v>
      </c>
      <c r="X6" s="2">
        <f>IF(AND(VLOOKUP(X$1,test!$A$3:$F$32,5,FALSE) - VLOOKUP($B6,test!$A$3:$G$32,6,FALSE) &gt;= (test!$B$33)/1440),1,0)</f>
        <v>0</v>
      </c>
      <c r="Y6" s="2">
        <f>IF(AND(VLOOKUP(Y$1,test!$A$3:$F$32,5,FALSE) - VLOOKUP($B6,test!$A$3:$G$32,6,FALSE) &gt;= (test!$B$33)/1440),1,0)</f>
        <v>1</v>
      </c>
      <c r="Z6" s="2">
        <f>IF(AND(VLOOKUP(Z$1,test!$A$3:$F$32,5,FALSE) - VLOOKUP($B6,test!$A$3:$G$32,6,FALSE) &gt;= (test!$B$33)/1440),1,0)</f>
        <v>0</v>
      </c>
      <c r="AA6" s="2">
        <f>IF(AND(VLOOKUP(AA$1,test!$A$3:$F$32,5,FALSE) - VLOOKUP($B6,test!$A$3:$G$32,6,FALSE) &gt;= (test!$B$33)/1440),1,0)</f>
        <v>0</v>
      </c>
      <c r="AB6" s="2">
        <f>IF(AND(VLOOKUP(AB$1,test!$A$3:$F$32,5,FALSE) - VLOOKUP($B6,test!$A$3:$G$32,6,FALSE) &gt;= (test!$B$33)/1440),1,0)</f>
        <v>0</v>
      </c>
      <c r="AC6" s="2">
        <f>IF(AND(VLOOKUP(AC$1,test!$A$3:$F$32,5,FALSE) - VLOOKUP($B6,test!$A$3:$G$32,6,FALSE) &gt;= (test!$B$33)/1440),1,0)</f>
        <v>0</v>
      </c>
      <c r="AD6" s="2">
        <f>IF(AND(VLOOKUP(AD$1,test!$A$3:$F$32,5,FALSE) - VLOOKUP($B6,test!$A$3:$G$32,6,FALSE) &gt;= (test!$B$33)/1440),1,0)</f>
        <v>0</v>
      </c>
      <c r="AE6" s="2">
        <f>IF(AND(VLOOKUP(AE$1,test!$A$3:$F$32,5,FALSE) - VLOOKUP($B6,test!$A$3:$G$32,6,FALSE) &gt;= (test!$B$33)/1440),1,0)</f>
        <v>0</v>
      </c>
      <c r="AF6" s="2">
        <f>IF(AND(VLOOKUP(AF$1,test!$A$3:$F$32,5,FALSE) - VLOOKUP($B6,test!$A$3:$G$32,6,FALSE) &gt;= (test!$B$33)/1440),1,0)</f>
        <v>0</v>
      </c>
      <c r="AG6" s="2">
        <f>IF(AND(VLOOKUP(AG$1,test!$A$3:$F$32,5,FALSE) - VLOOKUP($B6,test!$A$3:$G$32,6,FALSE) &gt;= (test!$B$33)/1440),1,0)</f>
        <v>0</v>
      </c>
    </row>
    <row r="7" spans="1:34" x14ac:dyDescent="0.25">
      <c r="A7" t="s">
        <v>49</v>
      </c>
      <c r="B7" t="s">
        <v>12</v>
      </c>
      <c r="C7">
        <v>0</v>
      </c>
      <c r="D7" s="2">
        <f>IF(AND(VLOOKUP(D$1,test!$A$3:$F$32,5,FALSE) - VLOOKUP($B7,test!$A$3:$G$32,6,FALSE) &gt;= (test!$B$33)/1440),1,0)</f>
        <v>0</v>
      </c>
      <c r="E7" s="2">
        <f>IF(AND(VLOOKUP(E$1,test!$A$3:$F$32,5,FALSE) - VLOOKUP($B7,test!$A$3:$G$32,6,FALSE) &gt;= (test!$B$33)/1440),1,0)</f>
        <v>0</v>
      </c>
      <c r="F7" s="2">
        <f>IF(AND(VLOOKUP(F$1,test!$A$3:$F$32,5,FALSE) - VLOOKUP($B7,test!$A$3:$G$32,6,FALSE) &gt;= (test!$B$33)/1440),1,0)</f>
        <v>0</v>
      </c>
      <c r="G7" s="2">
        <f>IF(AND(VLOOKUP(G$1,test!$A$3:$F$32,5,FALSE) - VLOOKUP($B7,test!$A$3:$G$32,6,FALSE) &gt;= (test!$B$33)/1440),1,0)</f>
        <v>0</v>
      </c>
      <c r="H7" s="2">
        <f>IF(AND(VLOOKUP(H$1,test!$A$3:$F$32,5,FALSE) - VLOOKUP($B7,test!$A$3:$G$32,6,FALSE) &gt;= (test!$B$33)/1440),1,0)</f>
        <v>0</v>
      </c>
      <c r="I7" s="2">
        <f>IF(AND(VLOOKUP(I$1,test!$A$3:$F$32,5,FALSE) - VLOOKUP($B7,test!$A$3:$G$32,6,FALSE) &gt;= (test!$B$33)/1440),1,0)</f>
        <v>0</v>
      </c>
      <c r="J7" s="2">
        <f>IF(AND(VLOOKUP(J$1,test!$A$3:$F$32,5,FALSE) - VLOOKUP($B7,test!$A$3:$G$32,6,FALSE) &gt;= (test!$B$33)/1440),1,0)</f>
        <v>0</v>
      </c>
      <c r="K7" s="2">
        <f>IF(AND(VLOOKUP(K$1,test!$A$3:$F$32,5,FALSE) - VLOOKUP($B7,test!$A$3:$G$32,6,FALSE) &gt;= (test!$B$33)/1440),1,0)</f>
        <v>1</v>
      </c>
      <c r="L7" s="2">
        <f>IF(AND(VLOOKUP(L$1,test!$A$3:$F$32,5,FALSE) - VLOOKUP($B7,test!$A$3:$G$32,6,FALSE) &gt;= (test!$B$33)/1440),1,0)</f>
        <v>0</v>
      </c>
      <c r="M7" s="2">
        <f>IF(AND(VLOOKUP(M$1,test!$A$3:$F$32,5,FALSE) - VLOOKUP($B7,test!$A$3:$G$32,6,FALSE) &gt;= (test!$B$33)/1440),1,0)</f>
        <v>0</v>
      </c>
      <c r="N7" s="2">
        <f>IF(AND(VLOOKUP(N$1,test!$A$3:$F$32,5,FALSE) - VLOOKUP($B7,test!$A$3:$G$32,6,FALSE) &gt;= (test!$B$33)/1440),1,0)</f>
        <v>0</v>
      </c>
      <c r="O7" s="2">
        <f>IF(AND(VLOOKUP(O$1,test!$A$3:$F$32,5,FALSE) - VLOOKUP($B7,test!$A$3:$G$32,6,FALSE) &gt;= (test!$B$33)/1440),1,0)</f>
        <v>0</v>
      </c>
      <c r="P7" s="2">
        <f>IF(AND(VLOOKUP(P$1,test!$A$3:$F$32,5,FALSE) - VLOOKUP($B7,test!$A$3:$G$32,6,FALSE) &gt;= (test!$B$33)/1440),1,0)</f>
        <v>1</v>
      </c>
      <c r="Q7" s="2">
        <f>IF(AND(VLOOKUP(Q$1,test!$A$3:$F$32,5,FALSE) - VLOOKUP($B7,test!$A$3:$G$32,6,FALSE) &gt;= (test!$B$33)/1440),1,0)</f>
        <v>0</v>
      </c>
      <c r="R7" s="2">
        <f>IF(AND(VLOOKUP(R$1,test!$A$3:$F$32,5,FALSE) - VLOOKUP($B7,test!$A$3:$G$32,6,FALSE) &gt;= (test!$B$33)/1440),1,0)</f>
        <v>0</v>
      </c>
      <c r="S7" s="2">
        <f>IF(AND(VLOOKUP(S$1,test!$A$3:$F$32,5,FALSE) - VLOOKUP($B7,test!$A$3:$G$32,6,FALSE) &gt;= (test!$B$33)/1440),1,0)</f>
        <v>0</v>
      </c>
      <c r="T7" s="2">
        <f>IF(AND(VLOOKUP(T$1,test!$A$3:$F$32,5,FALSE) - VLOOKUP($B7,test!$A$3:$G$32,6,FALSE) &gt;= (test!$B$33)/1440),1,0)</f>
        <v>0</v>
      </c>
      <c r="U7" s="2">
        <f>IF(AND(VLOOKUP(U$1,test!$A$3:$F$32,5,FALSE) - VLOOKUP($B7,test!$A$3:$G$32,6,FALSE) &gt;= (test!$B$33)/1440),1,0)</f>
        <v>0</v>
      </c>
      <c r="V7" s="2">
        <f>IF(AND(VLOOKUP(V$1,test!$A$3:$F$32,5,FALSE) - VLOOKUP($B7,test!$A$3:$G$32,6,FALSE) &gt;= (test!$B$33)/1440),1,0)</f>
        <v>0</v>
      </c>
      <c r="W7" s="2">
        <f>IF(AND(VLOOKUP(W$1,test!$A$3:$F$32,5,FALSE) - VLOOKUP($B7,test!$A$3:$G$32,6,FALSE) &gt;= (test!$B$33)/1440),1,0)</f>
        <v>0</v>
      </c>
      <c r="X7" s="2">
        <f>IF(AND(VLOOKUP(X$1,test!$A$3:$F$32,5,FALSE) - VLOOKUP($B7,test!$A$3:$G$32,6,FALSE) &gt;= (test!$B$33)/1440),1,0)</f>
        <v>0</v>
      </c>
      <c r="Y7" s="2">
        <f>IF(AND(VLOOKUP(Y$1,test!$A$3:$F$32,5,FALSE) - VLOOKUP($B7,test!$A$3:$G$32,6,FALSE) &gt;= (test!$B$33)/1440),1,0)</f>
        <v>0</v>
      </c>
      <c r="Z7" s="2">
        <f>IF(AND(VLOOKUP(Z$1,test!$A$3:$F$32,5,FALSE) - VLOOKUP($B7,test!$A$3:$G$32,6,FALSE) &gt;= (test!$B$33)/1440),1,0)</f>
        <v>0</v>
      </c>
      <c r="AA7" s="2">
        <f>IF(AND(VLOOKUP(AA$1,test!$A$3:$F$32,5,FALSE) - VLOOKUP($B7,test!$A$3:$G$32,6,FALSE) &gt;= (test!$B$33)/1440),1,0)</f>
        <v>0</v>
      </c>
      <c r="AB7" s="2">
        <f>IF(AND(VLOOKUP(AB$1,test!$A$3:$F$32,5,FALSE) - VLOOKUP($B7,test!$A$3:$G$32,6,FALSE) &gt;= (test!$B$33)/1440),1,0)</f>
        <v>0</v>
      </c>
      <c r="AC7" s="2">
        <f>IF(AND(VLOOKUP(AC$1,test!$A$3:$F$32,5,FALSE) - VLOOKUP($B7,test!$A$3:$G$32,6,FALSE) &gt;= (test!$B$33)/1440),1,0)</f>
        <v>0</v>
      </c>
      <c r="AD7" s="2">
        <f>IF(AND(VLOOKUP(AD$1,test!$A$3:$F$32,5,FALSE) - VLOOKUP($B7,test!$A$3:$G$32,6,FALSE) &gt;= (test!$B$33)/1440),1,0)</f>
        <v>0</v>
      </c>
      <c r="AE7" s="2">
        <f>IF(AND(VLOOKUP(AE$1,test!$A$3:$F$32,5,FALSE) - VLOOKUP($B7,test!$A$3:$G$32,6,FALSE) &gt;= (test!$B$33)/1440),1,0)</f>
        <v>0</v>
      </c>
      <c r="AF7" s="2">
        <f>IF(AND(VLOOKUP(AF$1,test!$A$3:$F$32,5,FALSE) - VLOOKUP($B7,test!$A$3:$G$32,6,FALSE) &gt;= (test!$B$33)/1440),1,0)</f>
        <v>0</v>
      </c>
      <c r="AG7" s="2">
        <f>IF(AND(VLOOKUP(AG$1,test!$A$3:$F$32,5,FALSE) - VLOOKUP($B7,test!$A$3:$G$32,6,FALSE) &gt;= (test!$B$33)/1440),1,0)</f>
        <v>0</v>
      </c>
    </row>
    <row r="8" spans="1:34" x14ac:dyDescent="0.25">
      <c r="A8" t="s">
        <v>49</v>
      </c>
      <c r="B8" t="s">
        <v>13</v>
      </c>
      <c r="C8">
        <v>0</v>
      </c>
      <c r="D8" s="2">
        <f>IF(AND(VLOOKUP(D$1,test!$A$3:$F$32,5,FALSE) - VLOOKUP($B8,test!$A$3:$G$32,6,FALSE) &gt;= (test!$B$33)/1440),1,0)</f>
        <v>0</v>
      </c>
      <c r="E8" s="2">
        <f>IF(AND(VLOOKUP(E$1,test!$A$3:$F$32,5,FALSE) - VLOOKUP($B8,test!$A$3:$G$32,6,FALSE) &gt;= (test!$B$33)/1440),1,0)</f>
        <v>0</v>
      </c>
      <c r="F8" s="2">
        <f>IF(AND(VLOOKUP(F$1,test!$A$3:$F$32,5,FALSE) - VLOOKUP($B8,test!$A$3:$G$32,6,FALSE) &gt;= (test!$B$33)/1440),1,0)</f>
        <v>0</v>
      </c>
      <c r="G8" s="2">
        <f>IF(AND(VLOOKUP(G$1,test!$A$3:$F$32,5,FALSE) - VLOOKUP($B8,test!$A$3:$G$32,6,FALSE) &gt;= (test!$B$33)/1440),1,0)</f>
        <v>0</v>
      </c>
      <c r="H8" s="2">
        <f>IF(AND(VLOOKUP(H$1,test!$A$3:$F$32,5,FALSE) - VLOOKUP($B8,test!$A$3:$G$32,6,FALSE) &gt;= (test!$B$33)/1440),1,0)</f>
        <v>0</v>
      </c>
      <c r="I8" s="2">
        <f>IF(AND(VLOOKUP(I$1,test!$A$3:$F$32,5,FALSE) - VLOOKUP($B8,test!$A$3:$G$32,6,FALSE) &gt;= (test!$B$33)/1440),1,0)</f>
        <v>0</v>
      </c>
      <c r="J8" s="2">
        <f>IF(AND(VLOOKUP(J$1,test!$A$3:$F$32,5,FALSE) - VLOOKUP($B8,test!$A$3:$G$32,6,FALSE) &gt;= (test!$B$33)/1440),1,0)</f>
        <v>0</v>
      </c>
      <c r="K8" s="2">
        <f>IF(AND(VLOOKUP(K$1,test!$A$3:$F$32,5,FALSE) - VLOOKUP($B8,test!$A$3:$G$32,6,FALSE) &gt;= (test!$B$33)/1440),1,0)</f>
        <v>0</v>
      </c>
      <c r="L8" s="2">
        <f>IF(AND(VLOOKUP(L$1,test!$A$3:$F$32,5,FALSE) - VLOOKUP($B8,test!$A$3:$G$32,6,FALSE) &gt;= (test!$B$33)/1440),1,0)</f>
        <v>0</v>
      </c>
      <c r="M8" s="2">
        <f>IF(AND(VLOOKUP(M$1,test!$A$3:$F$32,5,FALSE) - VLOOKUP($B8,test!$A$3:$G$32,6,FALSE) &gt;= (test!$B$33)/1440),1,0)</f>
        <v>0</v>
      </c>
      <c r="N8" s="2">
        <f>IF(AND(VLOOKUP(N$1,test!$A$3:$F$32,5,FALSE) - VLOOKUP($B8,test!$A$3:$G$32,6,FALSE) &gt;= (test!$B$33)/1440),1,0)</f>
        <v>0</v>
      </c>
      <c r="O8" s="2">
        <f>IF(AND(VLOOKUP(O$1,test!$A$3:$F$32,5,FALSE) - VLOOKUP($B8,test!$A$3:$G$32,6,FALSE) &gt;= (test!$B$33)/1440),1,0)</f>
        <v>0</v>
      </c>
      <c r="P8" s="2">
        <f>IF(AND(VLOOKUP(P$1,test!$A$3:$F$32,5,FALSE) - VLOOKUP($B8,test!$A$3:$G$32,6,FALSE) &gt;= (test!$B$33)/1440),1,0)</f>
        <v>0</v>
      </c>
      <c r="Q8" s="2">
        <f>IF(AND(VLOOKUP(Q$1,test!$A$3:$F$32,5,FALSE) - VLOOKUP($B8,test!$A$3:$G$32,6,FALSE) &gt;= (test!$B$33)/1440),1,0)</f>
        <v>0</v>
      </c>
      <c r="R8" s="2">
        <f>IF(AND(VLOOKUP(R$1,test!$A$3:$F$32,5,FALSE) - VLOOKUP($B8,test!$A$3:$G$32,6,FALSE) &gt;= (test!$B$33)/1440),1,0)</f>
        <v>0</v>
      </c>
      <c r="S8" s="2">
        <f>IF(AND(VLOOKUP(S$1,test!$A$3:$F$32,5,FALSE) - VLOOKUP($B8,test!$A$3:$G$32,6,FALSE) &gt;= (test!$B$33)/1440),1,0)</f>
        <v>0</v>
      </c>
      <c r="T8" s="2">
        <f>IF(AND(VLOOKUP(T$1,test!$A$3:$F$32,5,FALSE) - VLOOKUP($B8,test!$A$3:$G$32,6,FALSE) &gt;= (test!$B$33)/1440),1,0)</f>
        <v>0</v>
      </c>
      <c r="U8" s="2">
        <f>IF(AND(VLOOKUP(U$1,test!$A$3:$F$32,5,FALSE) - VLOOKUP($B8,test!$A$3:$G$32,6,FALSE) &gt;= (test!$B$33)/1440),1,0)</f>
        <v>0</v>
      </c>
      <c r="V8" s="2">
        <f>IF(AND(VLOOKUP(V$1,test!$A$3:$F$32,5,FALSE) - VLOOKUP($B8,test!$A$3:$G$32,6,FALSE) &gt;= (test!$B$33)/1440),1,0)</f>
        <v>0</v>
      </c>
      <c r="W8" s="2">
        <f>IF(AND(VLOOKUP(W$1,test!$A$3:$F$32,5,FALSE) - VLOOKUP($B8,test!$A$3:$G$32,6,FALSE) &gt;= (test!$B$33)/1440),1,0)</f>
        <v>0</v>
      </c>
      <c r="X8" s="2">
        <f>IF(AND(VLOOKUP(X$1,test!$A$3:$F$32,5,FALSE) - VLOOKUP($B8,test!$A$3:$G$32,6,FALSE) &gt;= (test!$B$33)/1440),1,0)</f>
        <v>0</v>
      </c>
      <c r="Y8" s="2">
        <f>IF(AND(VLOOKUP(Y$1,test!$A$3:$F$32,5,FALSE) - VLOOKUP($B8,test!$A$3:$G$32,6,FALSE) &gt;= (test!$B$33)/1440),1,0)</f>
        <v>0</v>
      </c>
      <c r="Z8" s="2">
        <f>IF(AND(VLOOKUP(Z$1,test!$A$3:$F$32,5,FALSE) - VLOOKUP($B8,test!$A$3:$G$32,6,FALSE) &gt;= (test!$B$33)/1440),1,0)</f>
        <v>0</v>
      </c>
      <c r="AA8" s="2">
        <f>IF(AND(VLOOKUP(AA$1,test!$A$3:$F$32,5,FALSE) - VLOOKUP($B8,test!$A$3:$G$32,6,FALSE) &gt;= (test!$B$33)/1440),1,0)</f>
        <v>0</v>
      </c>
      <c r="AB8" s="2">
        <f>IF(AND(VLOOKUP(AB$1,test!$A$3:$F$32,5,FALSE) - VLOOKUP($B8,test!$A$3:$G$32,6,FALSE) &gt;= (test!$B$33)/1440),1,0)</f>
        <v>0</v>
      </c>
      <c r="AC8" s="2">
        <f>IF(AND(VLOOKUP(AC$1,test!$A$3:$F$32,5,FALSE) - VLOOKUP($B8,test!$A$3:$G$32,6,FALSE) &gt;= (test!$B$33)/1440),1,0)</f>
        <v>0</v>
      </c>
      <c r="AD8" s="2">
        <f>IF(AND(VLOOKUP(AD$1,test!$A$3:$F$32,5,FALSE) - VLOOKUP($B8,test!$A$3:$G$32,6,FALSE) &gt;= (test!$B$33)/1440),1,0)</f>
        <v>0</v>
      </c>
      <c r="AE8" s="2">
        <f>IF(AND(VLOOKUP(AE$1,test!$A$3:$F$32,5,FALSE) - VLOOKUP($B8,test!$A$3:$G$32,6,FALSE) &gt;= (test!$B$33)/1440),1,0)</f>
        <v>0</v>
      </c>
      <c r="AF8" s="2">
        <f>IF(AND(VLOOKUP(AF$1,test!$A$3:$F$32,5,FALSE) - VLOOKUP($B8,test!$A$3:$G$32,6,FALSE) &gt;= (test!$B$33)/1440),1,0)</f>
        <v>0</v>
      </c>
      <c r="AG8" s="2">
        <f>IF(AND(VLOOKUP(AG$1,test!$A$3:$F$32,5,FALSE) - VLOOKUP($B8,test!$A$3:$G$32,6,FALSE) &gt;= (test!$B$33)/1440),1,0)</f>
        <v>0</v>
      </c>
    </row>
    <row r="9" spans="1:34" x14ac:dyDescent="0.25">
      <c r="A9" t="s">
        <v>49</v>
      </c>
      <c r="B9" t="s">
        <v>14</v>
      </c>
      <c r="C9">
        <v>0</v>
      </c>
      <c r="D9" s="2">
        <f>IF(AND(VLOOKUP(D$1,test!$A$3:$F$32,5,FALSE) - VLOOKUP($B9,test!$A$3:$G$32,6,FALSE) &gt;= (test!$B$33)/1440),1,0)</f>
        <v>0</v>
      </c>
      <c r="E9" s="2">
        <f>IF(AND(VLOOKUP(E$1,test!$A$3:$F$32,5,FALSE) - VLOOKUP($B9,test!$A$3:$G$32,6,FALSE) &gt;= (test!$B$33)/1440),1,0)</f>
        <v>0</v>
      </c>
      <c r="F9" s="2">
        <f>IF(AND(VLOOKUP(F$1,test!$A$3:$F$32,5,FALSE) - VLOOKUP($B9,test!$A$3:$G$32,6,FALSE) &gt;= (test!$B$33)/1440),1,0)</f>
        <v>0</v>
      </c>
      <c r="G9" s="2">
        <f>IF(AND(VLOOKUP(G$1,test!$A$3:$F$32,5,FALSE) - VLOOKUP($B9,test!$A$3:$G$32,6,FALSE) &gt;= (test!$B$33)/1440),1,0)</f>
        <v>0</v>
      </c>
      <c r="H9" s="2">
        <f>IF(AND(VLOOKUP(H$1,test!$A$3:$F$32,5,FALSE) - VLOOKUP($B9,test!$A$3:$G$32,6,FALSE) &gt;= (test!$B$33)/1440),1,0)</f>
        <v>0</v>
      </c>
      <c r="I9" s="2">
        <f>IF(AND(VLOOKUP(I$1,test!$A$3:$F$32,5,FALSE) - VLOOKUP($B9,test!$A$3:$G$32,6,FALSE) &gt;= (test!$B$33)/1440),1,0)</f>
        <v>0</v>
      </c>
      <c r="J9" s="2">
        <f>IF(AND(VLOOKUP(J$1,test!$A$3:$F$32,5,FALSE) - VLOOKUP($B9,test!$A$3:$G$32,6,FALSE) &gt;= (test!$B$33)/1440),1,0)</f>
        <v>0</v>
      </c>
      <c r="K9" s="2">
        <f>IF(AND(VLOOKUP(K$1,test!$A$3:$F$32,5,FALSE) - VLOOKUP($B9,test!$A$3:$G$32,6,FALSE) &gt;= (test!$B$33)/1440),1,0)</f>
        <v>0</v>
      </c>
      <c r="L9" s="2">
        <f>IF(AND(VLOOKUP(L$1,test!$A$3:$F$32,5,FALSE) - VLOOKUP($B9,test!$A$3:$G$32,6,FALSE) &gt;= (test!$B$33)/1440),1,0)</f>
        <v>0</v>
      </c>
      <c r="M9" s="2">
        <f>IF(AND(VLOOKUP(M$1,test!$A$3:$F$32,5,FALSE) - VLOOKUP($B9,test!$A$3:$G$32,6,FALSE) &gt;= (test!$B$33)/1440),1,0)</f>
        <v>0</v>
      </c>
      <c r="N9" s="2">
        <f>IF(AND(VLOOKUP(N$1,test!$A$3:$F$32,5,FALSE) - VLOOKUP($B9,test!$A$3:$G$32,6,FALSE) &gt;= (test!$B$33)/1440),1,0)</f>
        <v>0</v>
      </c>
      <c r="O9" s="2">
        <f>IF(AND(VLOOKUP(O$1,test!$A$3:$F$32,5,FALSE) - VLOOKUP($B9,test!$A$3:$G$32,6,FALSE) &gt;= (test!$B$33)/1440),1,0)</f>
        <v>0</v>
      </c>
      <c r="P9" s="2">
        <f>IF(AND(VLOOKUP(P$1,test!$A$3:$F$32,5,FALSE) - VLOOKUP($B9,test!$A$3:$G$32,6,FALSE) &gt;= (test!$B$33)/1440),1,0)</f>
        <v>0</v>
      </c>
      <c r="Q9" s="2">
        <f>IF(AND(VLOOKUP(Q$1,test!$A$3:$F$32,5,FALSE) - VLOOKUP($B9,test!$A$3:$G$32,6,FALSE) &gt;= (test!$B$33)/1440),1,0)</f>
        <v>0</v>
      </c>
      <c r="R9" s="2">
        <f>IF(AND(VLOOKUP(R$1,test!$A$3:$F$32,5,FALSE) - VLOOKUP($B9,test!$A$3:$G$32,6,FALSE) &gt;= (test!$B$33)/1440),1,0)</f>
        <v>0</v>
      </c>
      <c r="S9" s="2">
        <f>IF(AND(VLOOKUP(S$1,test!$A$3:$F$32,5,FALSE) - VLOOKUP($B9,test!$A$3:$G$32,6,FALSE) &gt;= (test!$B$33)/1440),1,0)</f>
        <v>0</v>
      </c>
      <c r="T9" s="2">
        <f>IF(AND(VLOOKUP(T$1,test!$A$3:$F$32,5,FALSE) - VLOOKUP($B9,test!$A$3:$G$32,6,FALSE) &gt;= (test!$B$33)/1440),1,0)</f>
        <v>0</v>
      </c>
      <c r="U9" s="2">
        <f>IF(AND(VLOOKUP(U$1,test!$A$3:$F$32,5,FALSE) - VLOOKUP($B9,test!$A$3:$G$32,6,FALSE) &gt;= (test!$B$33)/1440),1,0)</f>
        <v>0</v>
      </c>
      <c r="V9" s="2">
        <f>IF(AND(VLOOKUP(V$1,test!$A$3:$F$32,5,FALSE) - VLOOKUP($B9,test!$A$3:$G$32,6,FALSE) &gt;= (test!$B$33)/1440),1,0)</f>
        <v>0</v>
      </c>
      <c r="W9" s="2">
        <f>IF(AND(VLOOKUP(W$1,test!$A$3:$F$32,5,FALSE) - VLOOKUP($B9,test!$A$3:$G$32,6,FALSE) &gt;= (test!$B$33)/1440),1,0)</f>
        <v>0</v>
      </c>
      <c r="X9" s="2">
        <f>IF(AND(VLOOKUP(X$1,test!$A$3:$F$32,5,FALSE) - VLOOKUP($B9,test!$A$3:$G$32,6,FALSE) &gt;= (test!$B$33)/1440),1,0)</f>
        <v>0</v>
      </c>
      <c r="Y9" s="2">
        <f>IF(AND(VLOOKUP(Y$1,test!$A$3:$F$32,5,FALSE) - VLOOKUP($B9,test!$A$3:$G$32,6,FALSE) &gt;= (test!$B$33)/1440),1,0)</f>
        <v>0</v>
      </c>
      <c r="Z9" s="2">
        <f>IF(AND(VLOOKUP(Z$1,test!$A$3:$F$32,5,FALSE) - VLOOKUP($B9,test!$A$3:$G$32,6,FALSE) &gt;= (test!$B$33)/1440),1,0)</f>
        <v>0</v>
      </c>
      <c r="AA9" s="2">
        <f>IF(AND(VLOOKUP(AA$1,test!$A$3:$F$32,5,FALSE) - VLOOKUP($B9,test!$A$3:$G$32,6,FALSE) &gt;= (test!$B$33)/1440),1,0)</f>
        <v>0</v>
      </c>
      <c r="AB9" s="2">
        <f>IF(AND(VLOOKUP(AB$1,test!$A$3:$F$32,5,FALSE) - VLOOKUP($B9,test!$A$3:$G$32,6,FALSE) &gt;= (test!$B$33)/1440),1,0)</f>
        <v>0</v>
      </c>
      <c r="AC9" s="2">
        <f>IF(AND(VLOOKUP(AC$1,test!$A$3:$F$32,5,FALSE) - VLOOKUP($B9,test!$A$3:$G$32,6,FALSE) &gt;= (test!$B$33)/1440),1,0)</f>
        <v>0</v>
      </c>
      <c r="AD9" s="2">
        <f>IF(AND(VLOOKUP(AD$1,test!$A$3:$F$32,5,FALSE) - VLOOKUP($B9,test!$A$3:$G$32,6,FALSE) &gt;= (test!$B$33)/1440),1,0)</f>
        <v>0</v>
      </c>
      <c r="AE9" s="2">
        <f>IF(AND(VLOOKUP(AE$1,test!$A$3:$F$32,5,FALSE) - VLOOKUP($B9,test!$A$3:$G$32,6,FALSE) &gt;= (test!$B$33)/1440),1,0)</f>
        <v>0</v>
      </c>
      <c r="AF9" s="2">
        <f>IF(AND(VLOOKUP(AF$1,test!$A$3:$F$32,5,FALSE) - VLOOKUP($B9,test!$A$3:$G$32,6,FALSE) &gt;= (test!$B$33)/1440),1,0)</f>
        <v>0</v>
      </c>
      <c r="AG9" s="2">
        <f>IF(AND(VLOOKUP(AG$1,test!$A$3:$F$32,5,FALSE) - VLOOKUP($B9,test!$A$3:$G$32,6,FALSE) &gt;= (test!$B$33)/1440),1,0)</f>
        <v>0</v>
      </c>
    </row>
    <row r="10" spans="1:34" x14ac:dyDescent="0.25">
      <c r="A10" t="s">
        <v>49</v>
      </c>
      <c r="B10" t="s">
        <v>15</v>
      </c>
      <c r="C10">
        <v>0</v>
      </c>
      <c r="D10" s="2">
        <f>IF(AND(VLOOKUP(D$1,test!$A$3:$F$32,5,FALSE) - VLOOKUP($B10,test!$A$3:$G$32,6,FALSE) &gt;= (test!$B$33)/1440),1,0)</f>
        <v>0</v>
      </c>
      <c r="E10" s="2">
        <f>IF(AND(VLOOKUP(E$1,test!$A$3:$F$32,5,FALSE) - VLOOKUP($B10,test!$A$3:$G$32,6,FALSE) &gt;= (test!$B$33)/1440),1,0)</f>
        <v>0</v>
      </c>
      <c r="F10" s="2">
        <f>IF(AND(VLOOKUP(F$1,test!$A$3:$F$32,5,FALSE) - VLOOKUP($B10,test!$A$3:$G$32,6,FALSE) &gt;= (test!$B$33)/1440),1,0)</f>
        <v>0</v>
      </c>
      <c r="G10" s="2">
        <f>IF(AND(VLOOKUP(G$1,test!$A$3:$F$32,5,FALSE) - VLOOKUP($B10,test!$A$3:$G$32,6,FALSE) &gt;= (test!$B$33)/1440),1,0)</f>
        <v>0</v>
      </c>
      <c r="H10" s="2">
        <f>IF(AND(VLOOKUP(H$1,test!$A$3:$F$32,5,FALSE) - VLOOKUP($B10,test!$A$3:$G$32,6,FALSE) &gt;= (test!$B$33)/1440),1,0)</f>
        <v>0</v>
      </c>
      <c r="I10" s="2">
        <f>IF(AND(VLOOKUP(I$1,test!$A$3:$F$32,5,FALSE) - VLOOKUP($B10,test!$A$3:$G$32,6,FALSE) &gt;= (test!$B$33)/1440),1,0)</f>
        <v>0</v>
      </c>
      <c r="J10" s="2">
        <f>IF(AND(VLOOKUP(J$1,test!$A$3:$F$32,5,FALSE) - VLOOKUP($B10,test!$A$3:$G$32,6,FALSE) &gt;= (test!$B$33)/1440),1,0)</f>
        <v>0</v>
      </c>
      <c r="K10" s="2">
        <f>IF(AND(VLOOKUP(K$1,test!$A$3:$F$32,5,FALSE) - VLOOKUP($B10,test!$A$3:$G$32,6,FALSE) &gt;= (test!$B$33)/1440),1,0)</f>
        <v>0</v>
      </c>
      <c r="L10" s="2">
        <f>IF(AND(VLOOKUP(L$1,test!$A$3:$F$32,5,FALSE) - VLOOKUP($B10,test!$A$3:$G$32,6,FALSE) &gt;= (test!$B$33)/1440),1,0)</f>
        <v>0</v>
      </c>
      <c r="M10" s="2">
        <f>IF(AND(VLOOKUP(M$1,test!$A$3:$F$32,5,FALSE) - VLOOKUP($B10,test!$A$3:$G$32,6,FALSE) &gt;= (test!$B$33)/1440),1,0)</f>
        <v>0</v>
      </c>
      <c r="N10" s="2">
        <f>IF(AND(VLOOKUP(N$1,test!$A$3:$F$32,5,FALSE) - VLOOKUP($B10,test!$A$3:$G$32,6,FALSE) &gt;= (test!$B$33)/1440),1,0)</f>
        <v>0</v>
      </c>
      <c r="O10" s="2">
        <f>IF(AND(VLOOKUP(O$1,test!$A$3:$F$32,5,FALSE) - VLOOKUP($B10,test!$A$3:$G$32,6,FALSE) &gt;= (test!$B$33)/1440),1,0)</f>
        <v>0</v>
      </c>
      <c r="P10" s="2">
        <f>IF(AND(VLOOKUP(P$1,test!$A$3:$F$32,5,FALSE) - VLOOKUP($B10,test!$A$3:$G$32,6,FALSE) &gt;= (test!$B$33)/1440),1,0)</f>
        <v>0</v>
      </c>
      <c r="Q10" s="2">
        <f>IF(AND(VLOOKUP(Q$1,test!$A$3:$F$32,5,FALSE) - VLOOKUP($B10,test!$A$3:$G$32,6,FALSE) &gt;= (test!$B$33)/1440),1,0)</f>
        <v>0</v>
      </c>
      <c r="R10" s="2">
        <f>IF(AND(VLOOKUP(R$1,test!$A$3:$F$32,5,FALSE) - VLOOKUP($B10,test!$A$3:$G$32,6,FALSE) &gt;= (test!$B$33)/1440),1,0)</f>
        <v>0</v>
      </c>
      <c r="S10" s="2">
        <f>IF(AND(VLOOKUP(S$1,test!$A$3:$F$32,5,FALSE) - VLOOKUP($B10,test!$A$3:$G$32,6,FALSE) &gt;= (test!$B$33)/1440),1,0)</f>
        <v>0</v>
      </c>
      <c r="T10" s="2">
        <f>IF(AND(VLOOKUP(T$1,test!$A$3:$F$32,5,FALSE) - VLOOKUP($B10,test!$A$3:$G$32,6,FALSE) &gt;= (test!$B$33)/1440),1,0)</f>
        <v>0</v>
      </c>
      <c r="U10" s="2">
        <f>IF(AND(VLOOKUP(U$1,test!$A$3:$F$32,5,FALSE) - VLOOKUP($B10,test!$A$3:$G$32,6,FALSE) &gt;= (test!$B$33)/1440),1,0)</f>
        <v>0</v>
      </c>
      <c r="V10" s="2">
        <f>IF(AND(VLOOKUP(V$1,test!$A$3:$F$32,5,FALSE) - VLOOKUP($B10,test!$A$3:$G$32,6,FALSE) &gt;= (test!$B$33)/1440),1,0)</f>
        <v>0</v>
      </c>
      <c r="W10" s="2">
        <f>IF(AND(VLOOKUP(W$1,test!$A$3:$F$32,5,FALSE) - VLOOKUP($B10,test!$A$3:$G$32,6,FALSE) &gt;= (test!$B$33)/1440),1,0)</f>
        <v>0</v>
      </c>
      <c r="X10" s="2">
        <f>IF(AND(VLOOKUP(X$1,test!$A$3:$F$32,5,FALSE) - VLOOKUP($B10,test!$A$3:$G$32,6,FALSE) &gt;= (test!$B$33)/1440),1,0)</f>
        <v>0</v>
      </c>
      <c r="Y10" s="2">
        <f>IF(AND(VLOOKUP(Y$1,test!$A$3:$F$32,5,FALSE) - VLOOKUP($B10,test!$A$3:$G$32,6,FALSE) &gt;= (test!$B$33)/1440),1,0)</f>
        <v>0</v>
      </c>
      <c r="Z10" s="2">
        <f>IF(AND(VLOOKUP(Z$1,test!$A$3:$F$32,5,FALSE) - VLOOKUP($B10,test!$A$3:$G$32,6,FALSE) &gt;= (test!$B$33)/1440),1,0)</f>
        <v>0</v>
      </c>
      <c r="AA10" s="2">
        <f>IF(AND(VLOOKUP(AA$1,test!$A$3:$F$32,5,FALSE) - VLOOKUP($B10,test!$A$3:$G$32,6,FALSE) &gt;= (test!$B$33)/1440),1,0)</f>
        <v>0</v>
      </c>
      <c r="AB10" s="2">
        <f>IF(AND(VLOOKUP(AB$1,test!$A$3:$F$32,5,FALSE) - VLOOKUP($B10,test!$A$3:$G$32,6,FALSE) &gt;= (test!$B$33)/1440),1,0)</f>
        <v>0</v>
      </c>
      <c r="AC10" s="2">
        <f>IF(AND(VLOOKUP(AC$1,test!$A$3:$F$32,5,FALSE) - VLOOKUP($B10,test!$A$3:$G$32,6,FALSE) &gt;= (test!$B$33)/1440),1,0)</f>
        <v>0</v>
      </c>
      <c r="AD10" s="2">
        <f>IF(AND(VLOOKUP(AD$1,test!$A$3:$F$32,5,FALSE) - VLOOKUP($B10,test!$A$3:$G$32,6,FALSE) &gt;= (test!$B$33)/1440),1,0)</f>
        <v>0</v>
      </c>
      <c r="AE10" s="2">
        <f>IF(AND(VLOOKUP(AE$1,test!$A$3:$F$32,5,FALSE) - VLOOKUP($B10,test!$A$3:$G$32,6,FALSE) &gt;= (test!$B$33)/1440),1,0)</f>
        <v>0</v>
      </c>
      <c r="AF10" s="2">
        <f>IF(AND(VLOOKUP(AF$1,test!$A$3:$F$32,5,FALSE) - VLOOKUP($B10,test!$A$3:$G$32,6,FALSE) &gt;= (test!$B$33)/1440),1,0)</f>
        <v>0</v>
      </c>
      <c r="AG10" s="2">
        <f>IF(AND(VLOOKUP(AG$1,test!$A$3:$F$32,5,FALSE) - VLOOKUP($B10,test!$A$3:$G$32,6,FALSE) &gt;= (test!$B$33)/1440),1,0)</f>
        <v>0</v>
      </c>
    </row>
    <row r="11" spans="1:34" x14ac:dyDescent="0.25">
      <c r="A11" t="s">
        <v>49</v>
      </c>
      <c r="B11" t="s">
        <v>18</v>
      </c>
      <c r="C11">
        <v>0</v>
      </c>
      <c r="D11" s="2">
        <f>IF(AND(VLOOKUP(D$1,test!$A$3:$F$32,5,FALSE) - VLOOKUP($B11,test!$A$3:$G$32,6,FALSE) &gt;= (test!$B$33)/1440),1,0)</f>
        <v>0</v>
      </c>
      <c r="E11" s="2">
        <f>IF(AND(VLOOKUP(E$1,test!$A$3:$F$32,5,FALSE) - VLOOKUP($B11,test!$A$3:$G$32,6,FALSE) &gt;= (test!$B$33)/1440),1,0)</f>
        <v>0</v>
      </c>
      <c r="F11" s="2">
        <f>IF(AND(VLOOKUP(F$1,test!$A$3:$F$32,5,FALSE) - VLOOKUP($B11,test!$A$3:$G$32,6,FALSE) &gt;= (test!$B$33)/1440),1,0)</f>
        <v>1</v>
      </c>
      <c r="G11" s="2">
        <f>IF(AND(VLOOKUP(G$1,test!$A$3:$F$32,5,FALSE) - VLOOKUP($B11,test!$A$3:$G$32,6,FALSE) &gt;= (test!$B$33)/1440),1,0)</f>
        <v>1</v>
      </c>
      <c r="H11" s="2">
        <f>IF(AND(VLOOKUP(H$1,test!$A$3:$F$32,5,FALSE) - VLOOKUP($B11,test!$A$3:$G$32,6,FALSE) &gt;= (test!$B$33)/1440),1,0)</f>
        <v>1</v>
      </c>
      <c r="I11" s="2">
        <f>IF(AND(VLOOKUP(I$1,test!$A$3:$F$32,5,FALSE) - VLOOKUP($B11,test!$A$3:$G$32,6,FALSE) &gt;= (test!$B$33)/1440),1,0)</f>
        <v>1</v>
      </c>
      <c r="J11" s="2">
        <f>IF(AND(VLOOKUP(J$1,test!$A$3:$F$32,5,FALSE) - VLOOKUP($B11,test!$A$3:$G$32,6,FALSE) &gt;= (test!$B$33)/1440),1,0)</f>
        <v>1</v>
      </c>
      <c r="K11" s="2">
        <f>IF(AND(VLOOKUP(K$1,test!$A$3:$F$32,5,FALSE) - VLOOKUP($B11,test!$A$3:$G$32,6,FALSE) &gt;= (test!$B$33)/1440),1,0)</f>
        <v>1</v>
      </c>
      <c r="L11" s="2">
        <f>IF(AND(VLOOKUP(L$1,test!$A$3:$F$32,5,FALSE) - VLOOKUP($B11,test!$A$3:$G$32,6,FALSE) &gt;= (test!$B$33)/1440),1,0)</f>
        <v>0</v>
      </c>
      <c r="M11" s="2">
        <f>IF(AND(VLOOKUP(M$1,test!$A$3:$F$32,5,FALSE) - VLOOKUP($B11,test!$A$3:$G$32,6,FALSE) &gt;= (test!$B$33)/1440),1,0)</f>
        <v>0</v>
      </c>
      <c r="N11" s="2">
        <f>IF(AND(VLOOKUP(N$1,test!$A$3:$F$32,5,FALSE) - VLOOKUP($B11,test!$A$3:$G$32,6,FALSE) &gt;= (test!$B$33)/1440),1,0)</f>
        <v>1</v>
      </c>
      <c r="O11" s="2">
        <f>IF(AND(VLOOKUP(O$1,test!$A$3:$F$32,5,FALSE) - VLOOKUP($B11,test!$A$3:$G$32,6,FALSE) &gt;= (test!$B$33)/1440),1,0)</f>
        <v>1</v>
      </c>
      <c r="P11" s="2">
        <f>IF(AND(VLOOKUP(P$1,test!$A$3:$F$32,5,FALSE) - VLOOKUP($B11,test!$A$3:$G$32,6,FALSE) &gt;= (test!$B$33)/1440),1,0)</f>
        <v>1</v>
      </c>
      <c r="Q11" s="2">
        <f>IF(AND(VLOOKUP(Q$1,test!$A$3:$F$32,5,FALSE) - VLOOKUP($B11,test!$A$3:$G$32,6,FALSE) &gt;= (test!$B$33)/1440),1,0)</f>
        <v>0</v>
      </c>
      <c r="R11" s="2">
        <f>IF(AND(VLOOKUP(R$1,test!$A$3:$F$32,5,FALSE) - VLOOKUP($B11,test!$A$3:$G$32,6,FALSE) &gt;= (test!$B$33)/1440),1,0)</f>
        <v>0</v>
      </c>
      <c r="S11" s="2">
        <f>IF(AND(VLOOKUP(S$1,test!$A$3:$F$32,5,FALSE) - VLOOKUP($B11,test!$A$3:$G$32,6,FALSE) &gt;= (test!$B$33)/1440),1,0)</f>
        <v>0</v>
      </c>
      <c r="T11" s="2">
        <f>IF(AND(VLOOKUP(T$1,test!$A$3:$F$32,5,FALSE) - VLOOKUP($B11,test!$A$3:$G$32,6,FALSE) &gt;= (test!$B$33)/1440),1,0)</f>
        <v>0</v>
      </c>
      <c r="U11" s="2">
        <f>IF(AND(VLOOKUP(U$1,test!$A$3:$F$32,5,FALSE) - VLOOKUP($B11,test!$A$3:$G$32,6,FALSE) &gt;= (test!$B$33)/1440),1,0)</f>
        <v>1</v>
      </c>
      <c r="V11" s="2">
        <f>IF(AND(VLOOKUP(V$1,test!$A$3:$F$32,5,FALSE) - VLOOKUP($B11,test!$A$3:$G$32,6,FALSE) &gt;= (test!$B$33)/1440),1,0)</f>
        <v>1</v>
      </c>
      <c r="W11" s="2">
        <f>IF(AND(VLOOKUP(W$1,test!$A$3:$F$32,5,FALSE) - VLOOKUP($B11,test!$A$3:$G$32,6,FALSE) &gt;= (test!$B$33)/1440),1,0)</f>
        <v>1</v>
      </c>
      <c r="X11" s="2">
        <f>IF(AND(VLOOKUP(X$1,test!$A$3:$F$32,5,FALSE) - VLOOKUP($B11,test!$A$3:$G$32,6,FALSE) &gt;= (test!$B$33)/1440),1,0)</f>
        <v>1</v>
      </c>
      <c r="Y11" s="2">
        <f>IF(AND(VLOOKUP(Y$1,test!$A$3:$F$32,5,FALSE) - VLOOKUP($B11,test!$A$3:$G$32,6,FALSE) &gt;= (test!$B$33)/1440),1,0)</f>
        <v>1</v>
      </c>
      <c r="Z11" s="2">
        <f>IF(AND(VLOOKUP(Z$1,test!$A$3:$F$32,5,FALSE) - VLOOKUP($B11,test!$A$3:$G$32,6,FALSE) &gt;= (test!$B$33)/1440),1,0)</f>
        <v>0</v>
      </c>
      <c r="AA11" s="2">
        <f>IF(AND(VLOOKUP(AA$1,test!$A$3:$F$32,5,FALSE) - VLOOKUP($B11,test!$A$3:$G$32,6,FALSE) &gt;= (test!$B$33)/1440),1,0)</f>
        <v>0</v>
      </c>
      <c r="AB11" s="2">
        <f>IF(AND(VLOOKUP(AB$1,test!$A$3:$F$32,5,FALSE) - VLOOKUP($B11,test!$A$3:$G$32,6,FALSE) &gt;= (test!$B$33)/1440),1,0)</f>
        <v>1</v>
      </c>
      <c r="AC11" s="2">
        <f>IF(AND(VLOOKUP(AC$1,test!$A$3:$F$32,5,FALSE) - VLOOKUP($B11,test!$A$3:$G$32,6,FALSE) &gt;= (test!$B$33)/1440),1,0)</f>
        <v>1</v>
      </c>
      <c r="AD11" s="2">
        <f>IF(AND(VLOOKUP(AD$1,test!$A$3:$F$32,5,FALSE) - VLOOKUP($B11,test!$A$3:$G$32,6,FALSE) &gt;= (test!$B$33)/1440),1,0)</f>
        <v>1</v>
      </c>
      <c r="AE11" s="2">
        <f>IF(AND(VLOOKUP(AE$1,test!$A$3:$F$32,5,FALSE) - VLOOKUP($B11,test!$A$3:$G$32,6,FALSE) &gt;= (test!$B$33)/1440),1,0)</f>
        <v>0</v>
      </c>
      <c r="AF11" s="2">
        <f>IF(AND(VLOOKUP(AF$1,test!$A$3:$F$32,5,FALSE) - VLOOKUP($B11,test!$A$3:$G$32,6,FALSE) &gt;= (test!$B$33)/1440),1,0)</f>
        <v>1</v>
      </c>
      <c r="AG11" s="2">
        <f>IF(AND(VLOOKUP(AG$1,test!$A$3:$F$32,5,FALSE) - VLOOKUP($B11,test!$A$3:$G$32,6,FALSE) &gt;= (test!$B$33)/1440),1,0)</f>
        <v>1</v>
      </c>
    </row>
    <row r="12" spans="1:34" x14ac:dyDescent="0.25">
      <c r="A12" t="s">
        <v>49</v>
      </c>
      <c r="B12" t="s">
        <v>20</v>
      </c>
      <c r="C12">
        <v>0</v>
      </c>
      <c r="D12" s="2">
        <f>IF(AND(VLOOKUP(D$1,test!$A$3:$F$32,5,FALSE) - VLOOKUP($B12,test!$A$3:$G$32,6,FALSE) &gt;= (test!$B$33)/1440),1,0)</f>
        <v>0</v>
      </c>
      <c r="E12" s="2">
        <f>IF(AND(VLOOKUP(E$1,test!$A$3:$F$32,5,FALSE) - VLOOKUP($B12,test!$A$3:$G$32,6,FALSE) &gt;= (test!$B$33)/1440),1,0)</f>
        <v>0</v>
      </c>
      <c r="F12" s="2">
        <f>IF(AND(VLOOKUP(F$1,test!$A$3:$F$32,5,FALSE) - VLOOKUP($B12,test!$A$3:$G$32,6,FALSE) &gt;= (test!$B$33)/1440),1,0)</f>
        <v>0</v>
      </c>
      <c r="G12" s="2">
        <f>IF(AND(VLOOKUP(G$1,test!$A$3:$F$32,5,FALSE) - VLOOKUP($B12,test!$A$3:$G$32,6,FALSE) &gt;= (test!$B$33)/1440),1,0)</f>
        <v>1</v>
      </c>
      <c r="H12" s="2">
        <f>IF(AND(VLOOKUP(H$1,test!$A$3:$F$32,5,FALSE) - VLOOKUP($B12,test!$A$3:$G$32,6,FALSE) &gt;= (test!$B$33)/1440),1,0)</f>
        <v>1</v>
      </c>
      <c r="I12" s="2">
        <f>IF(AND(VLOOKUP(I$1,test!$A$3:$F$32,5,FALSE) - VLOOKUP($B12,test!$A$3:$G$32,6,FALSE) &gt;= (test!$B$33)/1440),1,0)</f>
        <v>1</v>
      </c>
      <c r="J12" s="2">
        <f>IF(AND(VLOOKUP(J$1,test!$A$3:$F$32,5,FALSE) - VLOOKUP($B12,test!$A$3:$G$32,6,FALSE) &gt;= (test!$B$33)/1440),1,0)</f>
        <v>1</v>
      </c>
      <c r="K12" s="2">
        <f>IF(AND(VLOOKUP(K$1,test!$A$3:$F$32,5,FALSE) - VLOOKUP($B12,test!$A$3:$G$32,6,FALSE) &gt;= (test!$B$33)/1440),1,0)</f>
        <v>1</v>
      </c>
      <c r="L12" s="2">
        <f>IF(AND(VLOOKUP(L$1,test!$A$3:$F$32,5,FALSE) - VLOOKUP($B12,test!$A$3:$G$32,6,FALSE) &gt;= (test!$B$33)/1440),1,0)</f>
        <v>0</v>
      </c>
      <c r="M12" s="2">
        <f>IF(AND(VLOOKUP(M$1,test!$A$3:$F$32,5,FALSE) - VLOOKUP($B12,test!$A$3:$G$32,6,FALSE) &gt;= (test!$B$33)/1440),1,0)</f>
        <v>0</v>
      </c>
      <c r="N12" s="2">
        <f>IF(AND(VLOOKUP(N$1,test!$A$3:$F$32,5,FALSE) - VLOOKUP($B12,test!$A$3:$G$32,6,FALSE) &gt;= (test!$B$33)/1440),1,0)</f>
        <v>0</v>
      </c>
      <c r="O12" s="2">
        <f>IF(AND(VLOOKUP(O$1,test!$A$3:$F$32,5,FALSE) - VLOOKUP($B12,test!$A$3:$G$32,6,FALSE) &gt;= (test!$B$33)/1440),1,0)</f>
        <v>1</v>
      </c>
      <c r="P12" s="2">
        <f>IF(AND(VLOOKUP(P$1,test!$A$3:$F$32,5,FALSE) - VLOOKUP($B12,test!$A$3:$G$32,6,FALSE) &gt;= (test!$B$33)/1440),1,0)</f>
        <v>1</v>
      </c>
      <c r="Q12" s="2">
        <f>IF(AND(VLOOKUP(Q$1,test!$A$3:$F$32,5,FALSE) - VLOOKUP($B12,test!$A$3:$G$32,6,FALSE) &gt;= (test!$B$33)/1440),1,0)</f>
        <v>0</v>
      </c>
      <c r="R12" s="2">
        <f>IF(AND(VLOOKUP(R$1,test!$A$3:$F$32,5,FALSE) - VLOOKUP($B12,test!$A$3:$G$32,6,FALSE) &gt;= (test!$B$33)/1440),1,0)</f>
        <v>0</v>
      </c>
      <c r="S12" s="2">
        <f>IF(AND(VLOOKUP(S$1,test!$A$3:$F$32,5,FALSE) - VLOOKUP($B12,test!$A$3:$G$32,6,FALSE) &gt;= (test!$B$33)/1440),1,0)</f>
        <v>0</v>
      </c>
      <c r="T12" s="2">
        <f>IF(AND(VLOOKUP(T$1,test!$A$3:$F$32,5,FALSE) - VLOOKUP($B12,test!$A$3:$G$32,6,FALSE) &gt;= (test!$B$33)/1440),1,0)</f>
        <v>0</v>
      </c>
      <c r="U12" s="2">
        <f>IF(AND(VLOOKUP(U$1,test!$A$3:$F$32,5,FALSE) - VLOOKUP($B12,test!$A$3:$G$32,6,FALSE) &gt;= (test!$B$33)/1440),1,0)</f>
        <v>0</v>
      </c>
      <c r="V12" s="2">
        <f>IF(AND(VLOOKUP(V$1,test!$A$3:$F$32,5,FALSE) - VLOOKUP($B12,test!$A$3:$G$32,6,FALSE) &gt;= (test!$B$33)/1440),1,0)</f>
        <v>1</v>
      </c>
      <c r="W12" s="2">
        <f>IF(AND(VLOOKUP(W$1,test!$A$3:$F$32,5,FALSE) - VLOOKUP($B12,test!$A$3:$G$32,6,FALSE) &gt;= (test!$B$33)/1440),1,0)</f>
        <v>1</v>
      </c>
      <c r="X12" s="2">
        <f>IF(AND(VLOOKUP(X$1,test!$A$3:$F$32,5,FALSE) - VLOOKUP($B12,test!$A$3:$G$32,6,FALSE) &gt;= (test!$B$33)/1440),1,0)</f>
        <v>1</v>
      </c>
      <c r="Y12" s="2">
        <f>IF(AND(VLOOKUP(Y$1,test!$A$3:$F$32,5,FALSE) - VLOOKUP($B12,test!$A$3:$G$32,6,FALSE) &gt;= (test!$B$33)/1440),1,0)</f>
        <v>1</v>
      </c>
      <c r="Z12" s="2">
        <f>IF(AND(VLOOKUP(Z$1,test!$A$3:$F$32,5,FALSE) - VLOOKUP($B12,test!$A$3:$G$32,6,FALSE) &gt;= (test!$B$33)/1440),1,0)</f>
        <v>0</v>
      </c>
      <c r="AA12" s="2">
        <f>IF(AND(VLOOKUP(AA$1,test!$A$3:$F$32,5,FALSE) - VLOOKUP($B12,test!$A$3:$G$32,6,FALSE) &gt;= (test!$B$33)/1440),1,0)</f>
        <v>0</v>
      </c>
      <c r="AB12" s="2">
        <f>IF(AND(VLOOKUP(AB$1,test!$A$3:$F$32,5,FALSE) - VLOOKUP($B12,test!$A$3:$G$32,6,FALSE) &gt;= (test!$B$33)/1440),1,0)</f>
        <v>0</v>
      </c>
      <c r="AC12" s="2">
        <f>IF(AND(VLOOKUP(AC$1,test!$A$3:$F$32,5,FALSE) - VLOOKUP($B12,test!$A$3:$G$32,6,FALSE) &gt;= (test!$B$33)/1440),1,0)</f>
        <v>1</v>
      </c>
      <c r="AD12" s="2">
        <f>IF(AND(VLOOKUP(AD$1,test!$A$3:$F$32,5,FALSE) - VLOOKUP($B12,test!$A$3:$G$32,6,FALSE) &gt;= (test!$B$33)/1440),1,0)</f>
        <v>1</v>
      </c>
      <c r="AE12" s="2">
        <f>IF(AND(VLOOKUP(AE$1,test!$A$3:$F$32,5,FALSE) - VLOOKUP($B12,test!$A$3:$G$32,6,FALSE) &gt;= (test!$B$33)/1440),1,0)</f>
        <v>0</v>
      </c>
      <c r="AF12" s="2">
        <f>IF(AND(VLOOKUP(AF$1,test!$A$3:$F$32,5,FALSE) - VLOOKUP($B12,test!$A$3:$G$32,6,FALSE) &gt;= (test!$B$33)/1440),1,0)</f>
        <v>0</v>
      </c>
      <c r="AG12" s="2">
        <f>IF(AND(VLOOKUP(AG$1,test!$A$3:$F$32,5,FALSE) - VLOOKUP($B12,test!$A$3:$G$32,6,FALSE) &gt;= (test!$B$33)/1440),1,0)</f>
        <v>0</v>
      </c>
    </row>
    <row r="13" spans="1:34" x14ac:dyDescent="0.25">
      <c r="A13" t="s">
        <v>49</v>
      </c>
      <c r="B13" t="s">
        <v>21</v>
      </c>
      <c r="C13">
        <v>0</v>
      </c>
      <c r="D13" s="2">
        <f>IF(AND(VLOOKUP(D$1,test!$A$3:$F$32,5,FALSE) - VLOOKUP($B13,test!$A$3:$G$32,6,FALSE) &gt;= (test!$B$33)/1440),1,0)</f>
        <v>0</v>
      </c>
      <c r="E13" s="2">
        <f>IF(AND(VLOOKUP(E$1,test!$A$3:$F$32,5,FALSE) - VLOOKUP($B13,test!$A$3:$G$32,6,FALSE) &gt;= (test!$B$33)/1440),1,0)</f>
        <v>0</v>
      </c>
      <c r="F13" s="2">
        <f>IF(AND(VLOOKUP(F$1,test!$A$3:$F$32,5,FALSE) - VLOOKUP($B13,test!$A$3:$G$32,6,FALSE) &gt;= (test!$B$33)/1440),1,0)</f>
        <v>0</v>
      </c>
      <c r="G13" s="2">
        <f>IF(AND(VLOOKUP(G$1,test!$A$3:$F$32,5,FALSE) - VLOOKUP($B13,test!$A$3:$G$32,6,FALSE) &gt;= (test!$B$33)/1440),1,0)</f>
        <v>0</v>
      </c>
      <c r="H13" s="2">
        <f>IF(AND(VLOOKUP(H$1,test!$A$3:$F$32,5,FALSE) - VLOOKUP($B13,test!$A$3:$G$32,6,FALSE) &gt;= (test!$B$33)/1440),1,0)</f>
        <v>0</v>
      </c>
      <c r="I13" s="2">
        <f>IF(AND(VLOOKUP(I$1,test!$A$3:$F$32,5,FALSE) - VLOOKUP($B13,test!$A$3:$G$32,6,FALSE) &gt;= (test!$B$33)/1440),1,0)</f>
        <v>1</v>
      </c>
      <c r="J13" s="2">
        <f>IF(AND(VLOOKUP(J$1,test!$A$3:$F$32,5,FALSE) - VLOOKUP($B13,test!$A$3:$G$32,6,FALSE) &gt;= (test!$B$33)/1440),1,0)</f>
        <v>1</v>
      </c>
      <c r="K13" s="2">
        <f>IF(AND(VLOOKUP(K$1,test!$A$3:$F$32,5,FALSE) - VLOOKUP($B13,test!$A$3:$G$32,6,FALSE) &gt;= (test!$B$33)/1440),1,0)</f>
        <v>1</v>
      </c>
      <c r="L13" s="2">
        <f>IF(AND(VLOOKUP(L$1,test!$A$3:$F$32,5,FALSE) - VLOOKUP($B13,test!$A$3:$G$32,6,FALSE) &gt;= (test!$B$33)/1440),1,0)</f>
        <v>0</v>
      </c>
      <c r="M13" s="2">
        <f>IF(AND(VLOOKUP(M$1,test!$A$3:$F$32,5,FALSE) - VLOOKUP($B13,test!$A$3:$G$32,6,FALSE) &gt;= (test!$B$33)/1440),1,0)</f>
        <v>0</v>
      </c>
      <c r="N13" s="2">
        <f>IF(AND(VLOOKUP(N$1,test!$A$3:$F$32,5,FALSE) - VLOOKUP($B13,test!$A$3:$G$32,6,FALSE) &gt;= (test!$B$33)/1440),1,0)</f>
        <v>0</v>
      </c>
      <c r="O13" s="2">
        <f>IF(AND(VLOOKUP(O$1,test!$A$3:$F$32,5,FALSE) - VLOOKUP($B13,test!$A$3:$G$32,6,FALSE) &gt;= (test!$B$33)/1440),1,0)</f>
        <v>1</v>
      </c>
      <c r="P13" s="2">
        <f>IF(AND(VLOOKUP(P$1,test!$A$3:$F$32,5,FALSE) - VLOOKUP($B13,test!$A$3:$G$32,6,FALSE) &gt;= (test!$B$33)/1440),1,0)</f>
        <v>1</v>
      </c>
      <c r="Q13" s="2">
        <f>IF(AND(VLOOKUP(Q$1,test!$A$3:$F$32,5,FALSE) - VLOOKUP($B13,test!$A$3:$G$32,6,FALSE) &gt;= (test!$B$33)/1440),1,0)</f>
        <v>0</v>
      </c>
      <c r="R13" s="2">
        <f>IF(AND(VLOOKUP(R$1,test!$A$3:$F$32,5,FALSE) - VLOOKUP($B13,test!$A$3:$G$32,6,FALSE) &gt;= (test!$B$33)/1440),1,0)</f>
        <v>0</v>
      </c>
      <c r="S13" s="2">
        <f>IF(AND(VLOOKUP(S$1,test!$A$3:$F$32,5,FALSE) - VLOOKUP($B13,test!$A$3:$G$32,6,FALSE) &gt;= (test!$B$33)/1440),1,0)</f>
        <v>0</v>
      </c>
      <c r="T13" s="2">
        <f>IF(AND(VLOOKUP(T$1,test!$A$3:$F$32,5,FALSE) - VLOOKUP($B13,test!$A$3:$G$32,6,FALSE) &gt;= (test!$B$33)/1440),1,0)</f>
        <v>0</v>
      </c>
      <c r="U13" s="2">
        <f>IF(AND(VLOOKUP(U$1,test!$A$3:$F$32,5,FALSE) - VLOOKUP($B13,test!$A$3:$G$32,6,FALSE) &gt;= (test!$B$33)/1440),1,0)</f>
        <v>0</v>
      </c>
      <c r="V13" s="2">
        <f>IF(AND(VLOOKUP(V$1,test!$A$3:$F$32,5,FALSE) - VLOOKUP($B13,test!$A$3:$G$32,6,FALSE) &gt;= (test!$B$33)/1440),1,0)</f>
        <v>0</v>
      </c>
      <c r="W13" s="2">
        <f>IF(AND(VLOOKUP(W$1,test!$A$3:$F$32,5,FALSE) - VLOOKUP($B13,test!$A$3:$G$32,6,FALSE) &gt;= (test!$B$33)/1440),1,0)</f>
        <v>0</v>
      </c>
      <c r="X13" s="2">
        <f>IF(AND(VLOOKUP(X$1,test!$A$3:$F$32,5,FALSE) - VLOOKUP($B13,test!$A$3:$G$32,6,FALSE) &gt;= (test!$B$33)/1440),1,0)</f>
        <v>1</v>
      </c>
      <c r="Y13" s="2">
        <f>IF(AND(VLOOKUP(Y$1,test!$A$3:$F$32,5,FALSE) - VLOOKUP($B13,test!$A$3:$G$32,6,FALSE) &gt;= (test!$B$33)/1440),1,0)</f>
        <v>1</v>
      </c>
      <c r="Z13" s="2">
        <f>IF(AND(VLOOKUP(Z$1,test!$A$3:$F$32,5,FALSE) - VLOOKUP($B13,test!$A$3:$G$32,6,FALSE) &gt;= (test!$B$33)/1440),1,0)</f>
        <v>0</v>
      </c>
      <c r="AA13" s="2">
        <f>IF(AND(VLOOKUP(AA$1,test!$A$3:$F$32,5,FALSE) - VLOOKUP($B13,test!$A$3:$G$32,6,FALSE) &gt;= (test!$B$33)/1440),1,0)</f>
        <v>0</v>
      </c>
      <c r="AB13" s="2">
        <f>IF(AND(VLOOKUP(AB$1,test!$A$3:$F$32,5,FALSE) - VLOOKUP($B13,test!$A$3:$G$32,6,FALSE) &gt;= (test!$B$33)/1440),1,0)</f>
        <v>0</v>
      </c>
      <c r="AC13" s="2">
        <f>IF(AND(VLOOKUP(AC$1,test!$A$3:$F$32,5,FALSE) - VLOOKUP($B13,test!$A$3:$G$32,6,FALSE) &gt;= (test!$B$33)/1440),1,0)</f>
        <v>0</v>
      </c>
      <c r="AD13" s="2">
        <f>IF(AND(VLOOKUP(AD$1,test!$A$3:$F$32,5,FALSE) - VLOOKUP($B13,test!$A$3:$G$32,6,FALSE) &gt;= (test!$B$33)/1440),1,0)</f>
        <v>1</v>
      </c>
      <c r="AE13" s="2">
        <f>IF(AND(VLOOKUP(AE$1,test!$A$3:$F$32,5,FALSE) - VLOOKUP($B13,test!$A$3:$G$32,6,FALSE) &gt;= (test!$B$33)/1440),1,0)</f>
        <v>0</v>
      </c>
      <c r="AF13" s="2">
        <f>IF(AND(VLOOKUP(AF$1,test!$A$3:$F$32,5,FALSE) - VLOOKUP($B13,test!$A$3:$G$32,6,FALSE) &gt;= (test!$B$33)/1440),1,0)</f>
        <v>0</v>
      </c>
      <c r="AG13" s="2">
        <f>IF(AND(VLOOKUP(AG$1,test!$A$3:$F$32,5,FALSE) - VLOOKUP($B13,test!$A$3:$G$32,6,FALSE) &gt;= (test!$B$33)/1440),1,0)</f>
        <v>0</v>
      </c>
    </row>
    <row r="14" spans="1:34" x14ac:dyDescent="0.25">
      <c r="A14" t="s">
        <v>49</v>
      </c>
      <c r="B14" t="s">
        <v>22</v>
      </c>
      <c r="C14">
        <v>0</v>
      </c>
      <c r="D14" s="2">
        <f>IF(AND(VLOOKUP(D$1,test!$A$3:$F$32,5,FALSE) - VLOOKUP($B14,test!$A$3:$G$32,6,FALSE) &gt;= (test!$B$33)/1440),1,0)</f>
        <v>0</v>
      </c>
      <c r="E14" s="2">
        <f>IF(AND(VLOOKUP(E$1,test!$A$3:$F$32,5,FALSE) - VLOOKUP($B14,test!$A$3:$G$32,6,FALSE) &gt;= (test!$B$33)/1440),1,0)</f>
        <v>0</v>
      </c>
      <c r="F14" s="2">
        <f>IF(AND(VLOOKUP(F$1,test!$A$3:$F$32,5,FALSE) - VLOOKUP($B14,test!$A$3:$G$32,6,FALSE) &gt;= (test!$B$33)/1440),1,0)</f>
        <v>0</v>
      </c>
      <c r="G14" s="2">
        <f>IF(AND(VLOOKUP(G$1,test!$A$3:$F$32,5,FALSE) - VLOOKUP($B14,test!$A$3:$G$32,6,FALSE) &gt;= (test!$B$33)/1440),1,0)</f>
        <v>0</v>
      </c>
      <c r="H14" s="2">
        <f>IF(AND(VLOOKUP(H$1,test!$A$3:$F$32,5,FALSE) - VLOOKUP($B14,test!$A$3:$G$32,6,FALSE) &gt;= (test!$B$33)/1440),1,0)</f>
        <v>0</v>
      </c>
      <c r="I14" s="2">
        <f>IF(AND(VLOOKUP(I$1,test!$A$3:$F$32,5,FALSE) - VLOOKUP($B14,test!$A$3:$G$32,6,FALSE) &gt;= (test!$B$33)/1440),1,0)</f>
        <v>0</v>
      </c>
      <c r="J14" s="2">
        <f>IF(AND(VLOOKUP(J$1,test!$A$3:$F$32,5,FALSE) - VLOOKUP($B14,test!$A$3:$G$32,6,FALSE) &gt;= (test!$B$33)/1440),1,0)</f>
        <v>0</v>
      </c>
      <c r="K14" s="2">
        <f>IF(AND(VLOOKUP(K$1,test!$A$3:$F$32,5,FALSE) - VLOOKUP($B14,test!$A$3:$G$32,6,FALSE) &gt;= (test!$B$33)/1440),1,0)</f>
        <v>0</v>
      </c>
      <c r="L14" s="2">
        <f>IF(AND(VLOOKUP(L$1,test!$A$3:$F$32,5,FALSE) - VLOOKUP($B14,test!$A$3:$G$32,6,FALSE) &gt;= (test!$B$33)/1440),1,0)</f>
        <v>0</v>
      </c>
      <c r="M14" s="2">
        <f>IF(AND(VLOOKUP(M$1,test!$A$3:$F$32,5,FALSE) - VLOOKUP($B14,test!$A$3:$G$32,6,FALSE) &gt;= (test!$B$33)/1440),1,0)</f>
        <v>0</v>
      </c>
      <c r="N14" s="2">
        <f>IF(AND(VLOOKUP(N$1,test!$A$3:$F$32,5,FALSE) - VLOOKUP($B14,test!$A$3:$G$32,6,FALSE) &gt;= (test!$B$33)/1440),1,0)</f>
        <v>0</v>
      </c>
      <c r="O14" s="2">
        <f>IF(AND(VLOOKUP(O$1,test!$A$3:$F$32,5,FALSE) - VLOOKUP($B14,test!$A$3:$G$32,6,FALSE) &gt;= (test!$B$33)/1440),1,0)</f>
        <v>0</v>
      </c>
      <c r="P14" s="2">
        <f>IF(AND(VLOOKUP(P$1,test!$A$3:$F$32,5,FALSE) - VLOOKUP($B14,test!$A$3:$G$32,6,FALSE) &gt;= (test!$B$33)/1440),1,0)</f>
        <v>0</v>
      </c>
      <c r="Q14" s="2">
        <f>IF(AND(VLOOKUP(Q$1,test!$A$3:$F$32,5,FALSE) - VLOOKUP($B14,test!$A$3:$G$32,6,FALSE) &gt;= (test!$B$33)/1440),1,0)</f>
        <v>0</v>
      </c>
      <c r="R14" s="2">
        <f>IF(AND(VLOOKUP(R$1,test!$A$3:$F$32,5,FALSE) - VLOOKUP($B14,test!$A$3:$G$32,6,FALSE) &gt;= (test!$B$33)/1440),1,0)</f>
        <v>0</v>
      </c>
      <c r="S14" s="2">
        <f>IF(AND(VLOOKUP(S$1,test!$A$3:$F$32,5,FALSE) - VLOOKUP($B14,test!$A$3:$G$32,6,FALSE) &gt;= (test!$B$33)/1440),1,0)</f>
        <v>0</v>
      </c>
      <c r="T14" s="2">
        <f>IF(AND(VLOOKUP(T$1,test!$A$3:$F$32,5,FALSE) - VLOOKUP($B14,test!$A$3:$G$32,6,FALSE) &gt;= (test!$B$33)/1440),1,0)</f>
        <v>0</v>
      </c>
      <c r="U14" s="2">
        <f>IF(AND(VLOOKUP(U$1,test!$A$3:$F$32,5,FALSE) - VLOOKUP($B14,test!$A$3:$G$32,6,FALSE) &gt;= (test!$B$33)/1440),1,0)</f>
        <v>0</v>
      </c>
      <c r="V14" s="2">
        <f>IF(AND(VLOOKUP(V$1,test!$A$3:$F$32,5,FALSE) - VLOOKUP($B14,test!$A$3:$G$32,6,FALSE) &gt;= (test!$B$33)/1440),1,0)</f>
        <v>0</v>
      </c>
      <c r="W14" s="2">
        <f>IF(AND(VLOOKUP(W$1,test!$A$3:$F$32,5,FALSE) - VLOOKUP($B14,test!$A$3:$G$32,6,FALSE) &gt;= (test!$B$33)/1440),1,0)</f>
        <v>0</v>
      </c>
      <c r="X14" s="2">
        <f>IF(AND(VLOOKUP(X$1,test!$A$3:$F$32,5,FALSE) - VLOOKUP($B14,test!$A$3:$G$32,6,FALSE) &gt;= (test!$B$33)/1440),1,0)</f>
        <v>0</v>
      </c>
      <c r="Y14" s="2">
        <f>IF(AND(VLOOKUP(Y$1,test!$A$3:$F$32,5,FALSE) - VLOOKUP($B14,test!$A$3:$G$32,6,FALSE) &gt;= (test!$B$33)/1440),1,0)</f>
        <v>0</v>
      </c>
      <c r="Z14" s="2">
        <f>IF(AND(VLOOKUP(Z$1,test!$A$3:$F$32,5,FALSE) - VLOOKUP($B14,test!$A$3:$G$32,6,FALSE) &gt;= (test!$B$33)/1440),1,0)</f>
        <v>0</v>
      </c>
      <c r="AA14" s="2">
        <f>IF(AND(VLOOKUP(AA$1,test!$A$3:$F$32,5,FALSE) - VLOOKUP($B14,test!$A$3:$G$32,6,FALSE) &gt;= (test!$B$33)/1440),1,0)</f>
        <v>0</v>
      </c>
      <c r="AB14" s="2">
        <f>IF(AND(VLOOKUP(AB$1,test!$A$3:$F$32,5,FALSE) - VLOOKUP($B14,test!$A$3:$G$32,6,FALSE) &gt;= (test!$B$33)/1440),1,0)</f>
        <v>0</v>
      </c>
      <c r="AC14" s="2">
        <f>IF(AND(VLOOKUP(AC$1,test!$A$3:$F$32,5,FALSE) - VLOOKUP($B14,test!$A$3:$G$32,6,FALSE) &gt;= (test!$B$33)/1440),1,0)</f>
        <v>0</v>
      </c>
      <c r="AD14" s="2">
        <f>IF(AND(VLOOKUP(AD$1,test!$A$3:$F$32,5,FALSE) - VLOOKUP($B14,test!$A$3:$G$32,6,FALSE) &gt;= (test!$B$33)/1440),1,0)</f>
        <v>0</v>
      </c>
      <c r="AE14" s="2">
        <f>IF(AND(VLOOKUP(AE$1,test!$A$3:$F$32,5,FALSE) - VLOOKUP($B14,test!$A$3:$G$32,6,FALSE) &gt;= (test!$B$33)/1440),1,0)</f>
        <v>0</v>
      </c>
      <c r="AF14" s="2">
        <f>IF(AND(VLOOKUP(AF$1,test!$A$3:$F$32,5,FALSE) - VLOOKUP($B14,test!$A$3:$G$32,6,FALSE) &gt;= (test!$B$33)/1440),1,0)</f>
        <v>0</v>
      </c>
      <c r="AG14" s="2">
        <f>IF(AND(VLOOKUP(AG$1,test!$A$3:$F$32,5,FALSE) - VLOOKUP($B14,test!$A$3:$G$32,6,FALSE) &gt;= (test!$B$33)/1440),1,0)</f>
        <v>0</v>
      </c>
    </row>
    <row r="15" spans="1:34" x14ac:dyDescent="0.25">
      <c r="A15" t="s">
        <v>49</v>
      </c>
      <c r="B15" t="s">
        <v>23</v>
      </c>
      <c r="C15">
        <v>0</v>
      </c>
      <c r="D15" s="2">
        <f>IF(AND(VLOOKUP(D$1,test!$A$3:$F$32,5,FALSE) - VLOOKUP($B15,test!$A$3:$G$32,6,FALSE) &gt;= (test!$B$33)/1440),1,0)</f>
        <v>0</v>
      </c>
      <c r="E15" s="2">
        <f>IF(AND(VLOOKUP(E$1,test!$A$3:$F$32,5,FALSE) - VLOOKUP($B15,test!$A$3:$G$32,6,FALSE) &gt;= (test!$B$33)/1440),1,0)</f>
        <v>0</v>
      </c>
      <c r="F15" s="2">
        <f>IF(AND(VLOOKUP(F$1,test!$A$3:$F$32,5,FALSE) - VLOOKUP($B15,test!$A$3:$G$32,6,FALSE) &gt;= (test!$B$33)/1440),1,0)</f>
        <v>0</v>
      </c>
      <c r="G15" s="2">
        <f>IF(AND(VLOOKUP(G$1,test!$A$3:$F$32,5,FALSE) - VLOOKUP($B15,test!$A$3:$G$32,6,FALSE) &gt;= (test!$B$33)/1440),1,0)</f>
        <v>0</v>
      </c>
      <c r="H15" s="2">
        <f>IF(AND(VLOOKUP(H$1,test!$A$3:$F$32,5,FALSE) - VLOOKUP($B15,test!$A$3:$G$32,6,FALSE) &gt;= (test!$B$33)/1440),1,0)</f>
        <v>0</v>
      </c>
      <c r="I15" s="2">
        <f>IF(AND(VLOOKUP(I$1,test!$A$3:$F$32,5,FALSE) - VLOOKUP($B15,test!$A$3:$G$32,6,FALSE) &gt;= (test!$B$33)/1440),1,0)</f>
        <v>0</v>
      </c>
      <c r="J15" s="2">
        <f>IF(AND(VLOOKUP(J$1,test!$A$3:$F$32,5,FALSE) - VLOOKUP($B15,test!$A$3:$G$32,6,FALSE) &gt;= (test!$B$33)/1440),1,0)</f>
        <v>0</v>
      </c>
      <c r="K15" s="2">
        <f>IF(AND(VLOOKUP(K$1,test!$A$3:$F$32,5,FALSE) - VLOOKUP($B15,test!$A$3:$G$32,6,FALSE) &gt;= (test!$B$33)/1440),1,0)</f>
        <v>0</v>
      </c>
      <c r="L15" s="2">
        <f>IF(AND(VLOOKUP(L$1,test!$A$3:$F$32,5,FALSE) - VLOOKUP($B15,test!$A$3:$G$32,6,FALSE) &gt;= (test!$B$33)/1440),1,0)</f>
        <v>0</v>
      </c>
      <c r="M15" s="2">
        <f>IF(AND(VLOOKUP(M$1,test!$A$3:$F$32,5,FALSE) - VLOOKUP($B15,test!$A$3:$G$32,6,FALSE) &gt;= (test!$B$33)/1440),1,0)</f>
        <v>0</v>
      </c>
      <c r="N15" s="2">
        <f>IF(AND(VLOOKUP(N$1,test!$A$3:$F$32,5,FALSE) - VLOOKUP($B15,test!$A$3:$G$32,6,FALSE) &gt;= (test!$B$33)/1440),1,0)</f>
        <v>0</v>
      </c>
      <c r="O15" s="2">
        <f>IF(AND(VLOOKUP(O$1,test!$A$3:$F$32,5,FALSE) - VLOOKUP($B15,test!$A$3:$G$32,6,FALSE) &gt;= (test!$B$33)/1440),1,0)</f>
        <v>0</v>
      </c>
      <c r="P15" s="2">
        <f>IF(AND(VLOOKUP(P$1,test!$A$3:$F$32,5,FALSE) - VLOOKUP($B15,test!$A$3:$G$32,6,FALSE) &gt;= (test!$B$33)/1440),1,0)</f>
        <v>0</v>
      </c>
      <c r="Q15" s="2">
        <f>IF(AND(VLOOKUP(Q$1,test!$A$3:$F$32,5,FALSE) - VLOOKUP($B15,test!$A$3:$G$32,6,FALSE) &gt;= (test!$B$33)/1440),1,0)</f>
        <v>0</v>
      </c>
      <c r="R15" s="2">
        <f>IF(AND(VLOOKUP(R$1,test!$A$3:$F$32,5,FALSE) - VLOOKUP($B15,test!$A$3:$G$32,6,FALSE) &gt;= (test!$B$33)/1440),1,0)</f>
        <v>0</v>
      </c>
      <c r="S15" s="2">
        <f>IF(AND(VLOOKUP(S$1,test!$A$3:$F$32,5,FALSE) - VLOOKUP($B15,test!$A$3:$G$32,6,FALSE) &gt;= (test!$B$33)/1440),1,0)</f>
        <v>0</v>
      </c>
      <c r="T15" s="2">
        <f>IF(AND(VLOOKUP(T$1,test!$A$3:$F$32,5,FALSE) - VLOOKUP($B15,test!$A$3:$G$32,6,FALSE) &gt;= (test!$B$33)/1440),1,0)</f>
        <v>0</v>
      </c>
      <c r="U15" s="2">
        <f>IF(AND(VLOOKUP(U$1,test!$A$3:$F$32,5,FALSE) - VLOOKUP($B15,test!$A$3:$G$32,6,FALSE) &gt;= (test!$B$33)/1440),1,0)</f>
        <v>0</v>
      </c>
      <c r="V15" s="2">
        <f>IF(AND(VLOOKUP(V$1,test!$A$3:$F$32,5,FALSE) - VLOOKUP($B15,test!$A$3:$G$32,6,FALSE) &gt;= (test!$B$33)/1440),1,0)</f>
        <v>0</v>
      </c>
      <c r="W15" s="2">
        <f>IF(AND(VLOOKUP(W$1,test!$A$3:$F$32,5,FALSE) - VLOOKUP($B15,test!$A$3:$G$32,6,FALSE) &gt;= (test!$B$33)/1440),1,0)</f>
        <v>0</v>
      </c>
      <c r="X15" s="2">
        <f>IF(AND(VLOOKUP(X$1,test!$A$3:$F$32,5,FALSE) - VLOOKUP($B15,test!$A$3:$G$32,6,FALSE) &gt;= (test!$B$33)/1440),1,0)</f>
        <v>0</v>
      </c>
      <c r="Y15" s="2">
        <f>IF(AND(VLOOKUP(Y$1,test!$A$3:$F$32,5,FALSE) - VLOOKUP($B15,test!$A$3:$G$32,6,FALSE) &gt;= (test!$B$33)/1440),1,0)</f>
        <v>0</v>
      </c>
      <c r="Z15" s="2">
        <f>IF(AND(VLOOKUP(Z$1,test!$A$3:$F$32,5,FALSE) - VLOOKUP($B15,test!$A$3:$G$32,6,FALSE) &gt;= (test!$B$33)/1440),1,0)</f>
        <v>0</v>
      </c>
      <c r="AA15" s="2">
        <f>IF(AND(VLOOKUP(AA$1,test!$A$3:$F$32,5,FALSE) - VLOOKUP($B15,test!$A$3:$G$32,6,FALSE) &gt;= (test!$B$33)/1440),1,0)</f>
        <v>0</v>
      </c>
      <c r="AB15" s="2">
        <f>IF(AND(VLOOKUP(AB$1,test!$A$3:$F$32,5,FALSE) - VLOOKUP($B15,test!$A$3:$G$32,6,FALSE) &gt;= (test!$B$33)/1440),1,0)</f>
        <v>0</v>
      </c>
      <c r="AC15" s="2">
        <f>IF(AND(VLOOKUP(AC$1,test!$A$3:$F$32,5,FALSE) - VLOOKUP($B15,test!$A$3:$G$32,6,FALSE) &gt;= (test!$B$33)/1440),1,0)</f>
        <v>0</v>
      </c>
      <c r="AD15" s="2">
        <f>IF(AND(VLOOKUP(AD$1,test!$A$3:$F$32,5,FALSE) - VLOOKUP($B15,test!$A$3:$G$32,6,FALSE) &gt;= (test!$B$33)/1440),1,0)</f>
        <v>0</v>
      </c>
      <c r="AE15" s="2">
        <f>IF(AND(VLOOKUP(AE$1,test!$A$3:$F$32,5,FALSE) - VLOOKUP($B15,test!$A$3:$G$32,6,FALSE) &gt;= (test!$B$33)/1440),1,0)</f>
        <v>0</v>
      </c>
      <c r="AF15" s="2">
        <f>IF(AND(VLOOKUP(AF$1,test!$A$3:$F$32,5,FALSE) - VLOOKUP($B15,test!$A$3:$G$32,6,FALSE) &gt;= (test!$B$33)/1440),1,0)</f>
        <v>0</v>
      </c>
      <c r="AG15" s="2">
        <f>IF(AND(VLOOKUP(AG$1,test!$A$3:$F$32,5,FALSE) - VLOOKUP($B15,test!$A$3:$G$32,6,FALSE) &gt;= (test!$B$33)/1440),1,0)</f>
        <v>0</v>
      </c>
    </row>
    <row r="16" spans="1:34" x14ac:dyDescent="0.25">
      <c r="A16" t="s">
        <v>49</v>
      </c>
      <c r="B16" t="s">
        <v>24</v>
      </c>
      <c r="C16">
        <v>0</v>
      </c>
      <c r="D16" s="2">
        <f>IF(AND(VLOOKUP(D$1,test!$A$3:$F$32,5,FALSE) - VLOOKUP($B16,test!$A$3:$G$32,6,FALSE) &gt;= (test!$B$33)/1440),1,0)</f>
        <v>0</v>
      </c>
      <c r="E16" s="2">
        <f>IF(AND(VLOOKUP(E$1,test!$A$3:$F$32,5,FALSE) - VLOOKUP($B16,test!$A$3:$G$32,6,FALSE) &gt;= (test!$B$33)/1440),1,0)</f>
        <v>0</v>
      </c>
      <c r="F16" s="2">
        <f>IF(AND(VLOOKUP(F$1,test!$A$3:$F$32,5,FALSE) - VLOOKUP($B16,test!$A$3:$G$32,6,FALSE) &gt;= (test!$B$33)/1440),1,0)</f>
        <v>1</v>
      </c>
      <c r="G16" s="2">
        <f>IF(AND(VLOOKUP(G$1,test!$A$3:$F$32,5,FALSE) - VLOOKUP($B16,test!$A$3:$G$32,6,FALSE) &gt;= (test!$B$33)/1440),1,0)</f>
        <v>1</v>
      </c>
      <c r="H16" s="2">
        <f>IF(AND(VLOOKUP(H$1,test!$A$3:$F$32,5,FALSE) - VLOOKUP($B16,test!$A$3:$G$32,6,FALSE) &gt;= (test!$B$33)/1440),1,0)</f>
        <v>1</v>
      </c>
      <c r="I16" s="2">
        <f>IF(AND(VLOOKUP(I$1,test!$A$3:$F$32,5,FALSE) - VLOOKUP($B16,test!$A$3:$G$32,6,FALSE) &gt;= (test!$B$33)/1440),1,0)</f>
        <v>1</v>
      </c>
      <c r="J16" s="2">
        <f>IF(AND(VLOOKUP(J$1,test!$A$3:$F$32,5,FALSE) - VLOOKUP($B16,test!$A$3:$G$32,6,FALSE) &gt;= (test!$B$33)/1440),1,0)</f>
        <v>1</v>
      </c>
      <c r="K16" s="2">
        <f>IF(AND(VLOOKUP(K$1,test!$A$3:$F$32,5,FALSE) - VLOOKUP($B16,test!$A$3:$G$32,6,FALSE) &gt;= (test!$B$33)/1440),1,0)</f>
        <v>1</v>
      </c>
      <c r="L16" s="2">
        <f>IF(AND(VLOOKUP(L$1,test!$A$3:$F$32,5,FALSE) - VLOOKUP($B16,test!$A$3:$G$32,6,FALSE) &gt;= (test!$B$33)/1440),1,0)</f>
        <v>0</v>
      </c>
      <c r="M16" s="2">
        <f>IF(AND(VLOOKUP(M$1,test!$A$3:$F$32,5,FALSE) - VLOOKUP($B16,test!$A$3:$G$32,6,FALSE) &gt;= (test!$B$33)/1440),1,0)</f>
        <v>0</v>
      </c>
      <c r="N16" s="2">
        <f>IF(AND(VLOOKUP(N$1,test!$A$3:$F$32,5,FALSE) - VLOOKUP($B16,test!$A$3:$G$32,6,FALSE) &gt;= (test!$B$33)/1440),1,0)</f>
        <v>0</v>
      </c>
      <c r="O16" s="2">
        <f>IF(AND(VLOOKUP(O$1,test!$A$3:$F$32,5,FALSE) - VLOOKUP($B16,test!$A$3:$G$32,6,FALSE) &gt;= (test!$B$33)/1440),1,0)</f>
        <v>1</v>
      </c>
      <c r="P16" s="2">
        <f>IF(AND(VLOOKUP(P$1,test!$A$3:$F$32,5,FALSE) - VLOOKUP($B16,test!$A$3:$G$32,6,FALSE) &gt;= (test!$B$33)/1440),1,0)</f>
        <v>1</v>
      </c>
      <c r="Q16" s="2">
        <f>IF(AND(VLOOKUP(Q$1,test!$A$3:$F$32,5,FALSE) - VLOOKUP($B16,test!$A$3:$G$32,6,FALSE) &gt;= (test!$B$33)/1440),1,0)</f>
        <v>0</v>
      </c>
      <c r="R16" s="2">
        <f>IF(AND(VLOOKUP(R$1,test!$A$3:$F$32,5,FALSE) - VLOOKUP($B16,test!$A$3:$G$32,6,FALSE) &gt;= (test!$B$33)/1440),1,0)</f>
        <v>0</v>
      </c>
      <c r="S16" s="2">
        <f>IF(AND(VLOOKUP(S$1,test!$A$3:$F$32,5,FALSE) - VLOOKUP($B16,test!$A$3:$G$32,6,FALSE) &gt;= (test!$B$33)/1440),1,0)</f>
        <v>0</v>
      </c>
      <c r="T16" s="2">
        <f>IF(AND(VLOOKUP(T$1,test!$A$3:$F$32,5,FALSE) - VLOOKUP($B16,test!$A$3:$G$32,6,FALSE) &gt;= (test!$B$33)/1440),1,0)</f>
        <v>0</v>
      </c>
      <c r="U16" s="2">
        <f>IF(AND(VLOOKUP(U$1,test!$A$3:$F$32,5,FALSE) - VLOOKUP($B16,test!$A$3:$G$32,6,FALSE) &gt;= (test!$B$33)/1440),1,0)</f>
        <v>0</v>
      </c>
      <c r="V16" s="2">
        <f>IF(AND(VLOOKUP(V$1,test!$A$3:$F$32,5,FALSE) - VLOOKUP($B16,test!$A$3:$G$32,6,FALSE) &gt;= (test!$B$33)/1440),1,0)</f>
        <v>1</v>
      </c>
      <c r="W16" s="2">
        <f>IF(AND(VLOOKUP(W$1,test!$A$3:$F$32,5,FALSE) - VLOOKUP($B16,test!$A$3:$G$32,6,FALSE) &gt;= (test!$B$33)/1440),1,0)</f>
        <v>1</v>
      </c>
      <c r="X16" s="2">
        <f>IF(AND(VLOOKUP(X$1,test!$A$3:$F$32,5,FALSE) - VLOOKUP($B16,test!$A$3:$G$32,6,FALSE) &gt;= (test!$B$33)/1440),1,0)</f>
        <v>1</v>
      </c>
      <c r="Y16" s="2">
        <f>IF(AND(VLOOKUP(Y$1,test!$A$3:$F$32,5,FALSE) - VLOOKUP($B16,test!$A$3:$G$32,6,FALSE) &gt;= (test!$B$33)/1440),1,0)</f>
        <v>1</v>
      </c>
      <c r="Z16" s="2">
        <f>IF(AND(VLOOKUP(Z$1,test!$A$3:$F$32,5,FALSE) - VLOOKUP($B16,test!$A$3:$G$32,6,FALSE) &gt;= (test!$B$33)/1440),1,0)</f>
        <v>0</v>
      </c>
      <c r="AA16" s="2">
        <f>IF(AND(VLOOKUP(AA$1,test!$A$3:$F$32,5,FALSE) - VLOOKUP($B16,test!$A$3:$G$32,6,FALSE) &gt;= (test!$B$33)/1440),1,0)</f>
        <v>0</v>
      </c>
      <c r="AB16" s="2">
        <f>IF(AND(VLOOKUP(AB$1,test!$A$3:$F$32,5,FALSE) - VLOOKUP($B16,test!$A$3:$G$32,6,FALSE) &gt;= (test!$B$33)/1440),1,0)</f>
        <v>1</v>
      </c>
      <c r="AC16" s="2">
        <f>IF(AND(VLOOKUP(AC$1,test!$A$3:$F$32,5,FALSE) - VLOOKUP($B16,test!$A$3:$G$32,6,FALSE) &gt;= (test!$B$33)/1440),1,0)</f>
        <v>1</v>
      </c>
      <c r="AD16" s="2">
        <f>IF(AND(VLOOKUP(AD$1,test!$A$3:$F$32,5,FALSE) - VLOOKUP($B16,test!$A$3:$G$32,6,FALSE) &gt;= (test!$B$33)/1440),1,0)</f>
        <v>1</v>
      </c>
      <c r="AE16" s="2">
        <f>IF(AND(VLOOKUP(AE$1,test!$A$3:$F$32,5,FALSE) - VLOOKUP($B16,test!$A$3:$G$32,6,FALSE) &gt;= (test!$B$33)/1440),1,0)</f>
        <v>0</v>
      </c>
      <c r="AF16" s="2">
        <f>IF(AND(VLOOKUP(AF$1,test!$A$3:$F$32,5,FALSE) - VLOOKUP($B16,test!$A$3:$G$32,6,FALSE) &gt;= (test!$B$33)/1440),1,0)</f>
        <v>1</v>
      </c>
      <c r="AG16" s="2">
        <f>IF(AND(VLOOKUP(AG$1,test!$A$3:$F$32,5,FALSE) - VLOOKUP($B16,test!$A$3:$G$32,6,FALSE) &gt;= (test!$B$33)/1440),1,0)</f>
        <v>0</v>
      </c>
    </row>
    <row r="17" spans="1:33" x14ac:dyDescent="0.25">
      <c r="A17" t="s">
        <v>49</v>
      </c>
      <c r="B17" t="s">
        <v>26</v>
      </c>
      <c r="C17">
        <v>0</v>
      </c>
      <c r="D17" s="2">
        <f>IF(AND(VLOOKUP(D$1,test!$A$3:$F$32,5,FALSE) - VLOOKUP($B17,test!$A$3:$G$32,6,FALSE) &gt;= (test!$B$33)/1440),1,0)</f>
        <v>0</v>
      </c>
      <c r="E17" s="2">
        <f>IF(AND(VLOOKUP(E$1,test!$A$3:$F$32,5,FALSE) - VLOOKUP($B17,test!$A$3:$G$32,6,FALSE) &gt;= (test!$B$33)/1440),1,0)</f>
        <v>1</v>
      </c>
      <c r="F17" s="2">
        <f>IF(AND(VLOOKUP(F$1,test!$A$3:$F$32,5,FALSE) - VLOOKUP($B17,test!$A$3:$G$32,6,FALSE) &gt;= (test!$B$33)/1440),1,0)</f>
        <v>1</v>
      </c>
      <c r="G17" s="2">
        <f>IF(AND(VLOOKUP(G$1,test!$A$3:$F$32,5,FALSE) - VLOOKUP($B17,test!$A$3:$G$32,6,FALSE) &gt;= (test!$B$33)/1440),1,0)</f>
        <v>1</v>
      </c>
      <c r="H17" s="2">
        <f>IF(AND(VLOOKUP(H$1,test!$A$3:$F$32,5,FALSE) - VLOOKUP($B17,test!$A$3:$G$32,6,FALSE) &gt;= (test!$B$33)/1440),1,0)</f>
        <v>1</v>
      </c>
      <c r="I17" s="2">
        <f>IF(AND(VLOOKUP(I$1,test!$A$3:$F$32,5,FALSE) - VLOOKUP($B17,test!$A$3:$G$32,6,FALSE) &gt;= (test!$B$33)/1440),1,0)</f>
        <v>1</v>
      </c>
      <c r="J17" s="2">
        <f>IF(AND(VLOOKUP(J$1,test!$A$3:$F$32,5,FALSE) - VLOOKUP($B17,test!$A$3:$G$32,6,FALSE) &gt;= (test!$B$33)/1440),1,0)</f>
        <v>1</v>
      </c>
      <c r="K17" s="2">
        <f>IF(AND(VLOOKUP(K$1,test!$A$3:$F$32,5,FALSE) - VLOOKUP($B17,test!$A$3:$G$32,6,FALSE) &gt;= (test!$B$33)/1440),1,0)</f>
        <v>1</v>
      </c>
      <c r="L17" s="2">
        <f>IF(AND(VLOOKUP(L$1,test!$A$3:$F$32,5,FALSE) - VLOOKUP($B17,test!$A$3:$G$32,6,FALSE) &gt;= (test!$B$33)/1440),1,0)</f>
        <v>0</v>
      </c>
      <c r="M17" s="2">
        <f>IF(AND(VLOOKUP(M$1,test!$A$3:$F$32,5,FALSE) - VLOOKUP($B17,test!$A$3:$G$32,6,FALSE) &gt;= (test!$B$33)/1440),1,0)</f>
        <v>0</v>
      </c>
      <c r="N17" s="2">
        <f>IF(AND(VLOOKUP(N$1,test!$A$3:$F$32,5,FALSE) - VLOOKUP($B17,test!$A$3:$G$32,6,FALSE) &gt;= (test!$B$33)/1440),1,0)</f>
        <v>1</v>
      </c>
      <c r="O17" s="2">
        <f>IF(AND(VLOOKUP(O$1,test!$A$3:$F$32,5,FALSE) - VLOOKUP($B17,test!$A$3:$G$32,6,FALSE) &gt;= (test!$B$33)/1440),1,0)</f>
        <v>1</v>
      </c>
      <c r="P17" s="2">
        <f>IF(AND(VLOOKUP(P$1,test!$A$3:$F$32,5,FALSE) - VLOOKUP($B17,test!$A$3:$G$32,6,FALSE) &gt;= (test!$B$33)/1440),1,0)</f>
        <v>1</v>
      </c>
      <c r="Q17" s="2">
        <f>IF(AND(VLOOKUP(Q$1,test!$A$3:$F$32,5,FALSE) - VLOOKUP($B17,test!$A$3:$G$32,6,FALSE) &gt;= (test!$B$33)/1440),1,0)</f>
        <v>0</v>
      </c>
      <c r="R17" s="2">
        <f>IF(AND(VLOOKUP(R$1,test!$A$3:$F$32,5,FALSE) - VLOOKUP($B17,test!$A$3:$G$32,6,FALSE) &gt;= (test!$B$33)/1440),1,0)</f>
        <v>0</v>
      </c>
      <c r="S17" s="2">
        <f>IF(AND(VLOOKUP(S$1,test!$A$3:$F$32,5,FALSE) - VLOOKUP($B17,test!$A$3:$G$32,6,FALSE) &gt;= (test!$B$33)/1440),1,0)</f>
        <v>0</v>
      </c>
      <c r="T17" s="2">
        <f>IF(AND(VLOOKUP(T$1,test!$A$3:$F$32,5,FALSE) - VLOOKUP($B17,test!$A$3:$G$32,6,FALSE) &gt;= (test!$B$33)/1440),1,0)</f>
        <v>0</v>
      </c>
      <c r="U17" s="2">
        <f>IF(AND(VLOOKUP(U$1,test!$A$3:$F$32,5,FALSE) - VLOOKUP($B17,test!$A$3:$G$32,6,FALSE) &gt;= (test!$B$33)/1440),1,0)</f>
        <v>1</v>
      </c>
      <c r="V17" s="2">
        <f>IF(AND(VLOOKUP(V$1,test!$A$3:$F$32,5,FALSE) - VLOOKUP($B17,test!$A$3:$G$32,6,FALSE) &gt;= (test!$B$33)/1440),1,0)</f>
        <v>1</v>
      </c>
      <c r="W17" s="2">
        <f>IF(AND(VLOOKUP(W$1,test!$A$3:$F$32,5,FALSE) - VLOOKUP($B17,test!$A$3:$G$32,6,FALSE) &gt;= (test!$B$33)/1440),1,0)</f>
        <v>1</v>
      </c>
      <c r="X17" s="2">
        <f>IF(AND(VLOOKUP(X$1,test!$A$3:$F$32,5,FALSE) - VLOOKUP($B17,test!$A$3:$G$32,6,FALSE) &gt;= (test!$B$33)/1440),1,0)</f>
        <v>1</v>
      </c>
      <c r="Y17" s="2">
        <f>IF(AND(VLOOKUP(Y$1,test!$A$3:$F$32,5,FALSE) - VLOOKUP($B17,test!$A$3:$G$32,6,FALSE) &gt;= (test!$B$33)/1440),1,0)</f>
        <v>1</v>
      </c>
      <c r="Z17" s="2">
        <f>IF(AND(VLOOKUP(Z$1,test!$A$3:$F$32,5,FALSE) - VLOOKUP($B17,test!$A$3:$G$32,6,FALSE) &gt;= (test!$B$33)/1440),1,0)</f>
        <v>0</v>
      </c>
      <c r="AA17" s="2">
        <f>IF(AND(VLOOKUP(AA$1,test!$A$3:$F$32,5,FALSE) - VLOOKUP($B17,test!$A$3:$G$32,6,FALSE) &gt;= (test!$B$33)/1440),1,0)</f>
        <v>1</v>
      </c>
      <c r="AB17" s="2">
        <f>IF(AND(VLOOKUP(AB$1,test!$A$3:$F$32,5,FALSE) - VLOOKUP($B17,test!$A$3:$G$32,6,FALSE) &gt;= (test!$B$33)/1440),1,0)</f>
        <v>1</v>
      </c>
      <c r="AC17" s="2">
        <f>IF(AND(VLOOKUP(AC$1,test!$A$3:$F$32,5,FALSE) - VLOOKUP($B17,test!$A$3:$G$32,6,FALSE) &gt;= (test!$B$33)/1440),1,0)</f>
        <v>1</v>
      </c>
      <c r="AD17" s="2">
        <f>IF(AND(VLOOKUP(AD$1,test!$A$3:$F$32,5,FALSE) - VLOOKUP($B17,test!$A$3:$G$32,6,FALSE) &gt;= (test!$B$33)/1440),1,0)</f>
        <v>1</v>
      </c>
      <c r="AE17" s="2">
        <f>IF(AND(VLOOKUP(AE$1,test!$A$3:$F$32,5,FALSE) - VLOOKUP($B17,test!$A$3:$G$32,6,FALSE) &gt;= (test!$B$33)/1440),1,0)</f>
        <v>0</v>
      </c>
      <c r="AF17" s="2">
        <f>IF(AND(VLOOKUP(AF$1,test!$A$3:$F$32,5,FALSE) - VLOOKUP($B17,test!$A$3:$G$32,6,FALSE) &gt;= (test!$B$33)/1440),1,0)</f>
        <v>1</v>
      </c>
      <c r="AG17" s="2">
        <f>IF(AND(VLOOKUP(AG$1,test!$A$3:$F$32,5,FALSE) - VLOOKUP($B17,test!$A$3:$G$32,6,FALSE) &gt;= (test!$B$33)/1440),1,0)</f>
        <v>1</v>
      </c>
    </row>
    <row r="18" spans="1:33" x14ac:dyDescent="0.25">
      <c r="A18" t="s">
        <v>49</v>
      </c>
      <c r="B18" t="s">
        <v>27</v>
      </c>
      <c r="C18">
        <v>0</v>
      </c>
      <c r="D18" s="2">
        <f>IF(AND(VLOOKUP(D$1,test!$A$3:$F$32,5,FALSE) - VLOOKUP($B18,test!$A$3:$G$32,6,FALSE) &gt;= (test!$B$33)/1440),1,0)</f>
        <v>0</v>
      </c>
      <c r="E18" s="2">
        <f>IF(AND(VLOOKUP(E$1,test!$A$3:$F$32,5,FALSE) - VLOOKUP($B18,test!$A$3:$G$32,6,FALSE) &gt;= (test!$B$33)/1440),1,0)</f>
        <v>0</v>
      </c>
      <c r="F18" s="2">
        <f>IF(AND(VLOOKUP(F$1,test!$A$3:$F$32,5,FALSE) - VLOOKUP($B18,test!$A$3:$G$32,6,FALSE) &gt;= (test!$B$33)/1440),1,0)</f>
        <v>1</v>
      </c>
      <c r="G18" s="2">
        <f>IF(AND(VLOOKUP(G$1,test!$A$3:$F$32,5,FALSE) - VLOOKUP($B18,test!$A$3:$G$32,6,FALSE) &gt;= (test!$B$33)/1440),1,0)</f>
        <v>1</v>
      </c>
      <c r="H18" s="2">
        <f>IF(AND(VLOOKUP(H$1,test!$A$3:$F$32,5,FALSE) - VLOOKUP($B18,test!$A$3:$G$32,6,FALSE) &gt;= (test!$B$33)/1440),1,0)</f>
        <v>1</v>
      </c>
      <c r="I18" s="2">
        <f>IF(AND(VLOOKUP(I$1,test!$A$3:$F$32,5,FALSE) - VLOOKUP($B18,test!$A$3:$G$32,6,FALSE) &gt;= (test!$B$33)/1440),1,0)</f>
        <v>1</v>
      </c>
      <c r="J18" s="2">
        <f>IF(AND(VLOOKUP(J$1,test!$A$3:$F$32,5,FALSE) - VLOOKUP($B18,test!$A$3:$G$32,6,FALSE) &gt;= (test!$B$33)/1440),1,0)</f>
        <v>1</v>
      </c>
      <c r="K18" s="2">
        <f>IF(AND(VLOOKUP(K$1,test!$A$3:$F$32,5,FALSE) - VLOOKUP($B18,test!$A$3:$G$32,6,FALSE) &gt;= (test!$B$33)/1440),1,0)</f>
        <v>1</v>
      </c>
      <c r="L18" s="2">
        <f>IF(AND(VLOOKUP(L$1,test!$A$3:$F$32,5,FALSE) - VLOOKUP($B18,test!$A$3:$G$32,6,FALSE) &gt;= (test!$B$33)/1440),1,0)</f>
        <v>0</v>
      </c>
      <c r="M18" s="2">
        <f>IF(AND(VLOOKUP(M$1,test!$A$3:$F$32,5,FALSE) - VLOOKUP($B18,test!$A$3:$G$32,6,FALSE) &gt;= (test!$B$33)/1440),1,0)</f>
        <v>0</v>
      </c>
      <c r="N18" s="2">
        <f>IF(AND(VLOOKUP(N$1,test!$A$3:$F$32,5,FALSE) - VLOOKUP($B18,test!$A$3:$G$32,6,FALSE) &gt;= (test!$B$33)/1440),1,0)</f>
        <v>0</v>
      </c>
      <c r="O18" s="2">
        <f>IF(AND(VLOOKUP(O$1,test!$A$3:$F$32,5,FALSE) - VLOOKUP($B18,test!$A$3:$G$32,6,FALSE) &gt;= (test!$B$33)/1440),1,0)</f>
        <v>1</v>
      </c>
      <c r="P18" s="2">
        <f>IF(AND(VLOOKUP(P$1,test!$A$3:$F$32,5,FALSE) - VLOOKUP($B18,test!$A$3:$G$32,6,FALSE) &gt;= (test!$B$33)/1440),1,0)</f>
        <v>1</v>
      </c>
      <c r="Q18" s="2">
        <f>IF(AND(VLOOKUP(Q$1,test!$A$3:$F$32,5,FALSE) - VLOOKUP($B18,test!$A$3:$G$32,6,FALSE) &gt;= (test!$B$33)/1440),1,0)</f>
        <v>0</v>
      </c>
      <c r="R18" s="2">
        <f>IF(AND(VLOOKUP(R$1,test!$A$3:$F$32,5,FALSE) - VLOOKUP($B18,test!$A$3:$G$32,6,FALSE) &gt;= (test!$B$33)/1440),1,0)</f>
        <v>0</v>
      </c>
      <c r="S18" s="2">
        <f>IF(AND(VLOOKUP(S$1,test!$A$3:$F$32,5,FALSE) - VLOOKUP($B18,test!$A$3:$G$32,6,FALSE) &gt;= (test!$B$33)/1440),1,0)</f>
        <v>0</v>
      </c>
      <c r="T18" s="2">
        <f>IF(AND(VLOOKUP(T$1,test!$A$3:$F$32,5,FALSE) - VLOOKUP($B18,test!$A$3:$G$32,6,FALSE) &gt;= (test!$B$33)/1440),1,0)</f>
        <v>0</v>
      </c>
      <c r="U18" s="2">
        <f>IF(AND(VLOOKUP(U$1,test!$A$3:$F$32,5,FALSE) - VLOOKUP($B18,test!$A$3:$G$32,6,FALSE) &gt;= (test!$B$33)/1440),1,0)</f>
        <v>0</v>
      </c>
      <c r="V18" s="2">
        <f>IF(AND(VLOOKUP(V$1,test!$A$3:$F$32,5,FALSE) - VLOOKUP($B18,test!$A$3:$G$32,6,FALSE) &gt;= (test!$B$33)/1440),1,0)</f>
        <v>1</v>
      </c>
      <c r="W18" s="2">
        <f>IF(AND(VLOOKUP(W$1,test!$A$3:$F$32,5,FALSE) - VLOOKUP($B18,test!$A$3:$G$32,6,FALSE) &gt;= (test!$B$33)/1440),1,0)</f>
        <v>1</v>
      </c>
      <c r="X18" s="2">
        <f>IF(AND(VLOOKUP(X$1,test!$A$3:$F$32,5,FALSE) - VLOOKUP($B18,test!$A$3:$G$32,6,FALSE) &gt;= (test!$B$33)/1440),1,0)</f>
        <v>1</v>
      </c>
      <c r="Y18" s="2">
        <f>IF(AND(VLOOKUP(Y$1,test!$A$3:$F$32,5,FALSE) - VLOOKUP($B18,test!$A$3:$G$32,6,FALSE) &gt;= (test!$B$33)/1440),1,0)</f>
        <v>1</v>
      </c>
      <c r="Z18" s="2">
        <f>IF(AND(VLOOKUP(Z$1,test!$A$3:$F$32,5,FALSE) - VLOOKUP($B18,test!$A$3:$G$32,6,FALSE) &gt;= (test!$B$33)/1440),1,0)</f>
        <v>0</v>
      </c>
      <c r="AA18" s="2">
        <f>IF(AND(VLOOKUP(AA$1,test!$A$3:$F$32,5,FALSE) - VLOOKUP($B18,test!$A$3:$G$32,6,FALSE) &gt;= (test!$B$33)/1440),1,0)</f>
        <v>0</v>
      </c>
      <c r="AB18" s="2">
        <f>IF(AND(VLOOKUP(AB$1,test!$A$3:$F$32,5,FALSE) - VLOOKUP($B18,test!$A$3:$G$32,6,FALSE) &gt;= (test!$B$33)/1440),1,0)</f>
        <v>1</v>
      </c>
      <c r="AC18" s="2">
        <f>IF(AND(VLOOKUP(AC$1,test!$A$3:$F$32,5,FALSE) - VLOOKUP($B18,test!$A$3:$G$32,6,FALSE) &gt;= (test!$B$33)/1440),1,0)</f>
        <v>1</v>
      </c>
      <c r="AD18" s="2">
        <f>IF(AND(VLOOKUP(AD$1,test!$A$3:$F$32,5,FALSE) - VLOOKUP($B18,test!$A$3:$G$32,6,FALSE) &gt;= (test!$B$33)/1440),1,0)</f>
        <v>1</v>
      </c>
      <c r="AE18" s="2">
        <f>IF(AND(VLOOKUP(AE$1,test!$A$3:$F$32,5,FALSE) - VLOOKUP($B18,test!$A$3:$G$32,6,FALSE) &gt;= (test!$B$33)/1440),1,0)</f>
        <v>0</v>
      </c>
      <c r="AF18" s="2">
        <f>IF(AND(VLOOKUP(AF$1,test!$A$3:$F$32,5,FALSE) - VLOOKUP($B18,test!$A$3:$G$32,6,FALSE) &gt;= (test!$B$33)/1440),1,0)</f>
        <v>1</v>
      </c>
      <c r="AG18" s="2">
        <f>IF(AND(VLOOKUP(AG$1,test!$A$3:$F$32,5,FALSE) - VLOOKUP($B18,test!$A$3:$G$32,6,FALSE) &gt;= (test!$B$33)/1440),1,0)</f>
        <v>0</v>
      </c>
    </row>
    <row r="19" spans="1:33" x14ac:dyDescent="0.25">
      <c r="A19" t="s">
        <v>49</v>
      </c>
      <c r="B19" t="s">
        <v>28</v>
      </c>
      <c r="C19">
        <v>0</v>
      </c>
      <c r="D19" s="2">
        <f>IF(AND(VLOOKUP(D$1,test!$A$3:$F$32,5,FALSE) - VLOOKUP($B19,test!$A$3:$G$32,6,FALSE) &gt;= (test!$B$33)/1440),1,0)</f>
        <v>0</v>
      </c>
      <c r="E19" s="2">
        <f>IF(AND(VLOOKUP(E$1,test!$A$3:$F$32,5,FALSE) - VLOOKUP($B19,test!$A$3:$G$32,6,FALSE) &gt;= (test!$B$33)/1440),1,0)</f>
        <v>0</v>
      </c>
      <c r="F19" s="2">
        <f>IF(AND(VLOOKUP(F$1,test!$A$3:$F$32,5,FALSE) - VLOOKUP($B19,test!$A$3:$G$32,6,FALSE) &gt;= (test!$B$33)/1440),1,0)</f>
        <v>0</v>
      </c>
      <c r="G19" s="2">
        <f>IF(AND(VLOOKUP(G$1,test!$A$3:$F$32,5,FALSE) - VLOOKUP($B19,test!$A$3:$G$32,6,FALSE) &gt;= (test!$B$33)/1440),1,0)</f>
        <v>1</v>
      </c>
      <c r="H19" s="2">
        <f>IF(AND(VLOOKUP(H$1,test!$A$3:$F$32,5,FALSE) - VLOOKUP($B19,test!$A$3:$G$32,6,FALSE) &gt;= (test!$B$33)/1440),1,0)</f>
        <v>1</v>
      </c>
      <c r="I19" s="2">
        <f>IF(AND(VLOOKUP(I$1,test!$A$3:$F$32,5,FALSE) - VLOOKUP($B19,test!$A$3:$G$32,6,FALSE) &gt;= (test!$B$33)/1440),1,0)</f>
        <v>1</v>
      </c>
      <c r="J19" s="2">
        <f>IF(AND(VLOOKUP(J$1,test!$A$3:$F$32,5,FALSE) - VLOOKUP($B19,test!$A$3:$G$32,6,FALSE) &gt;= (test!$B$33)/1440),1,0)</f>
        <v>1</v>
      </c>
      <c r="K19" s="2">
        <f>IF(AND(VLOOKUP(K$1,test!$A$3:$F$32,5,FALSE) - VLOOKUP($B19,test!$A$3:$G$32,6,FALSE) &gt;= (test!$B$33)/1440),1,0)</f>
        <v>1</v>
      </c>
      <c r="L19" s="2">
        <f>IF(AND(VLOOKUP(L$1,test!$A$3:$F$32,5,FALSE) - VLOOKUP($B19,test!$A$3:$G$32,6,FALSE) &gt;= (test!$B$33)/1440),1,0)</f>
        <v>0</v>
      </c>
      <c r="M19" s="2">
        <f>IF(AND(VLOOKUP(M$1,test!$A$3:$F$32,5,FALSE) - VLOOKUP($B19,test!$A$3:$G$32,6,FALSE) &gt;= (test!$B$33)/1440),1,0)</f>
        <v>0</v>
      </c>
      <c r="N19" s="2">
        <f>IF(AND(VLOOKUP(N$1,test!$A$3:$F$32,5,FALSE) - VLOOKUP($B19,test!$A$3:$G$32,6,FALSE) &gt;= (test!$B$33)/1440),1,0)</f>
        <v>0</v>
      </c>
      <c r="O19" s="2">
        <f>IF(AND(VLOOKUP(O$1,test!$A$3:$F$32,5,FALSE) - VLOOKUP($B19,test!$A$3:$G$32,6,FALSE) &gt;= (test!$B$33)/1440),1,0)</f>
        <v>1</v>
      </c>
      <c r="P19" s="2">
        <f>IF(AND(VLOOKUP(P$1,test!$A$3:$F$32,5,FALSE) - VLOOKUP($B19,test!$A$3:$G$32,6,FALSE) &gt;= (test!$B$33)/1440),1,0)</f>
        <v>1</v>
      </c>
      <c r="Q19" s="2">
        <f>IF(AND(VLOOKUP(Q$1,test!$A$3:$F$32,5,FALSE) - VLOOKUP($B19,test!$A$3:$G$32,6,FALSE) &gt;= (test!$B$33)/1440),1,0)</f>
        <v>0</v>
      </c>
      <c r="R19" s="2">
        <f>IF(AND(VLOOKUP(R$1,test!$A$3:$F$32,5,FALSE) - VLOOKUP($B19,test!$A$3:$G$32,6,FALSE) &gt;= (test!$B$33)/1440),1,0)</f>
        <v>0</v>
      </c>
      <c r="S19" s="2">
        <f>IF(AND(VLOOKUP(S$1,test!$A$3:$F$32,5,FALSE) - VLOOKUP($B19,test!$A$3:$G$32,6,FALSE) &gt;= (test!$B$33)/1440),1,0)</f>
        <v>0</v>
      </c>
      <c r="T19" s="2">
        <f>IF(AND(VLOOKUP(T$1,test!$A$3:$F$32,5,FALSE) - VLOOKUP($B19,test!$A$3:$G$32,6,FALSE) &gt;= (test!$B$33)/1440),1,0)</f>
        <v>0</v>
      </c>
      <c r="U19" s="2">
        <f>IF(AND(VLOOKUP(U$1,test!$A$3:$F$32,5,FALSE) - VLOOKUP($B19,test!$A$3:$G$32,6,FALSE) &gt;= (test!$B$33)/1440),1,0)</f>
        <v>0</v>
      </c>
      <c r="V19" s="2">
        <f>IF(AND(VLOOKUP(V$1,test!$A$3:$F$32,5,FALSE) - VLOOKUP($B19,test!$A$3:$G$32,6,FALSE) &gt;= (test!$B$33)/1440),1,0)</f>
        <v>0</v>
      </c>
      <c r="W19" s="2">
        <f>IF(AND(VLOOKUP(W$1,test!$A$3:$F$32,5,FALSE) - VLOOKUP($B19,test!$A$3:$G$32,6,FALSE) &gt;= (test!$B$33)/1440),1,0)</f>
        <v>1</v>
      </c>
      <c r="X19" s="2">
        <f>IF(AND(VLOOKUP(X$1,test!$A$3:$F$32,5,FALSE) - VLOOKUP($B19,test!$A$3:$G$32,6,FALSE) &gt;= (test!$B$33)/1440),1,0)</f>
        <v>1</v>
      </c>
      <c r="Y19" s="2">
        <f>IF(AND(VLOOKUP(Y$1,test!$A$3:$F$32,5,FALSE) - VLOOKUP($B19,test!$A$3:$G$32,6,FALSE) &gt;= (test!$B$33)/1440),1,0)</f>
        <v>1</v>
      </c>
      <c r="Z19" s="2">
        <f>IF(AND(VLOOKUP(Z$1,test!$A$3:$F$32,5,FALSE) - VLOOKUP($B19,test!$A$3:$G$32,6,FALSE) &gt;= (test!$B$33)/1440),1,0)</f>
        <v>0</v>
      </c>
      <c r="AA19" s="2">
        <f>IF(AND(VLOOKUP(AA$1,test!$A$3:$F$32,5,FALSE) - VLOOKUP($B19,test!$A$3:$G$32,6,FALSE) &gt;= (test!$B$33)/1440),1,0)</f>
        <v>0</v>
      </c>
      <c r="AB19" s="2">
        <f>IF(AND(VLOOKUP(AB$1,test!$A$3:$F$32,5,FALSE) - VLOOKUP($B19,test!$A$3:$G$32,6,FALSE) &gt;= (test!$B$33)/1440),1,0)</f>
        <v>0</v>
      </c>
      <c r="AC19" s="2">
        <f>IF(AND(VLOOKUP(AC$1,test!$A$3:$F$32,5,FALSE) - VLOOKUP($B19,test!$A$3:$G$32,6,FALSE) &gt;= (test!$B$33)/1440),1,0)</f>
        <v>1</v>
      </c>
      <c r="AD19" s="2">
        <f>IF(AND(VLOOKUP(AD$1,test!$A$3:$F$32,5,FALSE) - VLOOKUP($B19,test!$A$3:$G$32,6,FALSE) &gt;= (test!$B$33)/1440),1,0)</f>
        <v>1</v>
      </c>
      <c r="AE19" s="2">
        <f>IF(AND(VLOOKUP(AE$1,test!$A$3:$F$32,5,FALSE) - VLOOKUP($B19,test!$A$3:$G$32,6,FALSE) &gt;= (test!$B$33)/1440),1,0)</f>
        <v>0</v>
      </c>
      <c r="AF19" s="2">
        <f>IF(AND(VLOOKUP(AF$1,test!$A$3:$F$32,5,FALSE) - VLOOKUP($B19,test!$A$3:$G$32,6,FALSE) &gt;= (test!$B$33)/1440),1,0)</f>
        <v>0</v>
      </c>
      <c r="AG19" s="2">
        <f>IF(AND(VLOOKUP(AG$1,test!$A$3:$F$32,5,FALSE) - VLOOKUP($B19,test!$A$3:$G$32,6,FALSE) &gt;= (test!$B$33)/1440),1,0)</f>
        <v>0</v>
      </c>
    </row>
    <row r="20" spans="1:33" x14ac:dyDescent="0.25">
      <c r="A20" t="s">
        <v>49</v>
      </c>
      <c r="B20" t="s">
        <v>29</v>
      </c>
      <c r="C20">
        <v>0</v>
      </c>
      <c r="D20" s="2">
        <f>IF(AND(VLOOKUP(D$1,test!$A$3:$F$32,5,FALSE) - VLOOKUP($B20,test!$A$3:$G$32,6,FALSE) &gt;= (test!$B$33)/1440),1,0)</f>
        <v>0</v>
      </c>
      <c r="E20" s="2">
        <f>IF(AND(VLOOKUP(E$1,test!$A$3:$F$32,5,FALSE) - VLOOKUP($B20,test!$A$3:$G$32,6,FALSE) &gt;= (test!$B$33)/1440),1,0)</f>
        <v>0</v>
      </c>
      <c r="F20" s="2">
        <f>IF(AND(VLOOKUP(F$1,test!$A$3:$F$32,5,FALSE) - VLOOKUP($B20,test!$A$3:$G$32,6,FALSE) &gt;= (test!$B$33)/1440),1,0)</f>
        <v>0</v>
      </c>
      <c r="G20" s="2">
        <f>IF(AND(VLOOKUP(G$1,test!$A$3:$F$32,5,FALSE) - VLOOKUP($B20,test!$A$3:$G$32,6,FALSE) &gt;= (test!$B$33)/1440),1,0)</f>
        <v>0</v>
      </c>
      <c r="H20" s="2">
        <f>IF(AND(VLOOKUP(H$1,test!$A$3:$F$32,5,FALSE) - VLOOKUP($B20,test!$A$3:$G$32,6,FALSE) &gt;= (test!$B$33)/1440),1,0)</f>
        <v>0</v>
      </c>
      <c r="I20" s="2">
        <f>IF(AND(VLOOKUP(I$1,test!$A$3:$F$32,5,FALSE) - VLOOKUP($B20,test!$A$3:$G$32,6,FALSE) &gt;= (test!$B$33)/1440),1,0)</f>
        <v>1</v>
      </c>
      <c r="J20" s="2">
        <f>IF(AND(VLOOKUP(J$1,test!$A$3:$F$32,5,FALSE) - VLOOKUP($B20,test!$A$3:$G$32,6,FALSE) &gt;= (test!$B$33)/1440),1,0)</f>
        <v>1</v>
      </c>
      <c r="K20" s="2">
        <f>IF(AND(VLOOKUP(K$1,test!$A$3:$F$32,5,FALSE) - VLOOKUP($B20,test!$A$3:$G$32,6,FALSE) &gt;= (test!$B$33)/1440),1,0)</f>
        <v>1</v>
      </c>
      <c r="L20" s="2">
        <f>IF(AND(VLOOKUP(L$1,test!$A$3:$F$32,5,FALSE) - VLOOKUP($B20,test!$A$3:$G$32,6,FALSE) &gt;= (test!$B$33)/1440),1,0)</f>
        <v>0</v>
      </c>
      <c r="M20" s="2">
        <f>IF(AND(VLOOKUP(M$1,test!$A$3:$F$32,5,FALSE) - VLOOKUP($B20,test!$A$3:$G$32,6,FALSE) &gt;= (test!$B$33)/1440),1,0)</f>
        <v>0</v>
      </c>
      <c r="N20" s="2">
        <f>IF(AND(VLOOKUP(N$1,test!$A$3:$F$32,5,FALSE) - VLOOKUP($B20,test!$A$3:$G$32,6,FALSE) &gt;= (test!$B$33)/1440),1,0)</f>
        <v>0</v>
      </c>
      <c r="O20" s="2">
        <f>IF(AND(VLOOKUP(O$1,test!$A$3:$F$32,5,FALSE) - VLOOKUP($B20,test!$A$3:$G$32,6,FALSE) &gt;= (test!$B$33)/1440),1,0)</f>
        <v>1</v>
      </c>
      <c r="P20" s="2">
        <f>IF(AND(VLOOKUP(P$1,test!$A$3:$F$32,5,FALSE) - VLOOKUP($B20,test!$A$3:$G$32,6,FALSE) &gt;= (test!$B$33)/1440),1,0)</f>
        <v>1</v>
      </c>
      <c r="Q20" s="2">
        <f>IF(AND(VLOOKUP(Q$1,test!$A$3:$F$32,5,FALSE) - VLOOKUP($B20,test!$A$3:$G$32,6,FALSE) &gt;= (test!$B$33)/1440),1,0)</f>
        <v>0</v>
      </c>
      <c r="R20" s="2">
        <f>IF(AND(VLOOKUP(R$1,test!$A$3:$F$32,5,FALSE) - VLOOKUP($B20,test!$A$3:$G$32,6,FALSE) &gt;= (test!$B$33)/1440),1,0)</f>
        <v>0</v>
      </c>
      <c r="S20" s="2">
        <f>IF(AND(VLOOKUP(S$1,test!$A$3:$F$32,5,FALSE) - VLOOKUP($B20,test!$A$3:$G$32,6,FALSE) &gt;= (test!$B$33)/1440),1,0)</f>
        <v>0</v>
      </c>
      <c r="T20" s="2">
        <f>IF(AND(VLOOKUP(T$1,test!$A$3:$F$32,5,FALSE) - VLOOKUP($B20,test!$A$3:$G$32,6,FALSE) &gt;= (test!$B$33)/1440),1,0)</f>
        <v>0</v>
      </c>
      <c r="U20" s="2">
        <f>IF(AND(VLOOKUP(U$1,test!$A$3:$F$32,5,FALSE) - VLOOKUP($B20,test!$A$3:$G$32,6,FALSE) &gt;= (test!$B$33)/1440),1,0)</f>
        <v>0</v>
      </c>
      <c r="V20" s="2">
        <f>IF(AND(VLOOKUP(V$1,test!$A$3:$F$32,5,FALSE) - VLOOKUP($B20,test!$A$3:$G$32,6,FALSE) &gt;= (test!$B$33)/1440),1,0)</f>
        <v>0</v>
      </c>
      <c r="W20" s="2">
        <f>IF(AND(VLOOKUP(W$1,test!$A$3:$F$32,5,FALSE) - VLOOKUP($B20,test!$A$3:$G$32,6,FALSE) &gt;= (test!$B$33)/1440),1,0)</f>
        <v>0</v>
      </c>
      <c r="X20" s="2">
        <f>IF(AND(VLOOKUP(X$1,test!$A$3:$F$32,5,FALSE) - VLOOKUP($B20,test!$A$3:$G$32,6,FALSE) &gt;= (test!$B$33)/1440),1,0)</f>
        <v>1</v>
      </c>
      <c r="Y20" s="2">
        <f>IF(AND(VLOOKUP(Y$1,test!$A$3:$F$32,5,FALSE) - VLOOKUP($B20,test!$A$3:$G$32,6,FALSE) &gt;= (test!$B$33)/1440),1,0)</f>
        <v>1</v>
      </c>
      <c r="Z20" s="2">
        <f>IF(AND(VLOOKUP(Z$1,test!$A$3:$F$32,5,FALSE) - VLOOKUP($B20,test!$A$3:$G$32,6,FALSE) &gt;= (test!$B$33)/1440),1,0)</f>
        <v>0</v>
      </c>
      <c r="AA20" s="2">
        <f>IF(AND(VLOOKUP(AA$1,test!$A$3:$F$32,5,FALSE) - VLOOKUP($B20,test!$A$3:$G$32,6,FALSE) &gt;= (test!$B$33)/1440),1,0)</f>
        <v>0</v>
      </c>
      <c r="AB20" s="2">
        <f>IF(AND(VLOOKUP(AB$1,test!$A$3:$F$32,5,FALSE) - VLOOKUP($B20,test!$A$3:$G$32,6,FALSE) &gt;= (test!$B$33)/1440),1,0)</f>
        <v>0</v>
      </c>
      <c r="AC20" s="2">
        <f>IF(AND(VLOOKUP(AC$1,test!$A$3:$F$32,5,FALSE) - VLOOKUP($B20,test!$A$3:$G$32,6,FALSE) &gt;= (test!$B$33)/1440),1,0)</f>
        <v>0</v>
      </c>
      <c r="AD20" s="2">
        <f>IF(AND(VLOOKUP(AD$1,test!$A$3:$F$32,5,FALSE) - VLOOKUP($B20,test!$A$3:$G$32,6,FALSE) &gt;= (test!$B$33)/1440),1,0)</f>
        <v>1</v>
      </c>
      <c r="AE20" s="2">
        <f>IF(AND(VLOOKUP(AE$1,test!$A$3:$F$32,5,FALSE) - VLOOKUP($B20,test!$A$3:$G$32,6,FALSE) &gt;= (test!$B$33)/1440),1,0)</f>
        <v>0</v>
      </c>
      <c r="AF20" s="2">
        <f>IF(AND(VLOOKUP(AF$1,test!$A$3:$F$32,5,FALSE) - VLOOKUP($B20,test!$A$3:$G$32,6,FALSE) &gt;= (test!$B$33)/1440),1,0)</f>
        <v>0</v>
      </c>
      <c r="AG20" s="2">
        <f>IF(AND(VLOOKUP(AG$1,test!$A$3:$F$32,5,FALSE) - VLOOKUP($B20,test!$A$3:$G$32,6,FALSE) &gt;= (test!$B$33)/1440),1,0)</f>
        <v>0</v>
      </c>
    </row>
    <row r="21" spans="1:33" x14ac:dyDescent="0.25">
      <c r="A21" t="s">
        <v>49</v>
      </c>
      <c r="B21" t="s">
        <v>30</v>
      </c>
      <c r="C21">
        <v>0</v>
      </c>
      <c r="D21" s="2">
        <f>IF(AND(VLOOKUP(D$1,test!$A$3:$F$32,5,FALSE) - VLOOKUP($B21,test!$A$3:$G$32,6,FALSE) &gt;= (test!$B$33)/1440),1,0)</f>
        <v>0</v>
      </c>
      <c r="E21" s="2">
        <f>IF(AND(VLOOKUP(E$1,test!$A$3:$F$32,5,FALSE) - VLOOKUP($B21,test!$A$3:$G$32,6,FALSE) &gt;= (test!$B$33)/1440),1,0)</f>
        <v>0</v>
      </c>
      <c r="F21" s="2">
        <f>IF(AND(VLOOKUP(F$1,test!$A$3:$F$32,5,FALSE) - VLOOKUP($B21,test!$A$3:$G$32,6,FALSE) &gt;= (test!$B$33)/1440),1,0)</f>
        <v>0</v>
      </c>
      <c r="G21" s="2">
        <f>IF(AND(VLOOKUP(G$1,test!$A$3:$F$32,5,FALSE) - VLOOKUP($B21,test!$A$3:$G$32,6,FALSE) &gt;= (test!$B$33)/1440),1,0)</f>
        <v>0</v>
      </c>
      <c r="H21" s="2">
        <f>IF(AND(VLOOKUP(H$1,test!$A$3:$F$32,5,FALSE) - VLOOKUP($B21,test!$A$3:$G$32,6,FALSE) &gt;= (test!$B$33)/1440),1,0)</f>
        <v>0</v>
      </c>
      <c r="I21" s="2">
        <f>IF(AND(VLOOKUP(I$1,test!$A$3:$F$32,5,FALSE) - VLOOKUP($B21,test!$A$3:$G$32,6,FALSE) &gt;= (test!$B$33)/1440),1,0)</f>
        <v>0</v>
      </c>
      <c r="J21" s="2">
        <f>IF(AND(VLOOKUP(J$1,test!$A$3:$F$32,5,FALSE) - VLOOKUP($B21,test!$A$3:$G$32,6,FALSE) &gt;= (test!$B$33)/1440),1,0)</f>
        <v>1</v>
      </c>
      <c r="K21" s="2">
        <f>IF(AND(VLOOKUP(K$1,test!$A$3:$F$32,5,FALSE) - VLOOKUP($B21,test!$A$3:$G$32,6,FALSE) &gt;= (test!$B$33)/1440),1,0)</f>
        <v>1</v>
      </c>
      <c r="L21" s="2">
        <f>IF(AND(VLOOKUP(L$1,test!$A$3:$F$32,5,FALSE) - VLOOKUP($B21,test!$A$3:$G$32,6,FALSE) &gt;= (test!$B$33)/1440),1,0)</f>
        <v>0</v>
      </c>
      <c r="M21" s="2">
        <f>IF(AND(VLOOKUP(M$1,test!$A$3:$F$32,5,FALSE) - VLOOKUP($B21,test!$A$3:$G$32,6,FALSE) &gt;= (test!$B$33)/1440),1,0)</f>
        <v>0</v>
      </c>
      <c r="N21" s="2">
        <f>IF(AND(VLOOKUP(N$1,test!$A$3:$F$32,5,FALSE) - VLOOKUP($B21,test!$A$3:$G$32,6,FALSE) &gt;= (test!$B$33)/1440),1,0)</f>
        <v>0</v>
      </c>
      <c r="O21" s="2">
        <f>IF(AND(VLOOKUP(O$1,test!$A$3:$F$32,5,FALSE) - VLOOKUP($B21,test!$A$3:$G$32,6,FALSE) &gt;= (test!$B$33)/1440),1,0)</f>
        <v>1</v>
      </c>
      <c r="P21" s="2">
        <f>IF(AND(VLOOKUP(P$1,test!$A$3:$F$32,5,FALSE) - VLOOKUP($B21,test!$A$3:$G$32,6,FALSE) &gt;= (test!$B$33)/1440),1,0)</f>
        <v>1</v>
      </c>
      <c r="Q21" s="2">
        <f>IF(AND(VLOOKUP(Q$1,test!$A$3:$F$32,5,FALSE) - VLOOKUP($B21,test!$A$3:$G$32,6,FALSE) &gt;= (test!$B$33)/1440),1,0)</f>
        <v>0</v>
      </c>
      <c r="R21" s="2">
        <f>IF(AND(VLOOKUP(R$1,test!$A$3:$F$32,5,FALSE) - VLOOKUP($B21,test!$A$3:$G$32,6,FALSE) &gt;= (test!$B$33)/1440),1,0)</f>
        <v>0</v>
      </c>
      <c r="S21" s="2">
        <f>IF(AND(VLOOKUP(S$1,test!$A$3:$F$32,5,FALSE) - VLOOKUP($B21,test!$A$3:$G$32,6,FALSE) &gt;= (test!$B$33)/1440),1,0)</f>
        <v>0</v>
      </c>
      <c r="T21" s="2">
        <f>IF(AND(VLOOKUP(T$1,test!$A$3:$F$32,5,FALSE) - VLOOKUP($B21,test!$A$3:$G$32,6,FALSE) &gt;= (test!$B$33)/1440),1,0)</f>
        <v>0</v>
      </c>
      <c r="U21" s="2">
        <f>IF(AND(VLOOKUP(U$1,test!$A$3:$F$32,5,FALSE) - VLOOKUP($B21,test!$A$3:$G$32,6,FALSE) &gt;= (test!$B$33)/1440),1,0)</f>
        <v>0</v>
      </c>
      <c r="V21" s="2">
        <f>IF(AND(VLOOKUP(V$1,test!$A$3:$F$32,5,FALSE) - VLOOKUP($B21,test!$A$3:$G$32,6,FALSE) &gt;= (test!$B$33)/1440),1,0)</f>
        <v>0</v>
      </c>
      <c r="W21" s="2">
        <f>IF(AND(VLOOKUP(W$1,test!$A$3:$F$32,5,FALSE) - VLOOKUP($B21,test!$A$3:$G$32,6,FALSE) &gt;= (test!$B$33)/1440),1,0)</f>
        <v>0</v>
      </c>
      <c r="X21" s="2">
        <f>IF(AND(VLOOKUP(X$1,test!$A$3:$F$32,5,FALSE) - VLOOKUP($B21,test!$A$3:$G$32,6,FALSE) &gt;= (test!$B$33)/1440),1,0)</f>
        <v>0</v>
      </c>
      <c r="Y21" s="2">
        <f>IF(AND(VLOOKUP(Y$1,test!$A$3:$F$32,5,FALSE) - VLOOKUP($B21,test!$A$3:$G$32,6,FALSE) &gt;= (test!$B$33)/1440),1,0)</f>
        <v>1</v>
      </c>
      <c r="Z21" s="2">
        <f>IF(AND(VLOOKUP(Z$1,test!$A$3:$F$32,5,FALSE) - VLOOKUP($B21,test!$A$3:$G$32,6,FALSE) &gt;= (test!$B$33)/1440),1,0)</f>
        <v>0</v>
      </c>
      <c r="AA21" s="2">
        <f>IF(AND(VLOOKUP(AA$1,test!$A$3:$F$32,5,FALSE) - VLOOKUP($B21,test!$A$3:$G$32,6,FALSE) &gt;= (test!$B$33)/1440),1,0)</f>
        <v>0</v>
      </c>
      <c r="AB21" s="2">
        <f>IF(AND(VLOOKUP(AB$1,test!$A$3:$F$32,5,FALSE) - VLOOKUP($B21,test!$A$3:$G$32,6,FALSE) &gt;= (test!$B$33)/1440),1,0)</f>
        <v>0</v>
      </c>
      <c r="AC21" s="2">
        <f>IF(AND(VLOOKUP(AC$1,test!$A$3:$F$32,5,FALSE) - VLOOKUP($B21,test!$A$3:$G$32,6,FALSE) &gt;= (test!$B$33)/1440),1,0)</f>
        <v>0</v>
      </c>
      <c r="AD21" s="2">
        <f>IF(AND(VLOOKUP(AD$1,test!$A$3:$F$32,5,FALSE) - VLOOKUP($B21,test!$A$3:$G$32,6,FALSE) &gt;= (test!$B$33)/1440),1,0)</f>
        <v>0</v>
      </c>
      <c r="AE21" s="2">
        <f>IF(AND(VLOOKUP(AE$1,test!$A$3:$F$32,5,FALSE) - VLOOKUP($B21,test!$A$3:$G$32,6,FALSE) &gt;= (test!$B$33)/1440),1,0)</f>
        <v>0</v>
      </c>
      <c r="AF21" s="2">
        <f>IF(AND(VLOOKUP(AF$1,test!$A$3:$F$32,5,FALSE) - VLOOKUP($B21,test!$A$3:$G$32,6,FALSE) &gt;= (test!$B$33)/1440),1,0)</f>
        <v>0</v>
      </c>
      <c r="AG21" s="2">
        <f>IF(AND(VLOOKUP(AG$1,test!$A$3:$F$32,5,FALSE) - VLOOKUP($B21,test!$A$3:$G$32,6,FALSE) &gt;= (test!$B$33)/1440),1,0)</f>
        <v>0</v>
      </c>
    </row>
    <row r="22" spans="1:33" x14ac:dyDescent="0.25">
      <c r="A22" t="s">
        <v>49</v>
      </c>
      <c r="B22" t="s">
        <v>31</v>
      </c>
      <c r="C22">
        <v>0</v>
      </c>
      <c r="D22" s="2">
        <f>IF(AND(VLOOKUP(D$1,test!$A$3:$F$32,5,FALSE) - VLOOKUP($B22,test!$A$3:$G$32,6,FALSE) &gt;= (test!$B$33)/1440),1,0)</f>
        <v>0</v>
      </c>
      <c r="E22" s="2">
        <f>IF(AND(VLOOKUP(E$1,test!$A$3:$F$32,5,FALSE) - VLOOKUP($B22,test!$A$3:$G$32,6,FALSE) &gt;= (test!$B$33)/1440),1,0)</f>
        <v>0</v>
      </c>
      <c r="F22" s="2">
        <f>IF(AND(VLOOKUP(F$1,test!$A$3:$F$32,5,FALSE) - VLOOKUP($B22,test!$A$3:$G$32,6,FALSE) &gt;= (test!$B$33)/1440),1,0)</f>
        <v>0</v>
      </c>
      <c r="G22" s="2">
        <f>IF(AND(VLOOKUP(G$1,test!$A$3:$F$32,5,FALSE) - VLOOKUP($B22,test!$A$3:$G$32,6,FALSE) &gt;= (test!$B$33)/1440),1,0)</f>
        <v>0</v>
      </c>
      <c r="H22" s="2">
        <f>IF(AND(VLOOKUP(H$1,test!$A$3:$F$32,5,FALSE) - VLOOKUP($B22,test!$A$3:$G$32,6,FALSE) &gt;= (test!$B$33)/1440),1,0)</f>
        <v>0</v>
      </c>
      <c r="I22" s="2">
        <f>IF(AND(VLOOKUP(I$1,test!$A$3:$F$32,5,FALSE) - VLOOKUP($B22,test!$A$3:$G$32,6,FALSE) &gt;= (test!$B$33)/1440),1,0)</f>
        <v>0</v>
      </c>
      <c r="J22" s="2">
        <f>IF(AND(VLOOKUP(J$1,test!$A$3:$F$32,5,FALSE) - VLOOKUP($B22,test!$A$3:$G$32,6,FALSE) &gt;= (test!$B$33)/1440),1,0)</f>
        <v>0</v>
      </c>
      <c r="K22" s="2">
        <f>IF(AND(VLOOKUP(K$1,test!$A$3:$F$32,5,FALSE) - VLOOKUP($B22,test!$A$3:$G$32,6,FALSE) &gt;= (test!$B$33)/1440),1,0)</f>
        <v>1</v>
      </c>
      <c r="L22" s="2">
        <f>IF(AND(VLOOKUP(L$1,test!$A$3:$F$32,5,FALSE) - VLOOKUP($B22,test!$A$3:$G$32,6,FALSE) &gt;= (test!$B$33)/1440),1,0)</f>
        <v>0</v>
      </c>
      <c r="M22" s="2">
        <f>IF(AND(VLOOKUP(M$1,test!$A$3:$F$32,5,FALSE) - VLOOKUP($B22,test!$A$3:$G$32,6,FALSE) &gt;= (test!$B$33)/1440),1,0)</f>
        <v>0</v>
      </c>
      <c r="N22" s="2">
        <f>IF(AND(VLOOKUP(N$1,test!$A$3:$F$32,5,FALSE) - VLOOKUP($B22,test!$A$3:$G$32,6,FALSE) &gt;= (test!$B$33)/1440),1,0)</f>
        <v>0</v>
      </c>
      <c r="O22" s="2">
        <f>IF(AND(VLOOKUP(O$1,test!$A$3:$F$32,5,FALSE) - VLOOKUP($B22,test!$A$3:$G$32,6,FALSE) &gt;= (test!$B$33)/1440),1,0)</f>
        <v>0</v>
      </c>
      <c r="P22" s="2">
        <f>IF(AND(VLOOKUP(P$1,test!$A$3:$F$32,5,FALSE) - VLOOKUP($B22,test!$A$3:$G$32,6,FALSE) &gt;= (test!$B$33)/1440),1,0)</f>
        <v>1</v>
      </c>
      <c r="Q22" s="2">
        <f>IF(AND(VLOOKUP(Q$1,test!$A$3:$F$32,5,FALSE) - VLOOKUP($B22,test!$A$3:$G$32,6,FALSE) &gt;= (test!$B$33)/1440),1,0)</f>
        <v>0</v>
      </c>
      <c r="R22" s="2">
        <f>IF(AND(VLOOKUP(R$1,test!$A$3:$F$32,5,FALSE) - VLOOKUP($B22,test!$A$3:$G$32,6,FALSE) &gt;= (test!$B$33)/1440),1,0)</f>
        <v>0</v>
      </c>
      <c r="S22" s="2">
        <f>IF(AND(VLOOKUP(S$1,test!$A$3:$F$32,5,FALSE) - VLOOKUP($B22,test!$A$3:$G$32,6,FALSE) &gt;= (test!$B$33)/1440),1,0)</f>
        <v>0</v>
      </c>
      <c r="T22" s="2">
        <f>IF(AND(VLOOKUP(T$1,test!$A$3:$F$32,5,FALSE) - VLOOKUP($B22,test!$A$3:$G$32,6,FALSE) &gt;= (test!$B$33)/1440),1,0)</f>
        <v>0</v>
      </c>
      <c r="U22" s="2">
        <f>IF(AND(VLOOKUP(U$1,test!$A$3:$F$32,5,FALSE) - VLOOKUP($B22,test!$A$3:$G$32,6,FALSE) &gt;= (test!$B$33)/1440),1,0)</f>
        <v>0</v>
      </c>
      <c r="V22" s="2">
        <f>IF(AND(VLOOKUP(V$1,test!$A$3:$F$32,5,FALSE) - VLOOKUP($B22,test!$A$3:$G$32,6,FALSE) &gt;= (test!$B$33)/1440),1,0)</f>
        <v>0</v>
      </c>
      <c r="W22" s="2">
        <f>IF(AND(VLOOKUP(W$1,test!$A$3:$F$32,5,FALSE) - VLOOKUP($B22,test!$A$3:$G$32,6,FALSE) &gt;= (test!$B$33)/1440),1,0)</f>
        <v>0</v>
      </c>
      <c r="X22" s="2">
        <f>IF(AND(VLOOKUP(X$1,test!$A$3:$F$32,5,FALSE) - VLOOKUP($B22,test!$A$3:$G$32,6,FALSE) &gt;= (test!$B$33)/1440),1,0)</f>
        <v>0</v>
      </c>
      <c r="Y22" s="2">
        <f>IF(AND(VLOOKUP(Y$1,test!$A$3:$F$32,5,FALSE) - VLOOKUP($B22,test!$A$3:$G$32,6,FALSE) &gt;= (test!$B$33)/1440),1,0)</f>
        <v>0</v>
      </c>
      <c r="Z22" s="2">
        <f>IF(AND(VLOOKUP(Z$1,test!$A$3:$F$32,5,FALSE) - VLOOKUP($B22,test!$A$3:$G$32,6,FALSE) &gt;= (test!$B$33)/1440),1,0)</f>
        <v>0</v>
      </c>
      <c r="AA22" s="2">
        <f>IF(AND(VLOOKUP(AA$1,test!$A$3:$F$32,5,FALSE) - VLOOKUP($B22,test!$A$3:$G$32,6,FALSE) &gt;= (test!$B$33)/1440),1,0)</f>
        <v>0</v>
      </c>
      <c r="AB22" s="2">
        <f>IF(AND(VLOOKUP(AB$1,test!$A$3:$F$32,5,FALSE) - VLOOKUP($B22,test!$A$3:$G$32,6,FALSE) &gt;= (test!$B$33)/1440),1,0)</f>
        <v>0</v>
      </c>
      <c r="AC22" s="2">
        <f>IF(AND(VLOOKUP(AC$1,test!$A$3:$F$32,5,FALSE) - VLOOKUP($B22,test!$A$3:$G$32,6,FALSE) &gt;= (test!$B$33)/1440),1,0)</f>
        <v>0</v>
      </c>
      <c r="AD22" s="2">
        <f>IF(AND(VLOOKUP(AD$1,test!$A$3:$F$32,5,FALSE) - VLOOKUP($B22,test!$A$3:$G$32,6,FALSE) &gt;= (test!$B$33)/1440),1,0)</f>
        <v>0</v>
      </c>
      <c r="AE22" s="2">
        <f>IF(AND(VLOOKUP(AE$1,test!$A$3:$F$32,5,FALSE) - VLOOKUP($B22,test!$A$3:$G$32,6,FALSE) &gt;= (test!$B$33)/1440),1,0)</f>
        <v>0</v>
      </c>
      <c r="AF22" s="2">
        <f>IF(AND(VLOOKUP(AF$1,test!$A$3:$F$32,5,FALSE) - VLOOKUP($B22,test!$A$3:$G$32,6,FALSE) &gt;= (test!$B$33)/1440),1,0)</f>
        <v>0</v>
      </c>
      <c r="AG22" s="2">
        <f>IF(AND(VLOOKUP(AG$1,test!$A$3:$F$32,5,FALSE) - VLOOKUP($B22,test!$A$3:$G$32,6,FALSE) &gt;= (test!$B$33)/1440),1,0)</f>
        <v>0</v>
      </c>
    </row>
    <row r="23" spans="1:33" x14ac:dyDescent="0.25">
      <c r="A23" t="s">
        <v>49</v>
      </c>
      <c r="B23" t="s">
        <v>32</v>
      </c>
      <c r="C23">
        <v>0</v>
      </c>
      <c r="D23" s="2">
        <f>IF(AND(VLOOKUP(D$1,test!$A$3:$F$32,5,FALSE) - VLOOKUP($B23,test!$A$3:$G$32,6,FALSE) &gt;= (test!$B$33)/1440),1,0)</f>
        <v>0</v>
      </c>
      <c r="E23" s="2">
        <f>IF(AND(VLOOKUP(E$1,test!$A$3:$F$32,5,FALSE) - VLOOKUP($B23,test!$A$3:$G$32,6,FALSE) &gt;= (test!$B$33)/1440),1,0)</f>
        <v>0</v>
      </c>
      <c r="F23" s="2">
        <f>IF(AND(VLOOKUP(F$1,test!$A$3:$F$32,5,FALSE) - VLOOKUP($B23,test!$A$3:$G$32,6,FALSE) &gt;= (test!$B$33)/1440),1,0)</f>
        <v>0</v>
      </c>
      <c r="G23" s="2">
        <f>IF(AND(VLOOKUP(G$1,test!$A$3:$F$32,5,FALSE) - VLOOKUP($B23,test!$A$3:$G$32,6,FALSE) &gt;= (test!$B$33)/1440),1,0)</f>
        <v>0</v>
      </c>
      <c r="H23" s="2">
        <f>IF(AND(VLOOKUP(H$1,test!$A$3:$F$32,5,FALSE) - VLOOKUP($B23,test!$A$3:$G$32,6,FALSE) &gt;= (test!$B$33)/1440),1,0)</f>
        <v>0</v>
      </c>
      <c r="I23" s="2">
        <f>IF(AND(VLOOKUP(I$1,test!$A$3:$F$32,5,FALSE) - VLOOKUP($B23,test!$A$3:$G$32,6,FALSE) &gt;= (test!$B$33)/1440),1,0)</f>
        <v>0</v>
      </c>
      <c r="J23" s="2">
        <f>IF(AND(VLOOKUP(J$1,test!$A$3:$F$32,5,FALSE) - VLOOKUP($B23,test!$A$3:$G$32,6,FALSE) &gt;= (test!$B$33)/1440),1,0)</f>
        <v>0</v>
      </c>
      <c r="K23" s="2">
        <f>IF(AND(VLOOKUP(K$1,test!$A$3:$F$32,5,FALSE) - VLOOKUP($B23,test!$A$3:$G$32,6,FALSE) &gt;= (test!$B$33)/1440),1,0)</f>
        <v>0</v>
      </c>
      <c r="L23" s="2">
        <f>IF(AND(VLOOKUP(L$1,test!$A$3:$F$32,5,FALSE) - VLOOKUP($B23,test!$A$3:$G$32,6,FALSE) &gt;= (test!$B$33)/1440),1,0)</f>
        <v>0</v>
      </c>
      <c r="M23" s="2">
        <f>IF(AND(VLOOKUP(M$1,test!$A$3:$F$32,5,FALSE) - VLOOKUP($B23,test!$A$3:$G$32,6,FALSE) &gt;= (test!$B$33)/1440),1,0)</f>
        <v>0</v>
      </c>
      <c r="N23" s="2">
        <f>IF(AND(VLOOKUP(N$1,test!$A$3:$F$32,5,FALSE) - VLOOKUP($B23,test!$A$3:$G$32,6,FALSE) &gt;= (test!$B$33)/1440),1,0)</f>
        <v>0</v>
      </c>
      <c r="O23" s="2">
        <f>IF(AND(VLOOKUP(O$1,test!$A$3:$F$32,5,FALSE) - VLOOKUP($B23,test!$A$3:$G$32,6,FALSE) &gt;= (test!$B$33)/1440),1,0)</f>
        <v>0</v>
      </c>
      <c r="P23" s="2">
        <f>IF(AND(VLOOKUP(P$1,test!$A$3:$F$32,5,FALSE) - VLOOKUP($B23,test!$A$3:$G$32,6,FALSE) &gt;= (test!$B$33)/1440),1,0)</f>
        <v>0</v>
      </c>
      <c r="Q23" s="2">
        <f>IF(AND(VLOOKUP(Q$1,test!$A$3:$F$32,5,FALSE) - VLOOKUP($B23,test!$A$3:$G$32,6,FALSE) &gt;= (test!$B$33)/1440),1,0)</f>
        <v>0</v>
      </c>
      <c r="R23" s="2">
        <f>IF(AND(VLOOKUP(R$1,test!$A$3:$F$32,5,FALSE) - VLOOKUP($B23,test!$A$3:$G$32,6,FALSE) &gt;= (test!$B$33)/1440),1,0)</f>
        <v>0</v>
      </c>
      <c r="S23" s="2">
        <f>IF(AND(VLOOKUP(S$1,test!$A$3:$F$32,5,FALSE) - VLOOKUP($B23,test!$A$3:$G$32,6,FALSE) &gt;= (test!$B$33)/1440),1,0)</f>
        <v>0</v>
      </c>
      <c r="T23" s="2">
        <f>IF(AND(VLOOKUP(T$1,test!$A$3:$F$32,5,FALSE) - VLOOKUP($B23,test!$A$3:$G$32,6,FALSE) &gt;= (test!$B$33)/1440),1,0)</f>
        <v>0</v>
      </c>
      <c r="U23" s="2">
        <f>IF(AND(VLOOKUP(U$1,test!$A$3:$F$32,5,FALSE) - VLOOKUP($B23,test!$A$3:$G$32,6,FALSE) &gt;= (test!$B$33)/1440),1,0)</f>
        <v>0</v>
      </c>
      <c r="V23" s="2">
        <f>IF(AND(VLOOKUP(V$1,test!$A$3:$F$32,5,FALSE) - VLOOKUP($B23,test!$A$3:$G$32,6,FALSE) &gt;= (test!$B$33)/1440),1,0)</f>
        <v>0</v>
      </c>
      <c r="W23" s="2">
        <f>IF(AND(VLOOKUP(W$1,test!$A$3:$F$32,5,FALSE) - VLOOKUP($B23,test!$A$3:$G$32,6,FALSE) &gt;= (test!$B$33)/1440),1,0)</f>
        <v>0</v>
      </c>
      <c r="X23" s="2">
        <f>IF(AND(VLOOKUP(X$1,test!$A$3:$F$32,5,FALSE) - VLOOKUP($B23,test!$A$3:$G$32,6,FALSE) &gt;= (test!$B$33)/1440),1,0)</f>
        <v>0</v>
      </c>
      <c r="Y23" s="2">
        <f>IF(AND(VLOOKUP(Y$1,test!$A$3:$F$32,5,FALSE) - VLOOKUP($B23,test!$A$3:$G$32,6,FALSE) &gt;= (test!$B$33)/1440),1,0)</f>
        <v>0</v>
      </c>
      <c r="Z23" s="2">
        <f>IF(AND(VLOOKUP(Z$1,test!$A$3:$F$32,5,FALSE) - VLOOKUP($B23,test!$A$3:$G$32,6,FALSE) &gt;= (test!$B$33)/1440),1,0)</f>
        <v>0</v>
      </c>
      <c r="AA23" s="2">
        <f>IF(AND(VLOOKUP(AA$1,test!$A$3:$F$32,5,FALSE) - VLOOKUP($B23,test!$A$3:$G$32,6,FALSE) &gt;= (test!$B$33)/1440),1,0)</f>
        <v>0</v>
      </c>
      <c r="AB23" s="2">
        <f>IF(AND(VLOOKUP(AB$1,test!$A$3:$F$32,5,FALSE) - VLOOKUP($B23,test!$A$3:$G$32,6,FALSE) &gt;= (test!$B$33)/1440),1,0)</f>
        <v>0</v>
      </c>
      <c r="AC23" s="2">
        <f>IF(AND(VLOOKUP(AC$1,test!$A$3:$F$32,5,FALSE) - VLOOKUP($B23,test!$A$3:$G$32,6,FALSE) &gt;= (test!$B$33)/1440),1,0)</f>
        <v>0</v>
      </c>
      <c r="AD23" s="2">
        <f>IF(AND(VLOOKUP(AD$1,test!$A$3:$F$32,5,FALSE) - VLOOKUP($B23,test!$A$3:$G$32,6,FALSE) &gt;= (test!$B$33)/1440),1,0)</f>
        <v>0</v>
      </c>
      <c r="AE23" s="2">
        <f>IF(AND(VLOOKUP(AE$1,test!$A$3:$F$32,5,FALSE) - VLOOKUP($B23,test!$A$3:$G$32,6,FALSE) &gt;= (test!$B$33)/1440),1,0)</f>
        <v>0</v>
      </c>
      <c r="AF23" s="2">
        <f>IF(AND(VLOOKUP(AF$1,test!$A$3:$F$32,5,FALSE) - VLOOKUP($B23,test!$A$3:$G$32,6,FALSE) &gt;= (test!$B$33)/1440),1,0)</f>
        <v>0</v>
      </c>
      <c r="AG23" s="2">
        <f>IF(AND(VLOOKUP(AG$1,test!$A$3:$F$32,5,FALSE) - VLOOKUP($B23,test!$A$3:$G$32,6,FALSE) &gt;= (test!$B$33)/1440),1,0)</f>
        <v>0</v>
      </c>
    </row>
    <row r="24" spans="1:33" x14ac:dyDescent="0.25">
      <c r="A24" t="s">
        <v>49</v>
      </c>
      <c r="B24" t="s">
        <v>33</v>
      </c>
      <c r="C24">
        <v>0</v>
      </c>
      <c r="D24" s="2">
        <f>IF(AND(VLOOKUP(D$1,test!$A$3:$F$32,5,FALSE) - VLOOKUP($B24,test!$A$3:$G$32,6,FALSE) &gt;= (test!$B$33)/1440),1,0)</f>
        <v>0</v>
      </c>
      <c r="E24" s="2">
        <f>IF(AND(VLOOKUP(E$1,test!$A$3:$F$32,5,FALSE) - VLOOKUP($B24,test!$A$3:$G$32,6,FALSE) &gt;= (test!$B$33)/1440),1,0)</f>
        <v>0</v>
      </c>
      <c r="F24" s="2">
        <f>IF(AND(VLOOKUP(F$1,test!$A$3:$F$32,5,FALSE) - VLOOKUP($B24,test!$A$3:$G$32,6,FALSE) &gt;= (test!$B$33)/1440),1,0)</f>
        <v>0</v>
      </c>
      <c r="G24" s="2">
        <f>IF(AND(VLOOKUP(G$1,test!$A$3:$F$32,5,FALSE) - VLOOKUP($B24,test!$A$3:$G$32,6,FALSE) &gt;= (test!$B$33)/1440),1,0)</f>
        <v>0</v>
      </c>
      <c r="H24" s="2">
        <f>IF(AND(VLOOKUP(H$1,test!$A$3:$F$32,5,FALSE) - VLOOKUP($B24,test!$A$3:$G$32,6,FALSE) &gt;= (test!$B$33)/1440),1,0)</f>
        <v>0</v>
      </c>
      <c r="I24" s="2">
        <f>IF(AND(VLOOKUP(I$1,test!$A$3:$F$32,5,FALSE) - VLOOKUP($B24,test!$A$3:$G$32,6,FALSE) &gt;= (test!$B$33)/1440),1,0)</f>
        <v>0</v>
      </c>
      <c r="J24" s="2">
        <f>IF(AND(VLOOKUP(J$1,test!$A$3:$F$32,5,FALSE) - VLOOKUP($B24,test!$A$3:$G$32,6,FALSE) &gt;= (test!$B$33)/1440),1,0)</f>
        <v>0</v>
      </c>
      <c r="K24" s="2">
        <f>IF(AND(VLOOKUP(K$1,test!$A$3:$F$32,5,FALSE) - VLOOKUP($B24,test!$A$3:$G$32,6,FALSE) &gt;= (test!$B$33)/1440),1,0)</f>
        <v>0</v>
      </c>
      <c r="L24" s="2">
        <f>IF(AND(VLOOKUP(L$1,test!$A$3:$F$32,5,FALSE) - VLOOKUP($B24,test!$A$3:$G$32,6,FALSE) &gt;= (test!$B$33)/1440),1,0)</f>
        <v>0</v>
      </c>
      <c r="M24" s="2">
        <f>IF(AND(VLOOKUP(M$1,test!$A$3:$F$32,5,FALSE) - VLOOKUP($B24,test!$A$3:$G$32,6,FALSE) &gt;= (test!$B$33)/1440),1,0)</f>
        <v>0</v>
      </c>
      <c r="N24" s="2">
        <f>IF(AND(VLOOKUP(N$1,test!$A$3:$F$32,5,FALSE) - VLOOKUP($B24,test!$A$3:$G$32,6,FALSE) &gt;= (test!$B$33)/1440),1,0)</f>
        <v>0</v>
      </c>
      <c r="O24" s="2">
        <f>IF(AND(VLOOKUP(O$1,test!$A$3:$F$32,5,FALSE) - VLOOKUP($B24,test!$A$3:$G$32,6,FALSE) &gt;= (test!$B$33)/1440),1,0)</f>
        <v>0</v>
      </c>
      <c r="P24" s="2">
        <f>IF(AND(VLOOKUP(P$1,test!$A$3:$F$32,5,FALSE) - VLOOKUP($B24,test!$A$3:$G$32,6,FALSE) &gt;= (test!$B$33)/1440),1,0)</f>
        <v>0</v>
      </c>
      <c r="Q24" s="2">
        <f>IF(AND(VLOOKUP(Q$1,test!$A$3:$F$32,5,FALSE) - VLOOKUP($B24,test!$A$3:$G$32,6,FALSE) &gt;= (test!$B$33)/1440),1,0)</f>
        <v>0</v>
      </c>
      <c r="R24" s="2">
        <f>IF(AND(VLOOKUP(R$1,test!$A$3:$F$32,5,FALSE) - VLOOKUP($B24,test!$A$3:$G$32,6,FALSE) &gt;= (test!$B$33)/1440),1,0)</f>
        <v>0</v>
      </c>
      <c r="S24" s="2">
        <f>IF(AND(VLOOKUP(S$1,test!$A$3:$F$32,5,FALSE) - VLOOKUP($B24,test!$A$3:$G$32,6,FALSE) &gt;= (test!$B$33)/1440),1,0)</f>
        <v>0</v>
      </c>
      <c r="T24" s="2">
        <f>IF(AND(VLOOKUP(T$1,test!$A$3:$F$32,5,FALSE) - VLOOKUP($B24,test!$A$3:$G$32,6,FALSE) &gt;= (test!$B$33)/1440),1,0)</f>
        <v>0</v>
      </c>
      <c r="U24" s="2">
        <f>IF(AND(VLOOKUP(U$1,test!$A$3:$F$32,5,FALSE) - VLOOKUP($B24,test!$A$3:$G$32,6,FALSE) &gt;= (test!$B$33)/1440),1,0)</f>
        <v>0</v>
      </c>
      <c r="V24" s="2">
        <f>IF(AND(VLOOKUP(V$1,test!$A$3:$F$32,5,FALSE) - VLOOKUP($B24,test!$A$3:$G$32,6,FALSE) &gt;= (test!$B$33)/1440),1,0)</f>
        <v>0</v>
      </c>
      <c r="W24" s="2">
        <f>IF(AND(VLOOKUP(W$1,test!$A$3:$F$32,5,FALSE) - VLOOKUP($B24,test!$A$3:$G$32,6,FALSE) &gt;= (test!$B$33)/1440),1,0)</f>
        <v>0</v>
      </c>
      <c r="X24" s="2">
        <f>IF(AND(VLOOKUP(X$1,test!$A$3:$F$32,5,FALSE) - VLOOKUP($B24,test!$A$3:$G$32,6,FALSE) &gt;= (test!$B$33)/1440),1,0)</f>
        <v>0</v>
      </c>
      <c r="Y24" s="2">
        <f>IF(AND(VLOOKUP(Y$1,test!$A$3:$F$32,5,FALSE) - VLOOKUP($B24,test!$A$3:$G$32,6,FALSE) &gt;= (test!$B$33)/1440),1,0)</f>
        <v>0</v>
      </c>
      <c r="Z24" s="2">
        <f>IF(AND(VLOOKUP(Z$1,test!$A$3:$F$32,5,FALSE) - VLOOKUP($B24,test!$A$3:$G$32,6,FALSE) &gt;= (test!$B$33)/1440),1,0)</f>
        <v>0</v>
      </c>
      <c r="AA24" s="2">
        <f>IF(AND(VLOOKUP(AA$1,test!$A$3:$F$32,5,FALSE) - VLOOKUP($B24,test!$A$3:$G$32,6,FALSE) &gt;= (test!$B$33)/1440),1,0)</f>
        <v>0</v>
      </c>
      <c r="AB24" s="2">
        <f>IF(AND(VLOOKUP(AB$1,test!$A$3:$F$32,5,FALSE) - VLOOKUP($B24,test!$A$3:$G$32,6,FALSE) &gt;= (test!$B$33)/1440),1,0)</f>
        <v>0</v>
      </c>
      <c r="AC24" s="2">
        <f>IF(AND(VLOOKUP(AC$1,test!$A$3:$F$32,5,FALSE) - VLOOKUP($B24,test!$A$3:$G$32,6,FALSE) &gt;= (test!$B$33)/1440),1,0)</f>
        <v>0</v>
      </c>
      <c r="AD24" s="2">
        <f>IF(AND(VLOOKUP(AD$1,test!$A$3:$F$32,5,FALSE) - VLOOKUP($B24,test!$A$3:$G$32,6,FALSE) &gt;= (test!$B$33)/1440),1,0)</f>
        <v>0</v>
      </c>
      <c r="AE24" s="2">
        <f>IF(AND(VLOOKUP(AE$1,test!$A$3:$F$32,5,FALSE) - VLOOKUP($B24,test!$A$3:$G$32,6,FALSE) &gt;= (test!$B$33)/1440),1,0)</f>
        <v>0</v>
      </c>
      <c r="AF24" s="2">
        <f>IF(AND(VLOOKUP(AF$1,test!$A$3:$F$32,5,FALSE) - VLOOKUP($B24,test!$A$3:$G$32,6,FALSE) &gt;= (test!$B$33)/1440),1,0)</f>
        <v>0</v>
      </c>
      <c r="AG24" s="2">
        <f>IF(AND(VLOOKUP(AG$1,test!$A$3:$F$32,5,FALSE) - VLOOKUP($B24,test!$A$3:$G$32,6,FALSE) &gt;= (test!$B$33)/1440),1,0)</f>
        <v>0</v>
      </c>
    </row>
    <row r="25" spans="1:33" x14ac:dyDescent="0.25">
      <c r="A25" t="s">
        <v>49</v>
      </c>
      <c r="B25" t="s">
        <v>34</v>
      </c>
      <c r="C25">
        <v>0</v>
      </c>
      <c r="D25" s="2">
        <f>IF(AND(VLOOKUP(D$1,test!$A$3:$F$32,5,FALSE) - VLOOKUP($B25,test!$A$3:$G$32,6,FALSE) &gt;= (test!$B$33)/1440),1,0)</f>
        <v>0</v>
      </c>
      <c r="E25" s="2">
        <f>IF(AND(VLOOKUP(E$1,test!$A$3:$F$32,5,FALSE) - VLOOKUP($B25,test!$A$3:$G$32,6,FALSE) &gt;= (test!$B$33)/1440),1,0)</f>
        <v>0</v>
      </c>
      <c r="F25" s="2">
        <f>IF(AND(VLOOKUP(F$1,test!$A$3:$F$32,5,FALSE) - VLOOKUP($B25,test!$A$3:$G$32,6,FALSE) &gt;= (test!$B$33)/1440),1,0)</f>
        <v>1</v>
      </c>
      <c r="G25" s="2">
        <f>IF(AND(VLOOKUP(G$1,test!$A$3:$F$32,5,FALSE) - VLOOKUP($B25,test!$A$3:$G$32,6,FALSE) &gt;= (test!$B$33)/1440),1,0)</f>
        <v>1</v>
      </c>
      <c r="H25" s="2">
        <f>IF(AND(VLOOKUP(H$1,test!$A$3:$F$32,5,FALSE) - VLOOKUP($B25,test!$A$3:$G$32,6,FALSE) &gt;= (test!$B$33)/1440),1,0)</f>
        <v>1</v>
      </c>
      <c r="I25" s="2">
        <f>IF(AND(VLOOKUP(I$1,test!$A$3:$F$32,5,FALSE) - VLOOKUP($B25,test!$A$3:$G$32,6,FALSE) &gt;= (test!$B$33)/1440),1,0)</f>
        <v>1</v>
      </c>
      <c r="J25" s="2">
        <f>IF(AND(VLOOKUP(J$1,test!$A$3:$F$32,5,FALSE) - VLOOKUP($B25,test!$A$3:$G$32,6,FALSE) &gt;= (test!$B$33)/1440),1,0)</f>
        <v>1</v>
      </c>
      <c r="K25" s="2">
        <f>IF(AND(VLOOKUP(K$1,test!$A$3:$F$32,5,FALSE) - VLOOKUP($B25,test!$A$3:$G$32,6,FALSE) &gt;= (test!$B$33)/1440),1,0)</f>
        <v>1</v>
      </c>
      <c r="L25" s="2">
        <f>IF(AND(VLOOKUP(L$1,test!$A$3:$F$32,5,FALSE) - VLOOKUP($B25,test!$A$3:$G$32,6,FALSE) &gt;= (test!$B$33)/1440),1,0)</f>
        <v>0</v>
      </c>
      <c r="M25" s="2">
        <f>IF(AND(VLOOKUP(M$1,test!$A$3:$F$32,5,FALSE) - VLOOKUP($B25,test!$A$3:$G$32,6,FALSE) &gt;= (test!$B$33)/1440),1,0)</f>
        <v>0</v>
      </c>
      <c r="N25" s="2">
        <f>IF(AND(VLOOKUP(N$1,test!$A$3:$F$32,5,FALSE) - VLOOKUP($B25,test!$A$3:$G$32,6,FALSE) &gt;= (test!$B$33)/1440),1,0)</f>
        <v>1</v>
      </c>
      <c r="O25" s="2">
        <f>IF(AND(VLOOKUP(O$1,test!$A$3:$F$32,5,FALSE) - VLOOKUP($B25,test!$A$3:$G$32,6,FALSE) &gt;= (test!$B$33)/1440),1,0)</f>
        <v>1</v>
      </c>
      <c r="P25" s="2">
        <f>IF(AND(VLOOKUP(P$1,test!$A$3:$F$32,5,FALSE) - VLOOKUP($B25,test!$A$3:$G$32,6,FALSE) &gt;= (test!$B$33)/1440),1,0)</f>
        <v>1</v>
      </c>
      <c r="Q25" s="2">
        <f>IF(AND(VLOOKUP(Q$1,test!$A$3:$F$32,5,FALSE) - VLOOKUP($B25,test!$A$3:$G$32,6,FALSE) &gt;= (test!$B$33)/1440),1,0)</f>
        <v>0</v>
      </c>
      <c r="R25" s="2">
        <f>IF(AND(VLOOKUP(R$1,test!$A$3:$F$32,5,FALSE) - VLOOKUP($B25,test!$A$3:$G$32,6,FALSE) &gt;= (test!$B$33)/1440),1,0)</f>
        <v>0</v>
      </c>
      <c r="S25" s="2">
        <f>IF(AND(VLOOKUP(S$1,test!$A$3:$F$32,5,FALSE) - VLOOKUP($B25,test!$A$3:$G$32,6,FALSE) &gt;= (test!$B$33)/1440),1,0)</f>
        <v>0</v>
      </c>
      <c r="T25" s="2">
        <f>IF(AND(VLOOKUP(T$1,test!$A$3:$F$32,5,FALSE) - VLOOKUP($B25,test!$A$3:$G$32,6,FALSE) &gt;= (test!$B$33)/1440),1,0)</f>
        <v>0</v>
      </c>
      <c r="U25" s="2">
        <f>IF(AND(VLOOKUP(U$1,test!$A$3:$F$32,5,FALSE) - VLOOKUP($B25,test!$A$3:$G$32,6,FALSE) &gt;= (test!$B$33)/1440),1,0)</f>
        <v>1</v>
      </c>
      <c r="V25" s="2">
        <f>IF(AND(VLOOKUP(V$1,test!$A$3:$F$32,5,FALSE) - VLOOKUP($B25,test!$A$3:$G$32,6,FALSE) &gt;= (test!$B$33)/1440),1,0)</f>
        <v>1</v>
      </c>
      <c r="W25" s="2">
        <f>IF(AND(VLOOKUP(W$1,test!$A$3:$F$32,5,FALSE) - VLOOKUP($B25,test!$A$3:$G$32,6,FALSE) &gt;= (test!$B$33)/1440),1,0)</f>
        <v>1</v>
      </c>
      <c r="X25" s="2">
        <f>IF(AND(VLOOKUP(X$1,test!$A$3:$F$32,5,FALSE) - VLOOKUP($B25,test!$A$3:$G$32,6,FALSE) &gt;= (test!$B$33)/1440),1,0)</f>
        <v>1</v>
      </c>
      <c r="Y25" s="2">
        <f>IF(AND(VLOOKUP(Y$1,test!$A$3:$F$32,5,FALSE) - VLOOKUP($B25,test!$A$3:$G$32,6,FALSE) &gt;= (test!$B$33)/1440),1,0)</f>
        <v>1</v>
      </c>
      <c r="Z25" s="2">
        <f>IF(AND(VLOOKUP(Z$1,test!$A$3:$F$32,5,FALSE) - VLOOKUP($B25,test!$A$3:$G$32,6,FALSE) &gt;= (test!$B$33)/1440),1,0)</f>
        <v>0</v>
      </c>
      <c r="AA25" s="2">
        <f>IF(AND(VLOOKUP(AA$1,test!$A$3:$F$32,5,FALSE) - VLOOKUP($B25,test!$A$3:$G$32,6,FALSE) &gt;= (test!$B$33)/1440),1,0)</f>
        <v>0</v>
      </c>
      <c r="AB25" s="2">
        <f>IF(AND(VLOOKUP(AB$1,test!$A$3:$F$32,5,FALSE) - VLOOKUP($B25,test!$A$3:$G$32,6,FALSE) &gt;= (test!$B$33)/1440),1,0)</f>
        <v>1</v>
      </c>
      <c r="AC25" s="2">
        <f>IF(AND(VLOOKUP(AC$1,test!$A$3:$F$32,5,FALSE) - VLOOKUP($B25,test!$A$3:$G$32,6,FALSE) &gt;= (test!$B$33)/1440),1,0)</f>
        <v>1</v>
      </c>
      <c r="AD25" s="2">
        <f>IF(AND(VLOOKUP(AD$1,test!$A$3:$F$32,5,FALSE) - VLOOKUP($B25,test!$A$3:$G$32,6,FALSE) &gt;= (test!$B$33)/1440),1,0)</f>
        <v>1</v>
      </c>
      <c r="AE25" s="2">
        <f>IF(AND(VLOOKUP(AE$1,test!$A$3:$F$32,5,FALSE) - VLOOKUP($B25,test!$A$3:$G$32,6,FALSE) &gt;= (test!$B$33)/1440),1,0)</f>
        <v>0</v>
      </c>
      <c r="AF25" s="2">
        <f>IF(AND(VLOOKUP(AF$1,test!$A$3:$F$32,5,FALSE) - VLOOKUP($B25,test!$A$3:$G$32,6,FALSE) &gt;= (test!$B$33)/1440),1,0)</f>
        <v>1</v>
      </c>
      <c r="AG25" s="2">
        <f>IF(AND(VLOOKUP(AG$1,test!$A$3:$F$32,5,FALSE) - VLOOKUP($B25,test!$A$3:$G$32,6,FALSE) &gt;= (test!$B$33)/1440),1,0)</f>
        <v>1</v>
      </c>
    </row>
    <row r="26" spans="1:33" x14ac:dyDescent="0.25">
      <c r="A26" t="s">
        <v>49</v>
      </c>
      <c r="B26" t="s">
        <v>35</v>
      </c>
      <c r="C26">
        <v>0</v>
      </c>
      <c r="D26" s="2">
        <f>IF(AND(VLOOKUP(D$1,test!$A$3:$F$32,5,FALSE) - VLOOKUP($B26,test!$A$3:$G$32,6,FALSE) &gt;= (test!$B$33)/1440),1,0)</f>
        <v>0</v>
      </c>
      <c r="E26" s="2">
        <f>IF(AND(VLOOKUP(E$1,test!$A$3:$F$32,5,FALSE) - VLOOKUP($B26,test!$A$3:$G$32,6,FALSE) &gt;= (test!$B$33)/1440),1,0)</f>
        <v>0</v>
      </c>
      <c r="F26" s="2">
        <f>IF(AND(VLOOKUP(F$1,test!$A$3:$F$32,5,FALSE) - VLOOKUP($B26,test!$A$3:$G$32,6,FALSE) &gt;= (test!$B$33)/1440),1,0)</f>
        <v>0</v>
      </c>
      <c r="G26" s="2">
        <f>IF(AND(VLOOKUP(G$1,test!$A$3:$F$32,5,FALSE) - VLOOKUP($B26,test!$A$3:$G$32,6,FALSE) &gt;= (test!$B$33)/1440),1,0)</f>
        <v>0</v>
      </c>
      <c r="H26" s="2">
        <f>IF(AND(VLOOKUP(H$1,test!$A$3:$F$32,5,FALSE) - VLOOKUP($B26,test!$A$3:$G$32,6,FALSE) &gt;= (test!$B$33)/1440),1,0)</f>
        <v>1</v>
      </c>
      <c r="I26" s="2">
        <f>IF(AND(VLOOKUP(I$1,test!$A$3:$F$32,5,FALSE) - VLOOKUP($B26,test!$A$3:$G$32,6,FALSE) &gt;= (test!$B$33)/1440),1,0)</f>
        <v>1</v>
      </c>
      <c r="J26" s="2">
        <f>IF(AND(VLOOKUP(J$1,test!$A$3:$F$32,5,FALSE) - VLOOKUP($B26,test!$A$3:$G$32,6,FALSE) &gt;= (test!$B$33)/1440),1,0)</f>
        <v>1</v>
      </c>
      <c r="K26" s="2">
        <f>IF(AND(VLOOKUP(K$1,test!$A$3:$F$32,5,FALSE) - VLOOKUP($B26,test!$A$3:$G$32,6,FALSE) &gt;= (test!$B$33)/1440),1,0)</f>
        <v>1</v>
      </c>
      <c r="L26" s="2">
        <f>IF(AND(VLOOKUP(L$1,test!$A$3:$F$32,5,FALSE) - VLOOKUP($B26,test!$A$3:$G$32,6,FALSE) &gt;= (test!$B$33)/1440),1,0)</f>
        <v>0</v>
      </c>
      <c r="M26" s="2">
        <f>IF(AND(VLOOKUP(M$1,test!$A$3:$F$32,5,FALSE) - VLOOKUP($B26,test!$A$3:$G$32,6,FALSE) &gt;= (test!$B$33)/1440),1,0)</f>
        <v>0</v>
      </c>
      <c r="N26" s="2">
        <f>IF(AND(VLOOKUP(N$1,test!$A$3:$F$32,5,FALSE) - VLOOKUP($B26,test!$A$3:$G$32,6,FALSE) &gt;= (test!$B$33)/1440),1,0)</f>
        <v>0</v>
      </c>
      <c r="O26" s="2">
        <f>IF(AND(VLOOKUP(O$1,test!$A$3:$F$32,5,FALSE) - VLOOKUP($B26,test!$A$3:$G$32,6,FALSE) &gt;= (test!$B$33)/1440),1,0)</f>
        <v>1</v>
      </c>
      <c r="P26" s="2">
        <f>IF(AND(VLOOKUP(P$1,test!$A$3:$F$32,5,FALSE) - VLOOKUP($B26,test!$A$3:$G$32,6,FALSE) &gt;= (test!$B$33)/1440),1,0)</f>
        <v>1</v>
      </c>
      <c r="Q26" s="2">
        <f>IF(AND(VLOOKUP(Q$1,test!$A$3:$F$32,5,FALSE) - VLOOKUP($B26,test!$A$3:$G$32,6,FALSE) &gt;= (test!$B$33)/1440),1,0)</f>
        <v>0</v>
      </c>
      <c r="R26" s="2">
        <f>IF(AND(VLOOKUP(R$1,test!$A$3:$F$32,5,FALSE) - VLOOKUP($B26,test!$A$3:$G$32,6,FALSE) &gt;= (test!$B$33)/1440),1,0)</f>
        <v>0</v>
      </c>
      <c r="S26" s="2">
        <f>IF(AND(VLOOKUP(S$1,test!$A$3:$F$32,5,FALSE) - VLOOKUP($B26,test!$A$3:$G$32,6,FALSE) &gt;= (test!$B$33)/1440),1,0)</f>
        <v>0</v>
      </c>
      <c r="T26" s="2">
        <f>IF(AND(VLOOKUP(T$1,test!$A$3:$F$32,5,FALSE) - VLOOKUP($B26,test!$A$3:$G$32,6,FALSE) &gt;= (test!$B$33)/1440),1,0)</f>
        <v>0</v>
      </c>
      <c r="U26" s="2">
        <f>IF(AND(VLOOKUP(U$1,test!$A$3:$F$32,5,FALSE) - VLOOKUP($B26,test!$A$3:$G$32,6,FALSE) &gt;= (test!$B$33)/1440),1,0)</f>
        <v>0</v>
      </c>
      <c r="V26" s="2">
        <f>IF(AND(VLOOKUP(V$1,test!$A$3:$F$32,5,FALSE) - VLOOKUP($B26,test!$A$3:$G$32,6,FALSE) &gt;= (test!$B$33)/1440),1,0)</f>
        <v>0</v>
      </c>
      <c r="W26" s="2">
        <f>IF(AND(VLOOKUP(W$1,test!$A$3:$F$32,5,FALSE) - VLOOKUP($B26,test!$A$3:$G$32,6,FALSE) &gt;= (test!$B$33)/1440),1,0)</f>
        <v>1</v>
      </c>
      <c r="X26" s="2">
        <f>IF(AND(VLOOKUP(X$1,test!$A$3:$F$32,5,FALSE) - VLOOKUP($B26,test!$A$3:$G$32,6,FALSE) &gt;= (test!$B$33)/1440),1,0)</f>
        <v>1</v>
      </c>
      <c r="Y26" s="2">
        <f>IF(AND(VLOOKUP(Y$1,test!$A$3:$F$32,5,FALSE) - VLOOKUP($B26,test!$A$3:$G$32,6,FALSE) &gt;= (test!$B$33)/1440),1,0)</f>
        <v>1</v>
      </c>
      <c r="Z26" s="2">
        <f>IF(AND(VLOOKUP(Z$1,test!$A$3:$F$32,5,FALSE) - VLOOKUP($B26,test!$A$3:$G$32,6,FALSE) &gt;= (test!$B$33)/1440),1,0)</f>
        <v>0</v>
      </c>
      <c r="AA26" s="2">
        <f>IF(AND(VLOOKUP(AA$1,test!$A$3:$F$32,5,FALSE) - VLOOKUP($B26,test!$A$3:$G$32,6,FALSE) &gt;= (test!$B$33)/1440),1,0)</f>
        <v>0</v>
      </c>
      <c r="AB26" s="2">
        <f>IF(AND(VLOOKUP(AB$1,test!$A$3:$F$32,5,FALSE) - VLOOKUP($B26,test!$A$3:$G$32,6,FALSE) &gt;= (test!$B$33)/1440),1,0)</f>
        <v>0</v>
      </c>
      <c r="AC26" s="2">
        <f>IF(AND(VLOOKUP(AC$1,test!$A$3:$F$32,5,FALSE) - VLOOKUP($B26,test!$A$3:$G$32,6,FALSE) &gt;= (test!$B$33)/1440),1,0)</f>
        <v>0</v>
      </c>
      <c r="AD26" s="2">
        <f>IF(AND(VLOOKUP(AD$1,test!$A$3:$F$32,5,FALSE) - VLOOKUP($B26,test!$A$3:$G$32,6,FALSE) &gt;= (test!$B$33)/1440),1,0)</f>
        <v>1</v>
      </c>
      <c r="AE26" s="2">
        <f>IF(AND(VLOOKUP(AE$1,test!$A$3:$F$32,5,FALSE) - VLOOKUP($B26,test!$A$3:$G$32,6,FALSE) &gt;= (test!$B$33)/1440),1,0)</f>
        <v>0</v>
      </c>
      <c r="AF26" s="2">
        <f>IF(AND(VLOOKUP(AF$1,test!$A$3:$F$32,5,FALSE) - VLOOKUP($B26,test!$A$3:$G$32,6,FALSE) &gt;= (test!$B$33)/1440),1,0)</f>
        <v>0</v>
      </c>
      <c r="AG26" s="2">
        <f>IF(AND(VLOOKUP(AG$1,test!$A$3:$F$32,5,FALSE) - VLOOKUP($B26,test!$A$3:$G$32,6,FALSE) &gt;= (test!$B$33)/1440),1,0)</f>
        <v>0</v>
      </c>
    </row>
    <row r="27" spans="1:33" x14ac:dyDescent="0.25">
      <c r="A27" t="s">
        <v>49</v>
      </c>
      <c r="B27" t="s">
        <v>36</v>
      </c>
      <c r="C27">
        <v>0</v>
      </c>
      <c r="D27" s="2">
        <f>IF(AND(VLOOKUP(D$1,test!$A$3:$F$32,5,FALSE) - VLOOKUP($B27,test!$A$3:$G$32,6,FALSE) &gt;= (test!$B$33)/1440),1,0)</f>
        <v>0</v>
      </c>
      <c r="E27" s="2">
        <f>IF(AND(VLOOKUP(E$1,test!$A$3:$F$32,5,FALSE) - VLOOKUP($B27,test!$A$3:$G$32,6,FALSE) &gt;= (test!$B$33)/1440),1,0)</f>
        <v>0</v>
      </c>
      <c r="F27" s="2">
        <f>IF(AND(VLOOKUP(F$1,test!$A$3:$F$32,5,FALSE) - VLOOKUP($B27,test!$A$3:$G$32,6,FALSE) &gt;= (test!$B$33)/1440),1,0)</f>
        <v>0</v>
      </c>
      <c r="G27" s="2">
        <f>IF(AND(VLOOKUP(G$1,test!$A$3:$F$32,5,FALSE) - VLOOKUP($B27,test!$A$3:$G$32,6,FALSE) &gt;= (test!$B$33)/1440),1,0)</f>
        <v>0</v>
      </c>
      <c r="H27" s="2">
        <f>IF(AND(VLOOKUP(H$1,test!$A$3:$F$32,5,FALSE) - VLOOKUP($B27,test!$A$3:$G$32,6,FALSE) &gt;= (test!$B$33)/1440),1,0)</f>
        <v>0</v>
      </c>
      <c r="I27" s="2">
        <f>IF(AND(VLOOKUP(I$1,test!$A$3:$F$32,5,FALSE) - VLOOKUP($B27,test!$A$3:$G$32,6,FALSE) &gt;= (test!$B$33)/1440),1,0)</f>
        <v>0</v>
      </c>
      <c r="J27" s="2">
        <f>IF(AND(VLOOKUP(J$1,test!$A$3:$F$32,5,FALSE) - VLOOKUP($B27,test!$A$3:$G$32,6,FALSE) &gt;= (test!$B$33)/1440),1,0)</f>
        <v>1</v>
      </c>
      <c r="K27" s="2">
        <f>IF(AND(VLOOKUP(K$1,test!$A$3:$F$32,5,FALSE) - VLOOKUP($B27,test!$A$3:$G$32,6,FALSE) &gt;= (test!$B$33)/1440),1,0)</f>
        <v>1</v>
      </c>
      <c r="L27" s="2">
        <f>IF(AND(VLOOKUP(L$1,test!$A$3:$F$32,5,FALSE) - VLOOKUP($B27,test!$A$3:$G$32,6,FALSE) &gt;= (test!$B$33)/1440),1,0)</f>
        <v>0</v>
      </c>
      <c r="M27" s="2">
        <f>IF(AND(VLOOKUP(M$1,test!$A$3:$F$32,5,FALSE) - VLOOKUP($B27,test!$A$3:$G$32,6,FALSE) &gt;= (test!$B$33)/1440),1,0)</f>
        <v>0</v>
      </c>
      <c r="N27" s="2">
        <f>IF(AND(VLOOKUP(N$1,test!$A$3:$F$32,5,FALSE) - VLOOKUP($B27,test!$A$3:$G$32,6,FALSE) &gt;= (test!$B$33)/1440),1,0)</f>
        <v>0</v>
      </c>
      <c r="O27" s="2">
        <f>IF(AND(VLOOKUP(O$1,test!$A$3:$F$32,5,FALSE) - VLOOKUP($B27,test!$A$3:$G$32,6,FALSE) &gt;= (test!$B$33)/1440),1,0)</f>
        <v>1</v>
      </c>
      <c r="P27" s="2">
        <f>IF(AND(VLOOKUP(P$1,test!$A$3:$F$32,5,FALSE) - VLOOKUP($B27,test!$A$3:$G$32,6,FALSE) &gt;= (test!$B$33)/1440),1,0)</f>
        <v>1</v>
      </c>
      <c r="Q27" s="2">
        <f>IF(AND(VLOOKUP(Q$1,test!$A$3:$F$32,5,FALSE) - VLOOKUP($B27,test!$A$3:$G$32,6,FALSE) &gt;= (test!$B$33)/1440),1,0)</f>
        <v>0</v>
      </c>
      <c r="R27" s="2">
        <f>IF(AND(VLOOKUP(R$1,test!$A$3:$F$32,5,FALSE) - VLOOKUP($B27,test!$A$3:$G$32,6,FALSE) &gt;= (test!$B$33)/1440),1,0)</f>
        <v>0</v>
      </c>
      <c r="S27" s="2">
        <f>IF(AND(VLOOKUP(S$1,test!$A$3:$F$32,5,FALSE) - VLOOKUP($B27,test!$A$3:$G$32,6,FALSE) &gt;= (test!$B$33)/1440),1,0)</f>
        <v>0</v>
      </c>
      <c r="T27" s="2">
        <f>IF(AND(VLOOKUP(T$1,test!$A$3:$F$32,5,FALSE) - VLOOKUP($B27,test!$A$3:$G$32,6,FALSE) &gt;= (test!$B$33)/1440),1,0)</f>
        <v>0</v>
      </c>
      <c r="U27" s="2">
        <f>IF(AND(VLOOKUP(U$1,test!$A$3:$F$32,5,FALSE) - VLOOKUP($B27,test!$A$3:$G$32,6,FALSE) &gt;= (test!$B$33)/1440),1,0)</f>
        <v>0</v>
      </c>
      <c r="V27" s="2">
        <f>IF(AND(VLOOKUP(V$1,test!$A$3:$F$32,5,FALSE) - VLOOKUP($B27,test!$A$3:$G$32,6,FALSE) &gt;= (test!$B$33)/1440),1,0)</f>
        <v>0</v>
      </c>
      <c r="W27" s="2">
        <f>IF(AND(VLOOKUP(W$1,test!$A$3:$F$32,5,FALSE) - VLOOKUP($B27,test!$A$3:$G$32,6,FALSE) &gt;= (test!$B$33)/1440),1,0)</f>
        <v>0</v>
      </c>
      <c r="X27" s="2">
        <f>IF(AND(VLOOKUP(X$1,test!$A$3:$F$32,5,FALSE) - VLOOKUP($B27,test!$A$3:$G$32,6,FALSE) &gt;= (test!$B$33)/1440),1,0)</f>
        <v>1</v>
      </c>
      <c r="Y27" s="2">
        <f>IF(AND(VLOOKUP(Y$1,test!$A$3:$F$32,5,FALSE) - VLOOKUP($B27,test!$A$3:$G$32,6,FALSE) &gt;= (test!$B$33)/1440),1,0)</f>
        <v>1</v>
      </c>
      <c r="Z27" s="2">
        <f>IF(AND(VLOOKUP(Z$1,test!$A$3:$F$32,5,FALSE) - VLOOKUP($B27,test!$A$3:$G$32,6,FALSE) &gt;= (test!$B$33)/1440),1,0)</f>
        <v>0</v>
      </c>
      <c r="AA27" s="2">
        <f>IF(AND(VLOOKUP(AA$1,test!$A$3:$F$32,5,FALSE) - VLOOKUP($B27,test!$A$3:$G$32,6,FALSE) &gt;= (test!$B$33)/1440),1,0)</f>
        <v>0</v>
      </c>
      <c r="AB27" s="2">
        <f>IF(AND(VLOOKUP(AB$1,test!$A$3:$F$32,5,FALSE) - VLOOKUP($B27,test!$A$3:$G$32,6,FALSE) &gt;= (test!$B$33)/1440),1,0)</f>
        <v>0</v>
      </c>
      <c r="AC27" s="2">
        <f>IF(AND(VLOOKUP(AC$1,test!$A$3:$F$32,5,FALSE) - VLOOKUP($B27,test!$A$3:$G$32,6,FALSE) &gt;= (test!$B$33)/1440),1,0)</f>
        <v>0</v>
      </c>
      <c r="AD27" s="2">
        <f>IF(AND(VLOOKUP(AD$1,test!$A$3:$F$32,5,FALSE) - VLOOKUP($B27,test!$A$3:$G$32,6,FALSE) &gt;= (test!$B$33)/1440),1,0)</f>
        <v>0</v>
      </c>
      <c r="AE27" s="2">
        <f>IF(AND(VLOOKUP(AE$1,test!$A$3:$F$32,5,FALSE) - VLOOKUP($B27,test!$A$3:$G$32,6,FALSE) &gt;= (test!$B$33)/1440),1,0)</f>
        <v>0</v>
      </c>
      <c r="AF27" s="2">
        <f>IF(AND(VLOOKUP(AF$1,test!$A$3:$F$32,5,FALSE) - VLOOKUP($B27,test!$A$3:$G$32,6,FALSE) &gt;= (test!$B$33)/1440),1,0)</f>
        <v>0</v>
      </c>
      <c r="AG27" s="2">
        <f>IF(AND(VLOOKUP(AG$1,test!$A$3:$F$32,5,FALSE) - VLOOKUP($B27,test!$A$3:$G$32,6,FALSE) &gt;= (test!$B$33)/1440),1,0)</f>
        <v>0</v>
      </c>
    </row>
    <row r="28" spans="1:33" x14ac:dyDescent="0.25">
      <c r="A28" t="s">
        <v>49</v>
      </c>
      <c r="B28" t="s">
        <v>37</v>
      </c>
      <c r="C28">
        <v>0</v>
      </c>
      <c r="D28" s="2">
        <f>IF(AND(VLOOKUP(D$1,test!$A$3:$F$32,5,FALSE) - VLOOKUP($B28,test!$A$3:$G$32,6,FALSE) &gt;= (test!$B$33)/1440),1,0)</f>
        <v>0</v>
      </c>
      <c r="E28" s="2">
        <f>IF(AND(VLOOKUP(E$1,test!$A$3:$F$32,5,FALSE) - VLOOKUP($B28,test!$A$3:$G$32,6,FALSE) &gt;= (test!$B$33)/1440),1,0)</f>
        <v>0</v>
      </c>
      <c r="F28" s="2">
        <f>IF(AND(VLOOKUP(F$1,test!$A$3:$F$32,5,FALSE) - VLOOKUP($B28,test!$A$3:$G$32,6,FALSE) &gt;= (test!$B$33)/1440),1,0)</f>
        <v>0</v>
      </c>
      <c r="G28" s="2">
        <f>IF(AND(VLOOKUP(G$1,test!$A$3:$F$32,5,FALSE) - VLOOKUP($B28,test!$A$3:$G$32,6,FALSE) &gt;= (test!$B$33)/1440),1,0)</f>
        <v>0</v>
      </c>
      <c r="H28" s="2">
        <f>IF(AND(VLOOKUP(H$1,test!$A$3:$F$32,5,FALSE) - VLOOKUP($B28,test!$A$3:$G$32,6,FALSE) &gt;= (test!$B$33)/1440),1,0)</f>
        <v>0</v>
      </c>
      <c r="I28" s="2">
        <f>IF(AND(VLOOKUP(I$1,test!$A$3:$F$32,5,FALSE) - VLOOKUP($B28,test!$A$3:$G$32,6,FALSE) &gt;= (test!$B$33)/1440),1,0)</f>
        <v>0</v>
      </c>
      <c r="J28" s="2">
        <f>IF(AND(VLOOKUP(J$1,test!$A$3:$F$32,5,FALSE) - VLOOKUP($B28,test!$A$3:$G$32,6,FALSE) &gt;= (test!$B$33)/1440),1,0)</f>
        <v>0</v>
      </c>
      <c r="K28" s="2">
        <f>IF(AND(VLOOKUP(K$1,test!$A$3:$F$32,5,FALSE) - VLOOKUP($B28,test!$A$3:$G$32,6,FALSE) &gt;= (test!$B$33)/1440),1,0)</f>
        <v>1</v>
      </c>
      <c r="L28" s="2">
        <f>IF(AND(VLOOKUP(L$1,test!$A$3:$F$32,5,FALSE) - VLOOKUP($B28,test!$A$3:$G$32,6,FALSE) &gt;= (test!$B$33)/1440),1,0)</f>
        <v>0</v>
      </c>
      <c r="M28" s="2">
        <f>IF(AND(VLOOKUP(M$1,test!$A$3:$F$32,5,FALSE) - VLOOKUP($B28,test!$A$3:$G$32,6,FALSE) &gt;= (test!$B$33)/1440),1,0)</f>
        <v>0</v>
      </c>
      <c r="N28" s="2">
        <f>IF(AND(VLOOKUP(N$1,test!$A$3:$F$32,5,FALSE) - VLOOKUP($B28,test!$A$3:$G$32,6,FALSE) &gt;= (test!$B$33)/1440),1,0)</f>
        <v>0</v>
      </c>
      <c r="O28" s="2">
        <f>IF(AND(VLOOKUP(O$1,test!$A$3:$F$32,5,FALSE) - VLOOKUP($B28,test!$A$3:$G$32,6,FALSE) &gt;= (test!$B$33)/1440),1,0)</f>
        <v>1</v>
      </c>
      <c r="P28" s="2">
        <f>IF(AND(VLOOKUP(P$1,test!$A$3:$F$32,5,FALSE) - VLOOKUP($B28,test!$A$3:$G$32,6,FALSE) &gt;= (test!$B$33)/1440),1,0)</f>
        <v>1</v>
      </c>
      <c r="Q28" s="2">
        <f>IF(AND(VLOOKUP(Q$1,test!$A$3:$F$32,5,FALSE) - VLOOKUP($B28,test!$A$3:$G$32,6,FALSE) &gt;= (test!$B$33)/1440),1,0)</f>
        <v>0</v>
      </c>
      <c r="R28" s="2">
        <f>IF(AND(VLOOKUP(R$1,test!$A$3:$F$32,5,FALSE) - VLOOKUP($B28,test!$A$3:$G$32,6,FALSE) &gt;= (test!$B$33)/1440),1,0)</f>
        <v>0</v>
      </c>
      <c r="S28" s="2">
        <f>IF(AND(VLOOKUP(S$1,test!$A$3:$F$32,5,FALSE) - VLOOKUP($B28,test!$A$3:$G$32,6,FALSE) &gt;= (test!$B$33)/1440),1,0)</f>
        <v>0</v>
      </c>
      <c r="T28" s="2">
        <f>IF(AND(VLOOKUP(T$1,test!$A$3:$F$32,5,FALSE) - VLOOKUP($B28,test!$A$3:$G$32,6,FALSE) &gt;= (test!$B$33)/1440),1,0)</f>
        <v>0</v>
      </c>
      <c r="U28" s="2">
        <f>IF(AND(VLOOKUP(U$1,test!$A$3:$F$32,5,FALSE) - VLOOKUP($B28,test!$A$3:$G$32,6,FALSE) &gt;= (test!$B$33)/1440),1,0)</f>
        <v>0</v>
      </c>
      <c r="V28" s="2">
        <f>IF(AND(VLOOKUP(V$1,test!$A$3:$F$32,5,FALSE) - VLOOKUP($B28,test!$A$3:$G$32,6,FALSE) &gt;= (test!$B$33)/1440),1,0)</f>
        <v>0</v>
      </c>
      <c r="W28" s="2">
        <f>IF(AND(VLOOKUP(W$1,test!$A$3:$F$32,5,FALSE) - VLOOKUP($B28,test!$A$3:$G$32,6,FALSE) &gt;= (test!$B$33)/1440),1,0)</f>
        <v>0</v>
      </c>
      <c r="X28" s="2">
        <f>IF(AND(VLOOKUP(X$1,test!$A$3:$F$32,5,FALSE) - VLOOKUP($B28,test!$A$3:$G$32,6,FALSE) &gt;= (test!$B$33)/1440),1,0)</f>
        <v>0</v>
      </c>
      <c r="Y28" s="2">
        <f>IF(AND(VLOOKUP(Y$1,test!$A$3:$F$32,5,FALSE) - VLOOKUP($B28,test!$A$3:$G$32,6,FALSE) &gt;= (test!$B$33)/1440),1,0)</f>
        <v>1</v>
      </c>
      <c r="Z28" s="2">
        <f>IF(AND(VLOOKUP(Z$1,test!$A$3:$F$32,5,FALSE) - VLOOKUP($B28,test!$A$3:$G$32,6,FALSE) &gt;= (test!$B$33)/1440),1,0)</f>
        <v>0</v>
      </c>
      <c r="AA28" s="2">
        <f>IF(AND(VLOOKUP(AA$1,test!$A$3:$F$32,5,FALSE) - VLOOKUP($B28,test!$A$3:$G$32,6,FALSE) &gt;= (test!$B$33)/1440),1,0)</f>
        <v>0</v>
      </c>
      <c r="AB28" s="2">
        <f>IF(AND(VLOOKUP(AB$1,test!$A$3:$F$32,5,FALSE) - VLOOKUP($B28,test!$A$3:$G$32,6,FALSE) &gt;= (test!$B$33)/1440),1,0)</f>
        <v>0</v>
      </c>
      <c r="AC28" s="2">
        <f>IF(AND(VLOOKUP(AC$1,test!$A$3:$F$32,5,FALSE) - VLOOKUP($B28,test!$A$3:$G$32,6,FALSE) &gt;= (test!$B$33)/1440),1,0)</f>
        <v>0</v>
      </c>
      <c r="AD28" s="2">
        <f>IF(AND(VLOOKUP(AD$1,test!$A$3:$F$32,5,FALSE) - VLOOKUP($B28,test!$A$3:$G$32,6,FALSE) &gt;= (test!$B$33)/1440),1,0)</f>
        <v>0</v>
      </c>
      <c r="AE28" s="2">
        <f>IF(AND(VLOOKUP(AE$1,test!$A$3:$F$32,5,FALSE) - VLOOKUP($B28,test!$A$3:$G$32,6,FALSE) &gt;= (test!$B$33)/1440),1,0)</f>
        <v>0</v>
      </c>
      <c r="AF28" s="2">
        <f>IF(AND(VLOOKUP(AF$1,test!$A$3:$F$32,5,FALSE) - VLOOKUP($B28,test!$A$3:$G$32,6,FALSE) &gt;= (test!$B$33)/1440),1,0)</f>
        <v>0</v>
      </c>
      <c r="AG28" s="2">
        <f>IF(AND(VLOOKUP(AG$1,test!$A$3:$F$32,5,FALSE) - VLOOKUP($B28,test!$A$3:$G$32,6,FALSE) &gt;= (test!$B$33)/1440),1,0)</f>
        <v>0</v>
      </c>
    </row>
    <row r="29" spans="1:33" x14ac:dyDescent="0.25">
      <c r="A29" t="s">
        <v>49</v>
      </c>
      <c r="B29" t="s">
        <v>38</v>
      </c>
      <c r="C29">
        <v>0</v>
      </c>
      <c r="D29" s="2">
        <f>IF(AND(VLOOKUP(D$1,test!$A$3:$F$32,5,FALSE) - VLOOKUP($B29,test!$A$3:$G$32,6,FALSE) &gt;= (test!$B$33)/1440),1,0)</f>
        <v>0</v>
      </c>
      <c r="E29" s="2">
        <f>IF(AND(VLOOKUP(E$1,test!$A$3:$F$32,5,FALSE) - VLOOKUP($B29,test!$A$3:$G$32,6,FALSE) &gt;= (test!$B$33)/1440),1,0)</f>
        <v>0</v>
      </c>
      <c r="F29" s="2">
        <f>IF(AND(VLOOKUP(F$1,test!$A$3:$F$32,5,FALSE) - VLOOKUP($B29,test!$A$3:$G$32,6,FALSE) &gt;= (test!$B$33)/1440),1,0)</f>
        <v>0</v>
      </c>
      <c r="G29" s="2">
        <f>IF(AND(VLOOKUP(G$1,test!$A$3:$F$32,5,FALSE) - VLOOKUP($B29,test!$A$3:$G$32,6,FALSE) &gt;= (test!$B$33)/1440),1,0)</f>
        <v>0</v>
      </c>
      <c r="H29" s="2">
        <f>IF(AND(VLOOKUP(H$1,test!$A$3:$F$32,5,FALSE) - VLOOKUP($B29,test!$A$3:$G$32,6,FALSE) &gt;= (test!$B$33)/1440),1,0)</f>
        <v>0</v>
      </c>
      <c r="I29" s="2">
        <f>IF(AND(VLOOKUP(I$1,test!$A$3:$F$32,5,FALSE) - VLOOKUP($B29,test!$A$3:$G$32,6,FALSE) &gt;= (test!$B$33)/1440),1,0)</f>
        <v>0</v>
      </c>
      <c r="J29" s="2">
        <f>IF(AND(VLOOKUP(J$1,test!$A$3:$F$32,5,FALSE) - VLOOKUP($B29,test!$A$3:$G$32,6,FALSE) &gt;= (test!$B$33)/1440),1,0)</f>
        <v>0</v>
      </c>
      <c r="K29" s="2">
        <f>IF(AND(VLOOKUP(K$1,test!$A$3:$F$32,5,FALSE) - VLOOKUP($B29,test!$A$3:$G$32,6,FALSE) &gt;= (test!$B$33)/1440),1,0)</f>
        <v>0</v>
      </c>
      <c r="L29" s="2">
        <f>IF(AND(VLOOKUP(L$1,test!$A$3:$F$32,5,FALSE) - VLOOKUP($B29,test!$A$3:$G$32,6,FALSE) &gt;= (test!$B$33)/1440),1,0)</f>
        <v>0</v>
      </c>
      <c r="M29" s="2">
        <f>IF(AND(VLOOKUP(M$1,test!$A$3:$F$32,5,FALSE) - VLOOKUP($B29,test!$A$3:$G$32,6,FALSE) &gt;= (test!$B$33)/1440),1,0)</f>
        <v>0</v>
      </c>
      <c r="N29" s="2">
        <f>IF(AND(VLOOKUP(N$1,test!$A$3:$F$32,5,FALSE) - VLOOKUP($B29,test!$A$3:$G$32,6,FALSE) &gt;= (test!$B$33)/1440),1,0)</f>
        <v>0</v>
      </c>
      <c r="O29" s="2">
        <f>IF(AND(VLOOKUP(O$1,test!$A$3:$F$32,5,FALSE) - VLOOKUP($B29,test!$A$3:$G$32,6,FALSE) &gt;= (test!$B$33)/1440),1,0)</f>
        <v>0</v>
      </c>
      <c r="P29" s="2">
        <f>IF(AND(VLOOKUP(P$1,test!$A$3:$F$32,5,FALSE) - VLOOKUP($B29,test!$A$3:$G$32,6,FALSE) &gt;= (test!$B$33)/1440),1,0)</f>
        <v>0</v>
      </c>
      <c r="Q29" s="2">
        <f>IF(AND(VLOOKUP(Q$1,test!$A$3:$F$32,5,FALSE) - VLOOKUP($B29,test!$A$3:$G$32,6,FALSE) &gt;= (test!$B$33)/1440),1,0)</f>
        <v>0</v>
      </c>
      <c r="R29" s="2">
        <f>IF(AND(VLOOKUP(R$1,test!$A$3:$F$32,5,FALSE) - VLOOKUP($B29,test!$A$3:$G$32,6,FALSE) &gt;= (test!$B$33)/1440),1,0)</f>
        <v>0</v>
      </c>
      <c r="S29" s="2">
        <f>IF(AND(VLOOKUP(S$1,test!$A$3:$F$32,5,FALSE) - VLOOKUP($B29,test!$A$3:$G$32,6,FALSE) &gt;= (test!$B$33)/1440),1,0)</f>
        <v>0</v>
      </c>
      <c r="T29" s="2">
        <f>IF(AND(VLOOKUP(T$1,test!$A$3:$F$32,5,FALSE) - VLOOKUP($B29,test!$A$3:$G$32,6,FALSE) &gt;= (test!$B$33)/1440),1,0)</f>
        <v>0</v>
      </c>
      <c r="U29" s="2">
        <f>IF(AND(VLOOKUP(U$1,test!$A$3:$F$32,5,FALSE) - VLOOKUP($B29,test!$A$3:$G$32,6,FALSE) &gt;= (test!$B$33)/1440),1,0)</f>
        <v>0</v>
      </c>
      <c r="V29" s="2">
        <f>IF(AND(VLOOKUP(V$1,test!$A$3:$F$32,5,FALSE) - VLOOKUP($B29,test!$A$3:$G$32,6,FALSE) &gt;= (test!$B$33)/1440),1,0)</f>
        <v>0</v>
      </c>
      <c r="W29" s="2">
        <f>IF(AND(VLOOKUP(W$1,test!$A$3:$F$32,5,FALSE) - VLOOKUP($B29,test!$A$3:$G$32,6,FALSE) &gt;= (test!$B$33)/1440),1,0)</f>
        <v>0</v>
      </c>
      <c r="X29" s="2">
        <f>IF(AND(VLOOKUP(X$1,test!$A$3:$F$32,5,FALSE) - VLOOKUP($B29,test!$A$3:$G$32,6,FALSE) &gt;= (test!$B$33)/1440),1,0)</f>
        <v>0</v>
      </c>
      <c r="Y29" s="2">
        <f>IF(AND(VLOOKUP(Y$1,test!$A$3:$F$32,5,FALSE) - VLOOKUP($B29,test!$A$3:$G$32,6,FALSE) &gt;= (test!$B$33)/1440),1,0)</f>
        <v>0</v>
      </c>
      <c r="Z29" s="2">
        <f>IF(AND(VLOOKUP(Z$1,test!$A$3:$F$32,5,FALSE) - VLOOKUP($B29,test!$A$3:$G$32,6,FALSE) &gt;= (test!$B$33)/1440),1,0)</f>
        <v>0</v>
      </c>
      <c r="AA29" s="2">
        <f>IF(AND(VLOOKUP(AA$1,test!$A$3:$F$32,5,FALSE) - VLOOKUP($B29,test!$A$3:$G$32,6,FALSE) &gt;= (test!$B$33)/1440),1,0)</f>
        <v>0</v>
      </c>
      <c r="AB29" s="2">
        <f>IF(AND(VLOOKUP(AB$1,test!$A$3:$F$32,5,FALSE) - VLOOKUP($B29,test!$A$3:$G$32,6,FALSE) &gt;= (test!$B$33)/1440),1,0)</f>
        <v>0</v>
      </c>
      <c r="AC29" s="2">
        <f>IF(AND(VLOOKUP(AC$1,test!$A$3:$F$32,5,FALSE) - VLOOKUP($B29,test!$A$3:$G$32,6,FALSE) &gt;= (test!$B$33)/1440),1,0)</f>
        <v>0</v>
      </c>
      <c r="AD29" s="2">
        <f>IF(AND(VLOOKUP(AD$1,test!$A$3:$F$32,5,FALSE) - VLOOKUP($B29,test!$A$3:$G$32,6,FALSE) &gt;= (test!$B$33)/1440),1,0)</f>
        <v>0</v>
      </c>
      <c r="AE29" s="2">
        <f>IF(AND(VLOOKUP(AE$1,test!$A$3:$F$32,5,FALSE) - VLOOKUP($B29,test!$A$3:$G$32,6,FALSE) &gt;= (test!$B$33)/1440),1,0)</f>
        <v>0</v>
      </c>
      <c r="AF29" s="2">
        <f>IF(AND(VLOOKUP(AF$1,test!$A$3:$F$32,5,FALSE) - VLOOKUP($B29,test!$A$3:$G$32,6,FALSE) &gt;= (test!$B$33)/1440),1,0)</f>
        <v>0</v>
      </c>
      <c r="AG29" s="2">
        <f>IF(AND(VLOOKUP(AG$1,test!$A$3:$F$32,5,FALSE) - VLOOKUP($B29,test!$A$3:$G$32,6,FALSE) &gt;= (test!$B$33)/1440),1,0)</f>
        <v>0</v>
      </c>
    </row>
    <row r="30" spans="1:33" x14ac:dyDescent="0.25">
      <c r="A30" t="s">
        <v>49</v>
      </c>
      <c r="B30" t="s">
        <v>39</v>
      </c>
      <c r="C30">
        <v>0</v>
      </c>
      <c r="D30" s="2">
        <f>IF(AND(VLOOKUP(D$1,test!$A$3:$F$32,5,FALSE) - VLOOKUP($B30,test!$A$3:$G$32,6,FALSE) &gt;= (test!$B$33)/1440),1,0)</f>
        <v>0</v>
      </c>
      <c r="E30" s="2">
        <f>IF(AND(VLOOKUP(E$1,test!$A$3:$F$32,5,FALSE) - VLOOKUP($B30,test!$A$3:$G$32,6,FALSE) &gt;= (test!$B$33)/1440),1,0)</f>
        <v>0</v>
      </c>
      <c r="F30" s="2">
        <f>IF(AND(VLOOKUP(F$1,test!$A$3:$F$32,5,FALSE) - VLOOKUP($B30,test!$A$3:$G$32,6,FALSE) &gt;= (test!$B$33)/1440),1,0)</f>
        <v>1</v>
      </c>
      <c r="G30" s="2">
        <f>IF(AND(VLOOKUP(G$1,test!$A$3:$F$32,5,FALSE) - VLOOKUP($B30,test!$A$3:$G$32,6,FALSE) &gt;= (test!$B$33)/1440),1,0)</f>
        <v>1</v>
      </c>
      <c r="H30" s="2">
        <f>IF(AND(VLOOKUP(H$1,test!$A$3:$F$32,5,FALSE) - VLOOKUP($B30,test!$A$3:$G$32,6,FALSE) &gt;= (test!$B$33)/1440),1,0)</f>
        <v>1</v>
      </c>
      <c r="I30" s="2">
        <f>IF(AND(VLOOKUP(I$1,test!$A$3:$F$32,5,FALSE) - VLOOKUP($B30,test!$A$3:$G$32,6,FALSE) &gt;= (test!$B$33)/1440),1,0)</f>
        <v>1</v>
      </c>
      <c r="J30" s="2">
        <f>IF(AND(VLOOKUP(J$1,test!$A$3:$F$32,5,FALSE) - VLOOKUP($B30,test!$A$3:$G$32,6,FALSE) &gt;= (test!$B$33)/1440),1,0)</f>
        <v>1</v>
      </c>
      <c r="K30" s="2">
        <f>IF(AND(VLOOKUP(K$1,test!$A$3:$F$32,5,FALSE) - VLOOKUP($B30,test!$A$3:$G$32,6,FALSE) &gt;= (test!$B$33)/1440),1,0)</f>
        <v>1</v>
      </c>
      <c r="L30" s="2">
        <f>IF(AND(VLOOKUP(L$1,test!$A$3:$F$32,5,FALSE) - VLOOKUP($B30,test!$A$3:$G$32,6,FALSE) &gt;= (test!$B$33)/1440),1,0)</f>
        <v>0</v>
      </c>
      <c r="M30" s="2">
        <f>IF(AND(VLOOKUP(M$1,test!$A$3:$F$32,5,FALSE) - VLOOKUP($B30,test!$A$3:$G$32,6,FALSE) &gt;= (test!$B$33)/1440),1,0)</f>
        <v>0</v>
      </c>
      <c r="N30" s="2">
        <f>IF(AND(VLOOKUP(N$1,test!$A$3:$F$32,5,FALSE) - VLOOKUP($B30,test!$A$3:$G$32,6,FALSE) &gt;= (test!$B$33)/1440),1,0)</f>
        <v>1</v>
      </c>
      <c r="O30" s="2">
        <f>IF(AND(VLOOKUP(O$1,test!$A$3:$F$32,5,FALSE) - VLOOKUP($B30,test!$A$3:$G$32,6,FALSE) &gt;= (test!$B$33)/1440),1,0)</f>
        <v>1</v>
      </c>
      <c r="P30" s="2">
        <f>IF(AND(VLOOKUP(P$1,test!$A$3:$F$32,5,FALSE) - VLOOKUP($B30,test!$A$3:$G$32,6,FALSE) &gt;= (test!$B$33)/1440),1,0)</f>
        <v>1</v>
      </c>
      <c r="Q30" s="2">
        <f>IF(AND(VLOOKUP(Q$1,test!$A$3:$F$32,5,FALSE) - VLOOKUP($B30,test!$A$3:$G$32,6,FALSE) &gt;= (test!$B$33)/1440),1,0)</f>
        <v>0</v>
      </c>
      <c r="R30" s="2">
        <f>IF(AND(VLOOKUP(R$1,test!$A$3:$F$32,5,FALSE) - VLOOKUP($B30,test!$A$3:$G$32,6,FALSE) &gt;= (test!$B$33)/1440),1,0)</f>
        <v>0</v>
      </c>
      <c r="S30" s="2">
        <f>IF(AND(VLOOKUP(S$1,test!$A$3:$F$32,5,FALSE) - VLOOKUP($B30,test!$A$3:$G$32,6,FALSE) &gt;= (test!$B$33)/1440),1,0)</f>
        <v>0</v>
      </c>
      <c r="T30" s="2">
        <f>IF(AND(VLOOKUP(T$1,test!$A$3:$F$32,5,FALSE) - VLOOKUP($B30,test!$A$3:$G$32,6,FALSE) &gt;= (test!$B$33)/1440),1,0)</f>
        <v>0</v>
      </c>
      <c r="U30" s="2">
        <f>IF(AND(VLOOKUP(U$1,test!$A$3:$F$32,5,FALSE) - VLOOKUP($B30,test!$A$3:$G$32,6,FALSE) &gt;= (test!$B$33)/1440),1,0)</f>
        <v>1</v>
      </c>
      <c r="V30" s="2">
        <f>IF(AND(VLOOKUP(V$1,test!$A$3:$F$32,5,FALSE) - VLOOKUP($B30,test!$A$3:$G$32,6,FALSE) &gt;= (test!$B$33)/1440),1,0)</f>
        <v>1</v>
      </c>
      <c r="W30" s="2">
        <f>IF(AND(VLOOKUP(W$1,test!$A$3:$F$32,5,FALSE) - VLOOKUP($B30,test!$A$3:$G$32,6,FALSE) &gt;= (test!$B$33)/1440),1,0)</f>
        <v>1</v>
      </c>
      <c r="X30" s="2">
        <f>IF(AND(VLOOKUP(X$1,test!$A$3:$F$32,5,FALSE) - VLOOKUP($B30,test!$A$3:$G$32,6,FALSE) &gt;= (test!$B$33)/1440),1,0)</f>
        <v>1</v>
      </c>
      <c r="Y30" s="2">
        <f>IF(AND(VLOOKUP(Y$1,test!$A$3:$F$32,5,FALSE) - VLOOKUP($B30,test!$A$3:$G$32,6,FALSE) &gt;= (test!$B$33)/1440),1,0)</f>
        <v>1</v>
      </c>
      <c r="Z30" s="2">
        <f>IF(AND(VLOOKUP(Z$1,test!$A$3:$F$32,5,FALSE) - VLOOKUP($B30,test!$A$3:$G$32,6,FALSE) &gt;= (test!$B$33)/1440),1,0)</f>
        <v>0</v>
      </c>
      <c r="AA30" s="2">
        <f>IF(AND(VLOOKUP(AA$1,test!$A$3:$F$32,5,FALSE) - VLOOKUP($B30,test!$A$3:$G$32,6,FALSE) &gt;= (test!$B$33)/1440),1,0)</f>
        <v>0</v>
      </c>
      <c r="AB30" s="2">
        <f>IF(AND(VLOOKUP(AB$1,test!$A$3:$F$32,5,FALSE) - VLOOKUP($B30,test!$A$3:$G$32,6,FALSE) &gt;= (test!$B$33)/1440),1,0)</f>
        <v>1</v>
      </c>
      <c r="AC30" s="2">
        <f>IF(AND(VLOOKUP(AC$1,test!$A$3:$F$32,5,FALSE) - VLOOKUP($B30,test!$A$3:$G$32,6,FALSE) &gt;= (test!$B$33)/1440),1,0)</f>
        <v>1</v>
      </c>
      <c r="AD30" s="2">
        <f>IF(AND(VLOOKUP(AD$1,test!$A$3:$F$32,5,FALSE) - VLOOKUP($B30,test!$A$3:$G$32,6,FALSE) &gt;= (test!$B$33)/1440),1,0)</f>
        <v>1</v>
      </c>
      <c r="AE30" s="2">
        <f>IF(AND(VLOOKUP(AE$1,test!$A$3:$F$32,5,FALSE) - VLOOKUP($B30,test!$A$3:$G$32,6,FALSE) &gt;= (test!$B$33)/1440),1,0)</f>
        <v>0</v>
      </c>
      <c r="AF30" s="2">
        <f>IF(AND(VLOOKUP(AF$1,test!$A$3:$F$32,5,FALSE) - VLOOKUP($B30,test!$A$3:$G$32,6,FALSE) &gt;= (test!$B$33)/1440),1,0)</f>
        <v>1</v>
      </c>
      <c r="AG30" s="2">
        <f>IF(AND(VLOOKUP(AG$1,test!$A$3:$F$32,5,FALSE) - VLOOKUP($B30,test!$A$3:$G$32,6,FALSE) &gt;= (test!$B$33)/1440),1,0)</f>
        <v>1</v>
      </c>
    </row>
    <row r="31" spans="1:33" x14ac:dyDescent="0.25">
      <c r="A31" t="s">
        <v>49</v>
      </c>
      <c r="B31" t="s">
        <v>40</v>
      </c>
      <c r="C31">
        <v>0</v>
      </c>
      <c r="D31" s="2">
        <f>IF(AND(VLOOKUP(D$1,test!$A$3:$F$32,5,FALSE) - VLOOKUP($B31,test!$A$3:$G$32,6,FALSE) &gt;= (test!$B$33)/1440),1,0)</f>
        <v>0</v>
      </c>
      <c r="E31" s="2">
        <f>IF(AND(VLOOKUP(E$1,test!$A$3:$F$32,5,FALSE) - VLOOKUP($B31,test!$A$3:$G$32,6,FALSE) &gt;= (test!$B$33)/1440),1,0)</f>
        <v>0</v>
      </c>
      <c r="F31" s="2">
        <f>IF(AND(VLOOKUP(F$1,test!$A$3:$F$32,5,FALSE) - VLOOKUP($B31,test!$A$3:$G$32,6,FALSE) &gt;= (test!$B$33)/1440),1,0)</f>
        <v>0</v>
      </c>
      <c r="G31" s="2">
        <f>IF(AND(VLOOKUP(G$1,test!$A$3:$F$32,5,FALSE) - VLOOKUP($B31,test!$A$3:$G$32,6,FALSE) &gt;= (test!$B$33)/1440),1,0)</f>
        <v>0</v>
      </c>
      <c r="H31" s="2">
        <f>IF(AND(VLOOKUP(H$1,test!$A$3:$F$32,5,FALSE) - VLOOKUP($B31,test!$A$3:$G$32,6,FALSE) &gt;= (test!$B$33)/1440),1,0)</f>
        <v>0</v>
      </c>
      <c r="I31" s="2">
        <f>IF(AND(VLOOKUP(I$1,test!$A$3:$F$32,5,FALSE) - VLOOKUP($B31,test!$A$3:$G$32,6,FALSE) &gt;= (test!$B$33)/1440),1,0)</f>
        <v>0</v>
      </c>
      <c r="J31" s="2">
        <f>IF(AND(VLOOKUP(J$1,test!$A$3:$F$32,5,FALSE) - VLOOKUP($B31,test!$A$3:$G$32,6,FALSE) &gt;= (test!$B$33)/1440),1,0)</f>
        <v>0</v>
      </c>
      <c r="K31" s="2">
        <f>IF(AND(VLOOKUP(K$1,test!$A$3:$F$32,5,FALSE) - VLOOKUP($B31,test!$A$3:$G$32,6,FALSE) &gt;= (test!$B$33)/1440),1,0)</f>
        <v>1</v>
      </c>
      <c r="L31" s="2">
        <f>IF(AND(VLOOKUP(L$1,test!$A$3:$F$32,5,FALSE) - VLOOKUP($B31,test!$A$3:$G$32,6,FALSE) &gt;= (test!$B$33)/1440),1,0)</f>
        <v>0</v>
      </c>
      <c r="M31" s="2">
        <f>IF(AND(VLOOKUP(M$1,test!$A$3:$F$32,5,FALSE) - VLOOKUP($B31,test!$A$3:$G$32,6,FALSE) &gt;= (test!$B$33)/1440),1,0)</f>
        <v>0</v>
      </c>
      <c r="N31" s="2">
        <f>IF(AND(VLOOKUP(N$1,test!$A$3:$F$32,5,FALSE) - VLOOKUP($B31,test!$A$3:$G$32,6,FALSE) &gt;= (test!$B$33)/1440),1,0)</f>
        <v>0</v>
      </c>
      <c r="O31" s="2">
        <f>IF(AND(VLOOKUP(O$1,test!$A$3:$F$32,5,FALSE) - VLOOKUP($B31,test!$A$3:$G$32,6,FALSE) &gt;= (test!$B$33)/1440),1,0)</f>
        <v>1</v>
      </c>
      <c r="P31" s="2">
        <f>IF(AND(VLOOKUP(P$1,test!$A$3:$F$32,5,FALSE) - VLOOKUP($B31,test!$A$3:$G$32,6,FALSE) &gt;= (test!$B$33)/1440),1,0)</f>
        <v>1</v>
      </c>
      <c r="Q31" s="2">
        <f>IF(AND(VLOOKUP(Q$1,test!$A$3:$F$32,5,FALSE) - VLOOKUP($B31,test!$A$3:$G$32,6,FALSE) &gt;= (test!$B$33)/1440),1,0)</f>
        <v>0</v>
      </c>
      <c r="R31" s="2">
        <f>IF(AND(VLOOKUP(R$1,test!$A$3:$F$32,5,FALSE) - VLOOKUP($B31,test!$A$3:$G$32,6,FALSE) &gt;= (test!$B$33)/1440),1,0)</f>
        <v>0</v>
      </c>
      <c r="S31" s="2">
        <f>IF(AND(VLOOKUP(S$1,test!$A$3:$F$32,5,FALSE) - VLOOKUP($B31,test!$A$3:$G$32,6,FALSE) &gt;= (test!$B$33)/1440),1,0)</f>
        <v>0</v>
      </c>
      <c r="T31" s="2">
        <f>IF(AND(VLOOKUP(T$1,test!$A$3:$F$32,5,FALSE) - VLOOKUP($B31,test!$A$3:$G$32,6,FALSE) &gt;= (test!$B$33)/1440),1,0)</f>
        <v>0</v>
      </c>
      <c r="U31" s="2">
        <f>IF(AND(VLOOKUP(U$1,test!$A$3:$F$32,5,FALSE) - VLOOKUP($B31,test!$A$3:$G$32,6,FALSE) &gt;= (test!$B$33)/1440),1,0)</f>
        <v>0</v>
      </c>
      <c r="V31" s="2">
        <f>IF(AND(VLOOKUP(V$1,test!$A$3:$F$32,5,FALSE) - VLOOKUP($B31,test!$A$3:$G$32,6,FALSE) &gt;= (test!$B$33)/1440),1,0)</f>
        <v>0</v>
      </c>
      <c r="W31" s="2">
        <f>IF(AND(VLOOKUP(W$1,test!$A$3:$F$32,5,FALSE) - VLOOKUP($B31,test!$A$3:$G$32,6,FALSE) &gt;= (test!$B$33)/1440),1,0)</f>
        <v>0</v>
      </c>
      <c r="X31" s="2">
        <f>IF(AND(VLOOKUP(X$1,test!$A$3:$F$32,5,FALSE) - VLOOKUP($B31,test!$A$3:$G$32,6,FALSE) &gt;= (test!$B$33)/1440),1,0)</f>
        <v>0</v>
      </c>
      <c r="Y31" s="2">
        <f>IF(AND(VLOOKUP(Y$1,test!$A$3:$F$32,5,FALSE) - VLOOKUP($B31,test!$A$3:$G$32,6,FALSE) &gt;= (test!$B$33)/1440),1,0)</f>
        <v>1</v>
      </c>
      <c r="Z31" s="2">
        <f>IF(AND(VLOOKUP(Z$1,test!$A$3:$F$32,5,FALSE) - VLOOKUP($B31,test!$A$3:$G$32,6,FALSE) &gt;= (test!$B$33)/1440),1,0)</f>
        <v>0</v>
      </c>
      <c r="AA31" s="2">
        <f>IF(AND(VLOOKUP(AA$1,test!$A$3:$F$32,5,FALSE) - VLOOKUP($B31,test!$A$3:$G$32,6,FALSE) &gt;= (test!$B$33)/1440),1,0)</f>
        <v>0</v>
      </c>
      <c r="AB31" s="2">
        <f>IF(AND(VLOOKUP(AB$1,test!$A$3:$F$32,5,FALSE) - VLOOKUP($B31,test!$A$3:$G$32,6,FALSE) &gt;= (test!$B$33)/1440),1,0)</f>
        <v>0</v>
      </c>
      <c r="AC31" s="2">
        <f>IF(AND(VLOOKUP(AC$1,test!$A$3:$F$32,5,FALSE) - VLOOKUP($B31,test!$A$3:$G$32,6,FALSE) &gt;= (test!$B$33)/1440),1,0)</f>
        <v>0</v>
      </c>
      <c r="AD31" s="2">
        <f>IF(AND(VLOOKUP(AD$1,test!$A$3:$F$32,5,FALSE) - VLOOKUP($B31,test!$A$3:$G$32,6,FALSE) &gt;= (test!$B$33)/1440),1,0)</f>
        <v>0</v>
      </c>
      <c r="AE31" s="2">
        <f>IF(AND(VLOOKUP(AE$1,test!$A$3:$F$32,5,FALSE) - VLOOKUP($B31,test!$A$3:$G$32,6,FALSE) &gt;= (test!$B$33)/1440),1,0)</f>
        <v>0</v>
      </c>
      <c r="AF31" s="2">
        <f>IF(AND(VLOOKUP(AF$1,test!$A$3:$F$32,5,FALSE) - VLOOKUP($B31,test!$A$3:$G$32,6,FALSE) &gt;= (test!$B$33)/1440),1,0)</f>
        <v>0</v>
      </c>
      <c r="AG31" s="2">
        <f>IF(AND(VLOOKUP(AG$1,test!$A$3:$F$32,5,FALSE) - VLOOKUP($B31,test!$A$3:$G$32,6,FALSE) &gt;= (test!$B$33)/1440),1,0)</f>
        <v>0</v>
      </c>
    </row>
    <row r="32" spans="1:33" x14ac:dyDescent="0.25">
      <c r="A32" t="s">
        <v>49</v>
      </c>
      <c r="B32" t="s">
        <v>41</v>
      </c>
      <c r="C32">
        <v>0</v>
      </c>
      <c r="D32" s="2">
        <f>IF(AND(VLOOKUP(D$1,test!$A$3:$F$32,5,FALSE) - VLOOKUP($B32,test!$A$3:$G$32,6,FALSE) &gt;= (test!$B$33)/1440),1,0)</f>
        <v>0</v>
      </c>
      <c r="E32" s="2">
        <f>IF(AND(VLOOKUP(E$1,test!$A$3:$F$32,5,FALSE) - VLOOKUP($B32,test!$A$3:$G$32,6,FALSE) &gt;= (test!$B$33)/1440),1,0)</f>
        <v>0</v>
      </c>
      <c r="F32" s="2">
        <f>IF(AND(VLOOKUP(F$1,test!$A$3:$F$32,5,FALSE) - VLOOKUP($B32,test!$A$3:$G$32,6,FALSE) &gt;= (test!$B$33)/1440),1,0)</f>
        <v>0</v>
      </c>
      <c r="G32" s="2">
        <f>IF(AND(VLOOKUP(G$1,test!$A$3:$F$32,5,FALSE) - VLOOKUP($B32,test!$A$3:$G$32,6,FALSE) &gt;= (test!$B$33)/1440),1,0)</f>
        <v>0</v>
      </c>
      <c r="H32" s="2">
        <f>IF(AND(VLOOKUP(H$1,test!$A$3:$F$32,5,FALSE) - VLOOKUP($B32,test!$A$3:$G$32,6,FALSE) &gt;= (test!$B$33)/1440),1,0)</f>
        <v>0</v>
      </c>
      <c r="I32" s="2">
        <f>IF(AND(VLOOKUP(I$1,test!$A$3:$F$32,5,FALSE) - VLOOKUP($B32,test!$A$3:$G$32,6,FALSE) &gt;= (test!$B$33)/1440),1,0)</f>
        <v>0</v>
      </c>
      <c r="J32" s="2">
        <f>IF(AND(VLOOKUP(J$1,test!$A$3:$F$32,5,FALSE) - VLOOKUP($B32,test!$A$3:$G$32,6,FALSE) &gt;= (test!$B$33)/1440),1,0)</f>
        <v>0</v>
      </c>
      <c r="K32" s="2">
        <f>IF(AND(VLOOKUP(K$1,test!$A$3:$F$32,5,FALSE) - VLOOKUP($B32,test!$A$3:$G$32,6,FALSE) &gt;= (test!$B$33)/1440),1,0)</f>
        <v>1</v>
      </c>
      <c r="L32" s="2">
        <f>IF(AND(VLOOKUP(L$1,test!$A$3:$F$32,5,FALSE) - VLOOKUP($B32,test!$A$3:$G$32,6,FALSE) &gt;= (test!$B$33)/1440),1,0)</f>
        <v>0</v>
      </c>
      <c r="M32" s="2">
        <f>IF(AND(VLOOKUP(M$1,test!$A$3:$F$32,5,FALSE) - VLOOKUP($B32,test!$A$3:$G$32,6,FALSE) &gt;= (test!$B$33)/1440),1,0)</f>
        <v>0</v>
      </c>
      <c r="N32" s="2">
        <f>IF(AND(VLOOKUP(N$1,test!$A$3:$F$32,5,FALSE) - VLOOKUP($B32,test!$A$3:$G$32,6,FALSE) &gt;= (test!$B$33)/1440),1,0)</f>
        <v>0</v>
      </c>
      <c r="O32" s="2">
        <f>IF(AND(VLOOKUP(O$1,test!$A$3:$F$32,5,FALSE) - VLOOKUP($B32,test!$A$3:$G$32,6,FALSE) &gt;= (test!$B$33)/1440),1,0)</f>
        <v>1</v>
      </c>
      <c r="P32" s="2">
        <f>IF(AND(VLOOKUP(P$1,test!$A$3:$F$32,5,FALSE) - VLOOKUP($B32,test!$A$3:$G$32,6,FALSE) &gt;= (test!$B$33)/1440),1,0)</f>
        <v>1</v>
      </c>
      <c r="Q32" s="2">
        <f>IF(AND(VLOOKUP(Q$1,test!$A$3:$F$32,5,FALSE) - VLOOKUP($B32,test!$A$3:$G$32,6,FALSE) &gt;= (test!$B$33)/1440),1,0)</f>
        <v>0</v>
      </c>
      <c r="R32" s="2">
        <f>IF(AND(VLOOKUP(R$1,test!$A$3:$F$32,5,FALSE) - VLOOKUP($B32,test!$A$3:$G$32,6,FALSE) &gt;= (test!$B$33)/1440),1,0)</f>
        <v>0</v>
      </c>
      <c r="S32" s="2">
        <f>IF(AND(VLOOKUP(S$1,test!$A$3:$F$32,5,FALSE) - VLOOKUP($B32,test!$A$3:$G$32,6,FALSE) &gt;= (test!$B$33)/1440),1,0)</f>
        <v>0</v>
      </c>
      <c r="T32" s="2">
        <f>IF(AND(VLOOKUP(T$1,test!$A$3:$F$32,5,FALSE) - VLOOKUP($B32,test!$A$3:$G$32,6,FALSE) &gt;= (test!$B$33)/1440),1,0)</f>
        <v>0</v>
      </c>
      <c r="U32" s="2">
        <f>IF(AND(VLOOKUP(U$1,test!$A$3:$F$32,5,FALSE) - VLOOKUP($B32,test!$A$3:$G$32,6,FALSE) &gt;= (test!$B$33)/1440),1,0)</f>
        <v>0</v>
      </c>
      <c r="V32" s="2">
        <f>IF(AND(VLOOKUP(V$1,test!$A$3:$F$32,5,FALSE) - VLOOKUP($B32,test!$A$3:$G$32,6,FALSE) &gt;= (test!$B$33)/1440),1,0)</f>
        <v>0</v>
      </c>
      <c r="W32" s="2">
        <f>IF(AND(VLOOKUP(W$1,test!$A$3:$F$32,5,FALSE) - VLOOKUP($B32,test!$A$3:$G$32,6,FALSE) &gt;= (test!$B$33)/1440),1,0)</f>
        <v>0</v>
      </c>
      <c r="X32" s="2">
        <f>IF(AND(VLOOKUP(X$1,test!$A$3:$F$32,5,FALSE) - VLOOKUP($B32,test!$A$3:$G$32,6,FALSE) &gt;= (test!$B$33)/1440),1,0)</f>
        <v>0</v>
      </c>
      <c r="Y32" s="2">
        <f>IF(AND(VLOOKUP(Y$1,test!$A$3:$F$32,5,FALSE) - VLOOKUP($B32,test!$A$3:$G$32,6,FALSE) &gt;= (test!$B$33)/1440),1,0)</f>
        <v>0</v>
      </c>
      <c r="Z32" s="2">
        <f>IF(AND(VLOOKUP(Z$1,test!$A$3:$F$32,5,FALSE) - VLOOKUP($B32,test!$A$3:$G$32,6,FALSE) &gt;= (test!$B$33)/1440),1,0)</f>
        <v>0</v>
      </c>
      <c r="AA32" s="2">
        <f>IF(AND(VLOOKUP(AA$1,test!$A$3:$F$32,5,FALSE) - VLOOKUP($B32,test!$A$3:$G$32,6,FALSE) &gt;= (test!$B$33)/1440),1,0)</f>
        <v>0</v>
      </c>
      <c r="AB32" s="2">
        <f>IF(AND(VLOOKUP(AB$1,test!$A$3:$F$32,5,FALSE) - VLOOKUP($B32,test!$A$3:$G$32,6,FALSE) &gt;= (test!$B$33)/1440),1,0)</f>
        <v>0</v>
      </c>
      <c r="AC32" s="2">
        <f>IF(AND(VLOOKUP(AC$1,test!$A$3:$F$32,5,FALSE) - VLOOKUP($B32,test!$A$3:$G$32,6,FALSE) &gt;= (test!$B$33)/1440),1,0)</f>
        <v>0</v>
      </c>
      <c r="AD32" s="2">
        <f>IF(AND(VLOOKUP(AD$1,test!$A$3:$F$32,5,FALSE) - VLOOKUP($B32,test!$A$3:$G$32,6,FALSE) &gt;= (test!$B$33)/1440),1,0)</f>
        <v>0</v>
      </c>
      <c r="AE32" s="2">
        <f>IF(AND(VLOOKUP(AE$1,test!$A$3:$F$32,5,FALSE) - VLOOKUP($B32,test!$A$3:$G$32,6,FALSE) &gt;= (test!$B$33)/1440),1,0)</f>
        <v>0</v>
      </c>
      <c r="AF32" s="2">
        <f>IF(AND(VLOOKUP(AF$1,test!$A$3:$F$32,5,FALSE) - VLOOKUP($B32,test!$A$3:$G$32,6,FALSE) &gt;= (test!$B$33)/1440),1,0)</f>
        <v>0</v>
      </c>
      <c r="AG32" s="2">
        <f>IF(AND(VLOOKUP(AG$1,test!$A$3:$F$32,5,FALSE) - VLOOKUP($B32,test!$A$3:$G$32,6,FALSE) &gt;= (test!$B$33)/1440),1,0)</f>
        <v>0</v>
      </c>
    </row>
    <row r="33" spans="1:33" x14ac:dyDescent="0.25">
      <c r="A33" t="s">
        <v>59</v>
      </c>
      <c r="B33" t="s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 t="s">
        <v>59</v>
      </c>
      <c r="B34" t="s">
        <v>6</v>
      </c>
      <c r="C34">
        <v>0</v>
      </c>
      <c r="D34" s="2">
        <f>IF(AND(VLOOKUP(D$1,test!$A$3:$F$32,5,FALSE) - VLOOKUP($B34,test!$A$3:$G$32,6,FALSE) &gt;= (test!$B$34)/1440),1,0)</f>
        <v>0</v>
      </c>
      <c r="E34" s="2">
        <f>IF(AND(VLOOKUP(E$1,test!$A$3:$F$32,5,FALSE) - VLOOKUP($B34,test!$A$3:$G$32,6,FALSE) &gt;= (test!$B$34)/1440),1,0)</f>
        <v>0</v>
      </c>
      <c r="F34" s="2">
        <f>IF(AND(VLOOKUP(F$1,test!$A$3:$F$32,5,FALSE) - VLOOKUP($B34,test!$A$3:$G$32,6,FALSE) &gt;= (test!$B$34)/1440),1,0)</f>
        <v>1</v>
      </c>
      <c r="G34" s="2">
        <f>IF(AND(VLOOKUP(G$1,test!$A$3:$F$32,5,FALSE) - VLOOKUP($B34,test!$A$3:$G$32,6,FALSE) &gt;= (test!$B$34)/1440),1,0)</f>
        <v>1</v>
      </c>
      <c r="H34" s="2">
        <f>IF(AND(VLOOKUP(H$1,test!$A$3:$F$32,5,FALSE) - VLOOKUP($B34,test!$A$3:$G$32,6,FALSE) &gt;= (test!$B$34)/1440),1,0)</f>
        <v>1</v>
      </c>
      <c r="I34" s="2">
        <f>IF(AND(VLOOKUP(I$1,test!$A$3:$F$32,5,FALSE) - VLOOKUP($B34,test!$A$3:$G$32,6,FALSE) &gt;= (test!$B$34)/1440),1,0)</f>
        <v>1</v>
      </c>
      <c r="J34" s="2">
        <f>IF(AND(VLOOKUP(J$1,test!$A$3:$F$32,5,FALSE) - VLOOKUP($B34,test!$A$3:$G$32,6,FALSE) &gt;= (test!$B$34)/1440),1,0)</f>
        <v>1</v>
      </c>
      <c r="K34" s="2">
        <f>IF(AND(VLOOKUP(K$1,test!$A$3:$F$32,5,FALSE) - VLOOKUP($B34,test!$A$3:$G$32,6,FALSE) &gt;= (test!$B$34)/1440),1,0)</f>
        <v>1</v>
      </c>
      <c r="L34" s="2">
        <f>IF(AND(VLOOKUP(L$1,test!$A$3:$F$32,5,FALSE) - VLOOKUP($B34,test!$A$3:$G$32,6,FALSE) &gt;= (test!$B$34)/1440),1,0)</f>
        <v>0</v>
      </c>
      <c r="M34" s="2">
        <f>IF(AND(VLOOKUP(M$1,test!$A$3:$F$32,5,FALSE) - VLOOKUP($B34,test!$A$3:$G$32,6,FALSE) &gt;= (test!$B$34)/1440),1,0)</f>
        <v>0</v>
      </c>
      <c r="N34" s="2">
        <f>IF(AND(VLOOKUP(N$1,test!$A$3:$F$32,5,FALSE) - VLOOKUP($B34,test!$A$3:$G$32,6,FALSE) &gt;= (test!$B$34)/1440),1,0)</f>
        <v>1</v>
      </c>
      <c r="O34" s="2">
        <f>IF(AND(VLOOKUP(O$1,test!$A$3:$F$32,5,FALSE) - VLOOKUP($B34,test!$A$3:$G$32,6,FALSE) &gt;= (test!$B$34)/1440),1,0)</f>
        <v>1</v>
      </c>
      <c r="P34" s="2">
        <f>IF(AND(VLOOKUP(P$1,test!$A$3:$F$32,5,FALSE) - VLOOKUP($B34,test!$A$3:$G$32,6,FALSE) &gt;= (test!$B$34)/1440),1,0)</f>
        <v>1</v>
      </c>
      <c r="Q34" s="2">
        <f>IF(AND(VLOOKUP(Q$1,test!$A$3:$F$32,5,FALSE) - VLOOKUP($B34,test!$A$3:$G$32,6,FALSE) &gt;= (test!$B$34)/1440),1,0)</f>
        <v>0</v>
      </c>
      <c r="R34" s="2">
        <f>IF(AND(VLOOKUP(R$1,test!$A$3:$F$32,5,FALSE) - VLOOKUP($B34,test!$A$3:$G$32,6,FALSE) &gt;= (test!$B$34)/1440),1,0)</f>
        <v>0</v>
      </c>
      <c r="S34" s="2">
        <f>IF(AND(VLOOKUP(S$1,test!$A$3:$F$32,5,FALSE) - VLOOKUP($B34,test!$A$3:$G$32,6,FALSE) &gt;= (test!$B$34)/1440),1,0)</f>
        <v>0</v>
      </c>
      <c r="T34" s="2">
        <f>IF(AND(VLOOKUP(T$1,test!$A$3:$F$32,5,FALSE) - VLOOKUP($B34,test!$A$3:$G$32,6,FALSE) &gt;= (test!$B$34)/1440),1,0)</f>
        <v>0</v>
      </c>
      <c r="U34" s="2">
        <f>IF(AND(VLOOKUP(U$1,test!$A$3:$F$32,5,FALSE) - VLOOKUP($B34,test!$A$3:$G$32,6,FALSE) &gt;= (test!$B$34)/1440),1,0)</f>
        <v>1</v>
      </c>
      <c r="V34" s="2">
        <f>IF(AND(VLOOKUP(V$1,test!$A$3:$F$32,5,FALSE) - VLOOKUP($B34,test!$A$3:$G$32,6,FALSE) &gt;= (test!$B$34)/1440),1,0)</f>
        <v>1</v>
      </c>
      <c r="W34" s="2">
        <f>IF(AND(VLOOKUP(W$1,test!$A$3:$F$32,5,FALSE) - VLOOKUP($B34,test!$A$3:$G$32,6,FALSE) &gt;= (test!$B$34)/1440),1,0)</f>
        <v>1</v>
      </c>
      <c r="X34" s="2">
        <f>IF(AND(VLOOKUP(X$1,test!$A$3:$F$32,5,FALSE) - VLOOKUP($B34,test!$A$3:$G$32,6,FALSE) &gt;= (test!$B$34)/1440),1,0)</f>
        <v>1</v>
      </c>
      <c r="Y34" s="2">
        <f>IF(AND(VLOOKUP(Y$1,test!$A$3:$F$32,5,FALSE) - VLOOKUP($B34,test!$A$3:$G$32,6,FALSE) &gt;= (test!$B$34)/1440),1,0)</f>
        <v>1</v>
      </c>
      <c r="Z34" s="2">
        <f>IF(AND(VLOOKUP(Z$1,test!$A$3:$F$32,5,FALSE) - VLOOKUP($B34,test!$A$3:$G$32,6,FALSE) &gt;= (test!$B$34)/1440),1,0)</f>
        <v>0</v>
      </c>
      <c r="AA34" s="2">
        <f>IF(AND(VLOOKUP(AA$1,test!$A$3:$F$32,5,FALSE) - VLOOKUP($B34,test!$A$3:$G$32,6,FALSE) &gt;= (test!$B$34)/1440),1,0)</f>
        <v>0</v>
      </c>
      <c r="AB34" s="2">
        <f>IF(AND(VLOOKUP(AB$1,test!$A$3:$F$32,5,FALSE) - VLOOKUP($B34,test!$A$3:$G$32,6,FALSE) &gt;= (test!$B$34)/1440),1,0)</f>
        <v>1</v>
      </c>
      <c r="AC34" s="2">
        <f>IF(AND(VLOOKUP(AC$1,test!$A$3:$F$32,5,FALSE) - VLOOKUP($B34,test!$A$3:$G$32,6,FALSE) &gt;= (test!$B$34)/1440),1,0)</f>
        <v>1</v>
      </c>
      <c r="AD34" s="2">
        <f>IF(AND(VLOOKUP(AD$1,test!$A$3:$F$32,5,FALSE) - VLOOKUP($B34,test!$A$3:$G$32,6,FALSE) &gt;= (test!$B$34)/1440),1,0)</f>
        <v>1</v>
      </c>
      <c r="AE34" s="2">
        <f>IF(AND(VLOOKUP(AE$1,test!$A$3:$F$32,5,FALSE) - VLOOKUP($B34,test!$A$3:$G$32,6,FALSE) &gt;= (test!$B$34)/1440),1,0)</f>
        <v>0</v>
      </c>
      <c r="AF34" s="2">
        <f>IF(AND(VLOOKUP(AF$1,test!$A$3:$F$32,5,FALSE) - VLOOKUP($B34,test!$A$3:$G$32,6,FALSE) &gt;= (test!$B$34)/1440),1,0)</f>
        <v>1</v>
      </c>
      <c r="AG34" s="2">
        <f>IF(AND(VLOOKUP(AG$1,test!$A$3:$F$32,5,FALSE) - VLOOKUP($B34,test!$A$3:$G$32,6,FALSE) &gt;= (test!$B$34)/1440),1,0)</f>
        <v>1</v>
      </c>
    </row>
    <row r="35" spans="1:33" x14ac:dyDescent="0.25">
      <c r="A35" t="s">
        <v>59</v>
      </c>
      <c r="B35" t="s">
        <v>9</v>
      </c>
      <c r="C35">
        <v>0</v>
      </c>
      <c r="D35" s="2">
        <f>IF(AND(VLOOKUP(D$1,test!$A$3:$F$32,5,FALSE) - VLOOKUP($B35,test!$A$3:$G$32,6,FALSE) &gt;= (test!$B$34)/1440),1,0)</f>
        <v>0</v>
      </c>
      <c r="E35" s="2">
        <f>IF(AND(VLOOKUP(E$1,test!$A$3:$F$32,5,FALSE) - VLOOKUP($B35,test!$A$3:$G$32,6,FALSE) &gt;= (test!$B$34)/1440),1,0)</f>
        <v>0</v>
      </c>
      <c r="F35" s="2">
        <f>IF(AND(VLOOKUP(F$1,test!$A$3:$F$32,5,FALSE) - VLOOKUP($B35,test!$A$3:$G$32,6,FALSE) &gt;= (test!$B$34)/1440),1,0)</f>
        <v>0</v>
      </c>
      <c r="G35" s="2">
        <f>IF(AND(VLOOKUP(G$1,test!$A$3:$F$32,5,FALSE) - VLOOKUP($B35,test!$A$3:$G$32,6,FALSE) &gt;= (test!$B$34)/1440),1,0)</f>
        <v>0</v>
      </c>
      <c r="H35" s="2">
        <f>IF(AND(VLOOKUP(H$1,test!$A$3:$F$32,5,FALSE) - VLOOKUP($B35,test!$A$3:$G$32,6,FALSE) &gt;= (test!$B$34)/1440),1,0)</f>
        <v>1</v>
      </c>
      <c r="I35" s="2">
        <f>IF(AND(VLOOKUP(I$1,test!$A$3:$F$32,5,FALSE) - VLOOKUP($B35,test!$A$3:$G$32,6,FALSE) &gt;= (test!$B$34)/1440),1,0)</f>
        <v>1</v>
      </c>
      <c r="J35" s="2">
        <f>IF(AND(VLOOKUP(J$1,test!$A$3:$F$32,5,FALSE) - VLOOKUP($B35,test!$A$3:$G$32,6,FALSE) &gt;= (test!$B$34)/1440),1,0)</f>
        <v>1</v>
      </c>
      <c r="K35" s="2">
        <f>IF(AND(VLOOKUP(K$1,test!$A$3:$F$32,5,FALSE) - VLOOKUP($B35,test!$A$3:$G$32,6,FALSE) &gt;= (test!$B$34)/1440),1,0)</f>
        <v>1</v>
      </c>
      <c r="L35" s="2">
        <f>IF(AND(VLOOKUP(L$1,test!$A$3:$F$32,5,FALSE) - VLOOKUP($B35,test!$A$3:$G$32,6,FALSE) &gt;= (test!$B$34)/1440),1,0)</f>
        <v>0</v>
      </c>
      <c r="M35" s="2">
        <f>IF(AND(VLOOKUP(M$1,test!$A$3:$F$32,5,FALSE) - VLOOKUP($B35,test!$A$3:$G$32,6,FALSE) &gt;= (test!$B$34)/1440),1,0)</f>
        <v>0</v>
      </c>
      <c r="N35" s="2">
        <f>IF(AND(VLOOKUP(N$1,test!$A$3:$F$32,5,FALSE) - VLOOKUP($B35,test!$A$3:$G$32,6,FALSE) &gt;= (test!$B$34)/1440),1,0)</f>
        <v>0</v>
      </c>
      <c r="O35" s="2">
        <f>IF(AND(VLOOKUP(O$1,test!$A$3:$F$32,5,FALSE) - VLOOKUP($B35,test!$A$3:$G$32,6,FALSE) &gt;= (test!$B$34)/1440),1,0)</f>
        <v>1</v>
      </c>
      <c r="P35" s="2">
        <f>IF(AND(VLOOKUP(P$1,test!$A$3:$F$32,5,FALSE) - VLOOKUP($B35,test!$A$3:$G$32,6,FALSE) &gt;= (test!$B$34)/1440),1,0)</f>
        <v>1</v>
      </c>
      <c r="Q35" s="2">
        <f>IF(AND(VLOOKUP(Q$1,test!$A$3:$F$32,5,FALSE) - VLOOKUP($B35,test!$A$3:$G$32,6,FALSE) &gt;= (test!$B$34)/1440),1,0)</f>
        <v>0</v>
      </c>
      <c r="R35" s="2">
        <f>IF(AND(VLOOKUP(R$1,test!$A$3:$F$32,5,FALSE) - VLOOKUP($B35,test!$A$3:$G$32,6,FALSE) &gt;= (test!$B$34)/1440),1,0)</f>
        <v>0</v>
      </c>
      <c r="S35" s="2">
        <f>IF(AND(VLOOKUP(S$1,test!$A$3:$F$32,5,FALSE) - VLOOKUP($B35,test!$A$3:$G$32,6,FALSE) &gt;= (test!$B$34)/1440),1,0)</f>
        <v>0</v>
      </c>
      <c r="T35" s="2">
        <f>IF(AND(VLOOKUP(T$1,test!$A$3:$F$32,5,FALSE) - VLOOKUP($B35,test!$A$3:$G$32,6,FALSE) &gt;= (test!$B$34)/1440),1,0)</f>
        <v>0</v>
      </c>
      <c r="U35" s="2">
        <f>IF(AND(VLOOKUP(U$1,test!$A$3:$F$32,5,FALSE) - VLOOKUP($B35,test!$A$3:$G$32,6,FALSE) &gt;= (test!$B$34)/1440),1,0)</f>
        <v>0</v>
      </c>
      <c r="V35" s="2">
        <f>IF(AND(VLOOKUP(V$1,test!$A$3:$F$32,5,FALSE) - VLOOKUP($B35,test!$A$3:$G$32,6,FALSE) &gt;= (test!$B$34)/1440),1,0)</f>
        <v>0</v>
      </c>
      <c r="W35" s="2">
        <f>IF(AND(VLOOKUP(W$1,test!$A$3:$F$32,5,FALSE) - VLOOKUP($B35,test!$A$3:$G$32,6,FALSE) &gt;= (test!$B$34)/1440),1,0)</f>
        <v>1</v>
      </c>
      <c r="X35" s="2">
        <f>IF(AND(VLOOKUP(X$1,test!$A$3:$F$32,5,FALSE) - VLOOKUP($B35,test!$A$3:$G$32,6,FALSE) &gt;= (test!$B$34)/1440),1,0)</f>
        <v>1</v>
      </c>
      <c r="Y35" s="2">
        <f>IF(AND(VLOOKUP(Y$1,test!$A$3:$F$32,5,FALSE) - VLOOKUP($B35,test!$A$3:$G$32,6,FALSE) &gt;= (test!$B$34)/1440),1,0)</f>
        <v>1</v>
      </c>
      <c r="Z35" s="2">
        <f>IF(AND(VLOOKUP(Z$1,test!$A$3:$F$32,5,FALSE) - VLOOKUP($B35,test!$A$3:$G$32,6,FALSE) &gt;= (test!$B$34)/1440),1,0)</f>
        <v>0</v>
      </c>
      <c r="AA35" s="2">
        <f>IF(AND(VLOOKUP(AA$1,test!$A$3:$F$32,5,FALSE) - VLOOKUP($B35,test!$A$3:$G$32,6,FALSE) &gt;= (test!$B$34)/1440),1,0)</f>
        <v>0</v>
      </c>
      <c r="AB35" s="2">
        <f>IF(AND(VLOOKUP(AB$1,test!$A$3:$F$32,5,FALSE) - VLOOKUP($B35,test!$A$3:$G$32,6,FALSE) &gt;= (test!$B$34)/1440),1,0)</f>
        <v>0</v>
      </c>
      <c r="AC35" s="2">
        <f>IF(AND(VLOOKUP(AC$1,test!$A$3:$F$32,5,FALSE) - VLOOKUP($B35,test!$A$3:$G$32,6,FALSE) &gt;= (test!$B$34)/1440),1,0)</f>
        <v>0</v>
      </c>
      <c r="AD35" s="2">
        <f>IF(AND(VLOOKUP(AD$1,test!$A$3:$F$32,5,FALSE) - VLOOKUP($B35,test!$A$3:$G$32,6,FALSE) &gt;= (test!$B$34)/1440),1,0)</f>
        <v>1</v>
      </c>
      <c r="AE35" s="2">
        <f>IF(AND(VLOOKUP(AE$1,test!$A$3:$F$32,5,FALSE) - VLOOKUP($B35,test!$A$3:$G$32,6,FALSE) &gt;= (test!$B$34)/1440),1,0)</f>
        <v>0</v>
      </c>
      <c r="AF35" s="2">
        <f>IF(AND(VLOOKUP(AF$1,test!$A$3:$F$32,5,FALSE) - VLOOKUP($B35,test!$A$3:$G$32,6,FALSE) &gt;= (test!$B$34)/1440),1,0)</f>
        <v>0</v>
      </c>
      <c r="AG35" s="2">
        <f>IF(AND(VLOOKUP(AG$1,test!$A$3:$F$32,5,FALSE) - VLOOKUP($B35,test!$A$3:$G$32,6,FALSE) &gt;= (test!$B$34)/1440),1,0)</f>
        <v>0</v>
      </c>
    </row>
    <row r="36" spans="1:33" x14ac:dyDescent="0.25">
      <c r="A36" t="s">
        <v>59</v>
      </c>
      <c r="B36" t="s">
        <v>10</v>
      </c>
      <c r="C36">
        <v>0</v>
      </c>
      <c r="D36" s="2">
        <f>IF(AND(VLOOKUP(D$1,test!$A$3:$F$32,5,FALSE) - VLOOKUP($B36,test!$A$3:$G$32,6,FALSE) &gt;= (test!$B$34)/1440),1,0)</f>
        <v>0</v>
      </c>
      <c r="E36" s="2">
        <f>IF(AND(VLOOKUP(E$1,test!$A$3:$F$32,5,FALSE) - VLOOKUP($B36,test!$A$3:$G$32,6,FALSE) &gt;= (test!$B$34)/1440),1,0)</f>
        <v>0</v>
      </c>
      <c r="F36" s="2">
        <f>IF(AND(VLOOKUP(F$1,test!$A$3:$F$32,5,FALSE) - VLOOKUP($B36,test!$A$3:$G$32,6,FALSE) &gt;= (test!$B$34)/1440),1,0)</f>
        <v>0</v>
      </c>
      <c r="G36" s="2">
        <f>IF(AND(VLOOKUP(G$1,test!$A$3:$F$32,5,FALSE) - VLOOKUP($B36,test!$A$3:$G$32,6,FALSE) &gt;= (test!$B$34)/1440),1,0)</f>
        <v>0</v>
      </c>
      <c r="H36" s="2">
        <f>IF(AND(VLOOKUP(H$1,test!$A$3:$F$32,5,FALSE) - VLOOKUP($B36,test!$A$3:$G$32,6,FALSE) &gt;= (test!$B$34)/1440),1,0)</f>
        <v>0</v>
      </c>
      <c r="I36" s="2">
        <f>IF(AND(VLOOKUP(I$1,test!$A$3:$F$32,5,FALSE) - VLOOKUP($B36,test!$A$3:$G$32,6,FALSE) &gt;= (test!$B$34)/1440),1,0)</f>
        <v>1</v>
      </c>
      <c r="J36" s="2">
        <f>IF(AND(VLOOKUP(J$1,test!$A$3:$F$32,5,FALSE) - VLOOKUP($B36,test!$A$3:$G$32,6,FALSE) &gt;= (test!$B$34)/1440),1,0)</f>
        <v>1</v>
      </c>
      <c r="K36" s="2">
        <f>IF(AND(VLOOKUP(K$1,test!$A$3:$F$32,5,FALSE) - VLOOKUP($B36,test!$A$3:$G$32,6,FALSE) &gt;= (test!$B$34)/1440),1,0)</f>
        <v>1</v>
      </c>
      <c r="L36" s="2">
        <f>IF(AND(VLOOKUP(L$1,test!$A$3:$F$32,5,FALSE) - VLOOKUP($B36,test!$A$3:$G$32,6,FALSE) &gt;= (test!$B$34)/1440),1,0)</f>
        <v>0</v>
      </c>
      <c r="M36" s="2">
        <f>IF(AND(VLOOKUP(M$1,test!$A$3:$F$32,5,FALSE) - VLOOKUP($B36,test!$A$3:$G$32,6,FALSE) &gt;= (test!$B$34)/1440),1,0)</f>
        <v>0</v>
      </c>
      <c r="N36" s="2">
        <f>IF(AND(VLOOKUP(N$1,test!$A$3:$F$32,5,FALSE) - VLOOKUP($B36,test!$A$3:$G$32,6,FALSE) &gt;= (test!$B$34)/1440),1,0)</f>
        <v>0</v>
      </c>
      <c r="O36" s="2">
        <f>IF(AND(VLOOKUP(O$1,test!$A$3:$F$32,5,FALSE) - VLOOKUP($B36,test!$A$3:$G$32,6,FALSE) &gt;= (test!$B$34)/1440),1,0)</f>
        <v>1</v>
      </c>
      <c r="P36" s="2">
        <f>IF(AND(VLOOKUP(P$1,test!$A$3:$F$32,5,FALSE) - VLOOKUP($B36,test!$A$3:$G$32,6,FALSE) &gt;= (test!$B$34)/1440),1,0)</f>
        <v>1</v>
      </c>
      <c r="Q36" s="2">
        <f>IF(AND(VLOOKUP(Q$1,test!$A$3:$F$32,5,FALSE) - VLOOKUP($B36,test!$A$3:$G$32,6,FALSE) &gt;= (test!$B$34)/1440),1,0)</f>
        <v>0</v>
      </c>
      <c r="R36" s="2">
        <f>IF(AND(VLOOKUP(R$1,test!$A$3:$F$32,5,FALSE) - VLOOKUP($B36,test!$A$3:$G$32,6,FALSE) &gt;= (test!$B$34)/1440),1,0)</f>
        <v>0</v>
      </c>
      <c r="S36" s="2">
        <f>IF(AND(VLOOKUP(S$1,test!$A$3:$F$32,5,FALSE) - VLOOKUP($B36,test!$A$3:$G$32,6,FALSE) &gt;= (test!$B$34)/1440),1,0)</f>
        <v>0</v>
      </c>
      <c r="T36" s="2">
        <f>IF(AND(VLOOKUP(T$1,test!$A$3:$F$32,5,FALSE) - VLOOKUP($B36,test!$A$3:$G$32,6,FALSE) &gt;= (test!$B$34)/1440),1,0)</f>
        <v>0</v>
      </c>
      <c r="U36" s="2">
        <f>IF(AND(VLOOKUP(U$1,test!$A$3:$F$32,5,FALSE) - VLOOKUP($B36,test!$A$3:$G$32,6,FALSE) &gt;= (test!$B$34)/1440),1,0)</f>
        <v>0</v>
      </c>
      <c r="V36" s="2">
        <f>IF(AND(VLOOKUP(V$1,test!$A$3:$F$32,5,FALSE) - VLOOKUP($B36,test!$A$3:$G$32,6,FALSE) &gt;= (test!$B$34)/1440),1,0)</f>
        <v>0</v>
      </c>
      <c r="W36" s="2">
        <f>IF(AND(VLOOKUP(W$1,test!$A$3:$F$32,5,FALSE) - VLOOKUP($B36,test!$A$3:$G$32,6,FALSE) &gt;= (test!$B$34)/1440),1,0)</f>
        <v>0</v>
      </c>
      <c r="X36" s="2">
        <f>IF(AND(VLOOKUP(X$1,test!$A$3:$F$32,5,FALSE) - VLOOKUP($B36,test!$A$3:$G$32,6,FALSE) &gt;= (test!$B$34)/1440),1,0)</f>
        <v>1</v>
      </c>
      <c r="Y36" s="2">
        <f>IF(AND(VLOOKUP(Y$1,test!$A$3:$F$32,5,FALSE) - VLOOKUP($B36,test!$A$3:$G$32,6,FALSE) &gt;= (test!$B$34)/1440),1,0)</f>
        <v>1</v>
      </c>
      <c r="Z36" s="2">
        <f>IF(AND(VLOOKUP(Z$1,test!$A$3:$F$32,5,FALSE) - VLOOKUP($B36,test!$A$3:$G$32,6,FALSE) &gt;= (test!$B$34)/1440),1,0)</f>
        <v>0</v>
      </c>
      <c r="AA36" s="2">
        <f>IF(AND(VLOOKUP(AA$1,test!$A$3:$F$32,5,FALSE) - VLOOKUP($B36,test!$A$3:$G$32,6,FALSE) &gt;= (test!$B$34)/1440),1,0)</f>
        <v>0</v>
      </c>
      <c r="AB36" s="2">
        <f>IF(AND(VLOOKUP(AB$1,test!$A$3:$F$32,5,FALSE) - VLOOKUP($B36,test!$A$3:$G$32,6,FALSE) &gt;= (test!$B$34)/1440),1,0)</f>
        <v>0</v>
      </c>
      <c r="AC36" s="2">
        <f>IF(AND(VLOOKUP(AC$1,test!$A$3:$F$32,5,FALSE) - VLOOKUP($B36,test!$A$3:$G$32,6,FALSE) &gt;= (test!$B$34)/1440),1,0)</f>
        <v>0</v>
      </c>
      <c r="AD36" s="2">
        <f>IF(AND(VLOOKUP(AD$1,test!$A$3:$F$32,5,FALSE) - VLOOKUP($B36,test!$A$3:$G$32,6,FALSE) &gt;= (test!$B$34)/1440),1,0)</f>
        <v>1</v>
      </c>
      <c r="AE36" s="2">
        <f>IF(AND(VLOOKUP(AE$1,test!$A$3:$F$32,5,FALSE) - VLOOKUP($B36,test!$A$3:$G$32,6,FALSE) &gt;= (test!$B$34)/1440),1,0)</f>
        <v>0</v>
      </c>
      <c r="AF36" s="2">
        <f>IF(AND(VLOOKUP(AF$1,test!$A$3:$F$32,5,FALSE) - VLOOKUP($B36,test!$A$3:$G$32,6,FALSE) &gt;= (test!$B$34)/1440),1,0)</f>
        <v>0</v>
      </c>
      <c r="AG36" s="2">
        <f>IF(AND(VLOOKUP(AG$1,test!$A$3:$F$32,5,FALSE) - VLOOKUP($B36,test!$A$3:$G$32,6,FALSE) &gt;= (test!$B$34)/1440),1,0)</f>
        <v>0</v>
      </c>
    </row>
    <row r="37" spans="1:33" x14ac:dyDescent="0.25">
      <c r="A37" t="s">
        <v>59</v>
      </c>
      <c r="B37" t="s">
        <v>11</v>
      </c>
      <c r="C37">
        <v>0</v>
      </c>
      <c r="D37" s="2">
        <f>IF(AND(VLOOKUP(D$1,test!$A$3:$F$32,5,FALSE) - VLOOKUP($B37,test!$A$3:$G$32,6,FALSE) &gt;= (test!$B$34)/1440),1,0)</f>
        <v>0</v>
      </c>
      <c r="E37" s="2">
        <f>IF(AND(VLOOKUP(E$1,test!$A$3:$F$32,5,FALSE) - VLOOKUP($B37,test!$A$3:$G$32,6,FALSE) &gt;= (test!$B$34)/1440),1,0)</f>
        <v>0</v>
      </c>
      <c r="F37" s="2">
        <f>IF(AND(VLOOKUP(F$1,test!$A$3:$F$32,5,FALSE) - VLOOKUP($B37,test!$A$3:$G$32,6,FALSE) &gt;= (test!$B$34)/1440),1,0)</f>
        <v>0</v>
      </c>
      <c r="G37" s="2">
        <f>IF(AND(VLOOKUP(G$1,test!$A$3:$F$32,5,FALSE) - VLOOKUP($B37,test!$A$3:$G$32,6,FALSE) &gt;= (test!$B$34)/1440),1,0)</f>
        <v>0</v>
      </c>
      <c r="H37" s="2">
        <f>IF(AND(VLOOKUP(H$1,test!$A$3:$F$32,5,FALSE) - VLOOKUP($B37,test!$A$3:$G$32,6,FALSE) &gt;= (test!$B$34)/1440),1,0)</f>
        <v>0</v>
      </c>
      <c r="I37" s="2">
        <f>IF(AND(VLOOKUP(I$1,test!$A$3:$F$32,5,FALSE) - VLOOKUP($B37,test!$A$3:$G$32,6,FALSE) &gt;= (test!$B$34)/1440),1,0)</f>
        <v>0</v>
      </c>
      <c r="J37" s="2">
        <f>IF(AND(VLOOKUP(J$1,test!$A$3:$F$32,5,FALSE) - VLOOKUP($B37,test!$A$3:$G$32,6,FALSE) &gt;= (test!$B$34)/1440),1,0)</f>
        <v>0</v>
      </c>
      <c r="K37" s="2">
        <f>IF(AND(VLOOKUP(K$1,test!$A$3:$F$32,5,FALSE) - VLOOKUP($B37,test!$A$3:$G$32,6,FALSE) &gt;= (test!$B$34)/1440),1,0)</f>
        <v>1</v>
      </c>
      <c r="L37" s="2">
        <f>IF(AND(VLOOKUP(L$1,test!$A$3:$F$32,5,FALSE) - VLOOKUP($B37,test!$A$3:$G$32,6,FALSE) &gt;= (test!$B$34)/1440),1,0)</f>
        <v>0</v>
      </c>
      <c r="M37" s="2">
        <f>IF(AND(VLOOKUP(M$1,test!$A$3:$F$32,5,FALSE) - VLOOKUP($B37,test!$A$3:$G$32,6,FALSE) &gt;= (test!$B$34)/1440),1,0)</f>
        <v>0</v>
      </c>
      <c r="N37" s="2">
        <f>IF(AND(VLOOKUP(N$1,test!$A$3:$F$32,5,FALSE) - VLOOKUP($B37,test!$A$3:$G$32,6,FALSE) &gt;= (test!$B$34)/1440),1,0)</f>
        <v>0</v>
      </c>
      <c r="O37" s="2">
        <f>IF(AND(VLOOKUP(O$1,test!$A$3:$F$32,5,FALSE) - VLOOKUP($B37,test!$A$3:$G$32,6,FALSE) &gt;= (test!$B$34)/1440),1,0)</f>
        <v>1</v>
      </c>
      <c r="P37" s="2">
        <f>IF(AND(VLOOKUP(P$1,test!$A$3:$F$32,5,FALSE) - VLOOKUP($B37,test!$A$3:$G$32,6,FALSE) &gt;= (test!$B$34)/1440),1,0)</f>
        <v>1</v>
      </c>
      <c r="Q37" s="2">
        <f>IF(AND(VLOOKUP(Q$1,test!$A$3:$F$32,5,FALSE) - VLOOKUP($B37,test!$A$3:$G$32,6,FALSE) &gt;= (test!$B$34)/1440),1,0)</f>
        <v>0</v>
      </c>
      <c r="R37" s="2">
        <f>IF(AND(VLOOKUP(R$1,test!$A$3:$F$32,5,FALSE) - VLOOKUP($B37,test!$A$3:$G$32,6,FALSE) &gt;= (test!$B$34)/1440),1,0)</f>
        <v>0</v>
      </c>
      <c r="S37" s="2">
        <f>IF(AND(VLOOKUP(S$1,test!$A$3:$F$32,5,FALSE) - VLOOKUP($B37,test!$A$3:$G$32,6,FALSE) &gt;= (test!$B$34)/1440),1,0)</f>
        <v>0</v>
      </c>
      <c r="T37" s="2">
        <f>IF(AND(VLOOKUP(T$1,test!$A$3:$F$32,5,FALSE) - VLOOKUP($B37,test!$A$3:$G$32,6,FALSE) &gt;= (test!$B$34)/1440),1,0)</f>
        <v>0</v>
      </c>
      <c r="U37" s="2">
        <f>IF(AND(VLOOKUP(U$1,test!$A$3:$F$32,5,FALSE) - VLOOKUP($B37,test!$A$3:$G$32,6,FALSE) &gt;= (test!$B$34)/1440),1,0)</f>
        <v>0</v>
      </c>
      <c r="V37" s="2">
        <f>IF(AND(VLOOKUP(V$1,test!$A$3:$F$32,5,FALSE) - VLOOKUP($B37,test!$A$3:$G$32,6,FALSE) &gt;= (test!$B$34)/1440),1,0)</f>
        <v>0</v>
      </c>
      <c r="W37" s="2">
        <f>IF(AND(VLOOKUP(W$1,test!$A$3:$F$32,5,FALSE) - VLOOKUP($B37,test!$A$3:$G$32,6,FALSE) &gt;= (test!$B$34)/1440),1,0)</f>
        <v>0</v>
      </c>
      <c r="X37" s="2">
        <f>IF(AND(VLOOKUP(X$1,test!$A$3:$F$32,5,FALSE) - VLOOKUP($B37,test!$A$3:$G$32,6,FALSE) &gt;= (test!$B$34)/1440),1,0)</f>
        <v>0</v>
      </c>
      <c r="Y37" s="2">
        <f>IF(AND(VLOOKUP(Y$1,test!$A$3:$F$32,5,FALSE) - VLOOKUP($B37,test!$A$3:$G$32,6,FALSE) &gt;= (test!$B$34)/1440),1,0)</f>
        <v>1</v>
      </c>
      <c r="Z37" s="2">
        <f>IF(AND(VLOOKUP(Z$1,test!$A$3:$F$32,5,FALSE) - VLOOKUP($B37,test!$A$3:$G$32,6,FALSE) &gt;= (test!$B$34)/1440),1,0)</f>
        <v>0</v>
      </c>
      <c r="AA37" s="2">
        <f>IF(AND(VLOOKUP(AA$1,test!$A$3:$F$32,5,FALSE) - VLOOKUP($B37,test!$A$3:$G$32,6,FALSE) &gt;= (test!$B$34)/1440),1,0)</f>
        <v>0</v>
      </c>
      <c r="AB37" s="2">
        <f>IF(AND(VLOOKUP(AB$1,test!$A$3:$F$32,5,FALSE) - VLOOKUP($B37,test!$A$3:$G$32,6,FALSE) &gt;= (test!$B$34)/1440),1,0)</f>
        <v>0</v>
      </c>
      <c r="AC37" s="2">
        <f>IF(AND(VLOOKUP(AC$1,test!$A$3:$F$32,5,FALSE) - VLOOKUP($B37,test!$A$3:$G$32,6,FALSE) &gt;= (test!$B$34)/1440),1,0)</f>
        <v>0</v>
      </c>
      <c r="AD37" s="2">
        <f>IF(AND(VLOOKUP(AD$1,test!$A$3:$F$32,5,FALSE) - VLOOKUP($B37,test!$A$3:$G$32,6,FALSE) &gt;= (test!$B$34)/1440),1,0)</f>
        <v>0</v>
      </c>
      <c r="AE37" s="2">
        <f>IF(AND(VLOOKUP(AE$1,test!$A$3:$F$32,5,FALSE) - VLOOKUP($B37,test!$A$3:$G$32,6,FALSE) &gt;= (test!$B$34)/1440),1,0)</f>
        <v>0</v>
      </c>
      <c r="AF37" s="2">
        <f>IF(AND(VLOOKUP(AF$1,test!$A$3:$F$32,5,FALSE) - VLOOKUP($B37,test!$A$3:$G$32,6,FALSE) &gt;= (test!$B$34)/1440),1,0)</f>
        <v>0</v>
      </c>
      <c r="AG37" s="2">
        <f>IF(AND(VLOOKUP(AG$1,test!$A$3:$F$32,5,FALSE) - VLOOKUP($B37,test!$A$3:$G$32,6,FALSE) &gt;= (test!$B$34)/1440),1,0)</f>
        <v>0</v>
      </c>
    </row>
    <row r="38" spans="1:33" x14ac:dyDescent="0.25">
      <c r="A38" t="s">
        <v>59</v>
      </c>
      <c r="B38" t="s">
        <v>12</v>
      </c>
      <c r="C38">
        <v>0</v>
      </c>
      <c r="D38" s="2">
        <f>IF(AND(VLOOKUP(D$1,test!$A$3:$F$32,5,FALSE) - VLOOKUP($B38,test!$A$3:$G$32,6,FALSE) &gt;= (test!$B$34)/1440),1,0)</f>
        <v>0</v>
      </c>
      <c r="E38" s="2">
        <f>IF(AND(VLOOKUP(E$1,test!$A$3:$F$32,5,FALSE) - VLOOKUP($B38,test!$A$3:$G$32,6,FALSE) &gt;= (test!$B$34)/1440),1,0)</f>
        <v>0</v>
      </c>
      <c r="F38" s="2">
        <f>IF(AND(VLOOKUP(F$1,test!$A$3:$F$32,5,FALSE) - VLOOKUP($B38,test!$A$3:$G$32,6,FALSE) &gt;= (test!$B$34)/1440),1,0)</f>
        <v>0</v>
      </c>
      <c r="G38" s="2">
        <f>IF(AND(VLOOKUP(G$1,test!$A$3:$F$32,5,FALSE) - VLOOKUP($B38,test!$A$3:$G$32,6,FALSE) &gt;= (test!$B$34)/1440),1,0)</f>
        <v>0</v>
      </c>
      <c r="H38" s="2">
        <f>IF(AND(VLOOKUP(H$1,test!$A$3:$F$32,5,FALSE) - VLOOKUP($B38,test!$A$3:$G$32,6,FALSE) &gt;= (test!$B$34)/1440),1,0)</f>
        <v>0</v>
      </c>
      <c r="I38" s="2">
        <f>IF(AND(VLOOKUP(I$1,test!$A$3:$F$32,5,FALSE) - VLOOKUP($B38,test!$A$3:$G$32,6,FALSE) &gt;= (test!$B$34)/1440),1,0)</f>
        <v>0</v>
      </c>
      <c r="J38" s="2">
        <f>IF(AND(VLOOKUP(J$1,test!$A$3:$F$32,5,FALSE) - VLOOKUP($B38,test!$A$3:$G$32,6,FALSE) &gt;= (test!$B$34)/1440),1,0)</f>
        <v>0</v>
      </c>
      <c r="K38" s="2">
        <f>IF(AND(VLOOKUP(K$1,test!$A$3:$F$32,5,FALSE) - VLOOKUP($B38,test!$A$3:$G$32,6,FALSE) &gt;= (test!$B$34)/1440),1,0)</f>
        <v>1</v>
      </c>
      <c r="L38" s="2">
        <f>IF(AND(VLOOKUP(L$1,test!$A$3:$F$32,5,FALSE) - VLOOKUP($B38,test!$A$3:$G$32,6,FALSE) &gt;= (test!$B$34)/1440),1,0)</f>
        <v>0</v>
      </c>
      <c r="M38" s="2">
        <f>IF(AND(VLOOKUP(M$1,test!$A$3:$F$32,5,FALSE) - VLOOKUP($B38,test!$A$3:$G$32,6,FALSE) &gt;= (test!$B$34)/1440),1,0)</f>
        <v>0</v>
      </c>
      <c r="N38" s="2">
        <f>IF(AND(VLOOKUP(N$1,test!$A$3:$F$32,5,FALSE) - VLOOKUP($B38,test!$A$3:$G$32,6,FALSE) &gt;= (test!$B$34)/1440),1,0)</f>
        <v>0</v>
      </c>
      <c r="O38" s="2">
        <f>IF(AND(VLOOKUP(O$1,test!$A$3:$F$32,5,FALSE) - VLOOKUP($B38,test!$A$3:$G$32,6,FALSE) &gt;= (test!$B$34)/1440),1,0)</f>
        <v>0</v>
      </c>
      <c r="P38" s="2">
        <f>IF(AND(VLOOKUP(P$1,test!$A$3:$F$32,5,FALSE) - VLOOKUP($B38,test!$A$3:$G$32,6,FALSE) &gt;= (test!$B$34)/1440),1,0)</f>
        <v>1</v>
      </c>
      <c r="Q38" s="2">
        <f>IF(AND(VLOOKUP(Q$1,test!$A$3:$F$32,5,FALSE) - VLOOKUP($B38,test!$A$3:$G$32,6,FALSE) &gt;= (test!$B$34)/1440),1,0)</f>
        <v>0</v>
      </c>
      <c r="R38" s="2">
        <f>IF(AND(VLOOKUP(R$1,test!$A$3:$F$32,5,FALSE) - VLOOKUP($B38,test!$A$3:$G$32,6,FALSE) &gt;= (test!$B$34)/1440),1,0)</f>
        <v>0</v>
      </c>
      <c r="S38" s="2">
        <f>IF(AND(VLOOKUP(S$1,test!$A$3:$F$32,5,FALSE) - VLOOKUP($B38,test!$A$3:$G$32,6,FALSE) &gt;= (test!$B$34)/1440),1,0)</f>
        <v>0</v>
      </c>
      <c r="T38" s="2">
        <f>IF(AND(VLOOKUP(T$1,test!$A$3:$F$32,5,FALSE) - VLOOKUP($B38,test!$A$3:$G$32,6,FALSE) &gt;= (test!$B$34)/1440),1,0)</f>
        <v>0</v>
      </c>
      <c r="U38" s="2">
        <f>IF(AND(VLOOKUP(U$1,test!$A$3:$F$32,5,FALSE) - VLOOKUP($B38,test!$A$3:$G$32,6,FALSE) &gt;= (test!$B$34)/1440),1,0)</f>
        <v>0</v>
      </c>
      <c r="V38" s="2">
        <f>IF(AND(VLOOKUP(V$1,test!$A$3:$F$32,5,FALSE) - VLOOKUP($B38,test!$A$3:$G$32,6,FALSE) &gt;= (test!$B$34)/1440),1,0)</f>
        <v>0</v>
      </c>
      <c r="W38" s="2">
        <f>IF(AND(VLOOKUP(W$1,test!$A$3:$F$32,5,FALSE) - VLOOKUP($B38,test!$A$3:$G$32,6,FALSE) &gt;= (test!$B$34)/1440),1,0)</f>
        <v>0</v>
      </c>
      <c r="X38" s="2">
        <f>IF(AND(VLOOKUP(X$1,test!$A$3:$F$32,5,FALSE) - VLOOKUP($B38,test!$A$3:$G$32,6,FALSE) &gt;= (test!$B$34)/1440),1,0)</f>
        <v>0</v>
      </c>
      <c r="Y38" s="2">
        <f>IF(AND(VLOOKUP(Y$1,test!$A$3:$F$32,5,FALSE) - VLOOKUP($B38,test!$A$3:$G$32,6,FALSE) &gt;= (test!$B$34)/1440),1,0)</f>
        <v>0</v>
      </c>
      <c r="Z38" s="2">
        <f>IF(AND(VLOOKUP(Z$1,test!$A$3:$F$32,5,FALSE) - VLOOKUP($B38,test!$A$3:$G$32,6,FALSE) &gt;= (test!$B$34)/1440),1,0)</f>
        <v>0</v>
      </c>
      <c r="AA38" s="2">
        <f>IF(AND(VLOOKUP(AA$1,test!$A$3:$F$32,5,FALSE) - VLOOKUP($B38,test!$A$3:$G$32,6,FALSE) &gt;= (test!$B$34)/1440),1,0)</f>
        <v>0</v>
      </c>
      <c r="AB38" s="2">
        <f>IF(AND(VLOOKUP(AB$1,test!$A$3:$F$32,5,FALSE) - VLOOKUP($B38,test!$A$3:$G$32,6,FALSE) &gt;= (test!$B$34)/1440),1,0)</f>
        <v>0</v>
      </c>
      <c r="AC38" s="2">
        <f>IF(AND(VLOOKUP(AC$1,test!$A$3:$F$32,5,FALSE) - VLOOKUP($B38,test!$A$3:$G$32,6,FALSE) &gt;= (test!$B$34)/1440),1,0)</f>
        <v>0</v>
      </c>
      <c r="AD38" s="2">
        <f>IF(AND(VLOOKUP(AD$1,test!$A$3:$F$32,5,FALSE) - VLOOKUP($B38,test!$A$3:$G$32,6,FALSE) &gt;= (test!$B$34)/1440),1,0)</f>
        <v>0</v>
      </c>
      <c r="AE38" s="2">
        <f>IF(AND(VLOOKUP(AE$1,test!$A$3:$F$32,5,FALSE) - VLOOKUP($B38,test!$A$3:$G$32,6,FALSE) &gt;= (test!$B$34)/1440),1,0)</f>
        <v>0</v>
      </c>
      <c r="AF38" s="2">
        <f>IF(AND(VLOOKUP(AF$1,test!$A$3:$F$32,5,FALSE) - VLOOKUP($B38,test!$A$3:$G$32,6,FALSE) &gt;= (test!$B$34)/1440),1,0)</f>
        <v>0</v>
      </c>
      <c r="AG38" s="2">
        <f>IF(AND(VLOOKUP(AG$1,test!$A$3:$F$32,5,FALSE) - VLOOKUP($B38,test!$A$3:$G$32,6,FALSE) &gt;= (test!$B$34)/1440),1,0)</f>
        <v>0</v>
      </c>
    </row>
    <row r="39" spans="1:33" x14ac:dyDescent="0.25">
      <c r="A39" t="s">
        <v>59</v>
      </c>
      <c r="B39" t="s">
        <v>13</v>
      </c>
      <c r="C39">
        <v>0</v>
      </c>
      <c r="D39" s="2">
        <f>IF(AND(VLOOKUP(D$1,test!$A$3:$F$32,5,FALSE) - VLOOKUP($B39,test!$A$3:$G$32,6,FALSE) &gt;= (test!$B$34)/1440),1,0)</f>
        <v>0</v>
      </c>
      <c r="E39" s="2">
        <f>IF(AND(VLOOKUP(E$1,test!$A$3:$F$32,5,FALSE) - VLOOKUP($B39,test!$A$3:$G$32,6,FALSE) &gt;= (test!$B$34)/1440),1,0)</f>
        <v>0</v>
      </c>
      <c r="F39" s="2">
        <f>IF(AND(VLOOKUP(F$1,test!$A$3:$F$32,5,FALSE) - VLOOKUP($B39,test!$A$3:$G$32,6,FALSE) &gt;= (test!$B$34)/1440),1,0)</f>
        <v>0</v>
      </c>
      <c r="G39" s="2">
        <f>IF(AND(VLOOKUP(G$1,test!$A$3:$F$32,5,FALSE) - VLOOKUP($B39,test!$A$3:$G$32,6,FALSE) &gt;= (test!$B$34)/1440),1,0)</f>
        <v>0</v>
      </c>
      <c r="H39" s="2">
        <f>IF(AND(VLOOKUP(H$1,test!$A$3:$F$32,5,FALSE) - VLOOKUP($B39,test!$A$3:$G$32,6,FALSE) &gt;= (test!$B$34)/1440),1,0)</f>
        <v>0</v>
      </c>
      <c r="I39" s="2">
        <f>IF(AND(VLOOKUP(I$1,test!$A$3:$F$32,5,FALSE) - VLOOKUP($B39,test!$A$3:$G$32,6,FALSE) &gt;= (test!$B$34)/1440),1,0)</f>
        <v>0</v>
      </c>
      <c r="J39" s="2">
        <f>IF(AND(VLOOKUP(J$1,test!$A$3:$F$32,5,FALSE) - VLOOKUP($B39,test!$A$3:$G$32,6,FALSE) &gt;= (test!$B$34)/1440),1,0)</f>
        <v>0</v>
      </c>
      <c r="K39" s="2">
        <f>IF(AND(VLOOKUP(K$1,test!$A$3:$F$32,5,FALSE) - VLOOKUP($B39,test!$A$3:$G$32,6,FALSE) &gt;= (test!$B$34)/1440),1,0)</f>
        <v>0</v>
      </c>
      <c r="L39" s="2">
        <f>IF(AND(VLOOKUP(L$1,test!$A$3:$F$32,5,FALSE) - VLOOKUP($B39,test!$A$3:$G$32,6,FALSE) &gt;= (test!$B$34)/1440),1,0)</f>
        <v>0</v>
      </c>
      <c r="M39" s="2">
        <f>IF(AND(VLOOKUP(M$1,test!$A$3:$F$32,5,FALSE) - VLOOKUP($B39,test!$A$3:$G$32,6,FALSE) &gt;= (test!$B$34)/1440),1,0)</f>
        <v>0</v>
      </c>
      <c r="N39" s="2">
        <f>IF(AND(VLOOKUP(N$1,test!$A$3:$F$32,5,FALSE) - VLOOKUP($B39,test!$A$3:$G$32,6,FALSE) &gt;= (test!$B$34)/1440),1,0)</f>
        <v>0</v>
      </c>
      <c r="O39" s="2">
        <f>IF(AND(VLOOKUP(O$1,test!$A$3:$F$32,5,FALSE) - VLOOKUP($B39,test!$A$3:$G$32,6,FALSE) &gt;= (test!$B$34)/1440),1,0)</f>
        <v>0</v>
      </c>
      <c r="P39" s="2">
        <f>IF(AND(VLOOKUP(P$1,test!$A$3:$F$32,5,FALSE) - VLOOKUP($B39,test!$A$3:$G$32,6,FALSE) &gt;= (test!$B$34)/1440),1,0)</f>
        <v>0</v>
      </c>
      <c r="Q39" s="2">
        <f>IF(AND(VLOOKUP(Q$1,test!$A$3:$F$32,5,FALSE) - VLOOKUP($B39,test!$A$3:$G$32,6,FALSE) &gt;= (test!$B$34)/1440),1,0)</f>
        <v>0</v>
      </c>
      <c r="R39" s="2">
        <f>IF(AND(VLOOKUP(R$1,test!$A$3:$F$32,5,FALSE) - VLOOKUP($B39,test!$A$3:$G$32,6,FALSE) &gt;= (test!$B$34)/1440),1,0)</f>
        <v>0</v>
      </c>
      <c r="S39" s="2">
        <f>IF(AND(VLOOKUP(S$1,test!$A$3:$F$32,5,FALSE) - VLOOKUP($B39,test!$A$3:$G$32,6,FALSE) &gt;= (test!$B$34)/1440),1,0)</f>
        <v>0</v>
      </c>
      <c r="T39" s="2">
        <f>IF(AND(VLOOKUP(T$1,test!$A$3:$F$32,5,FALSE) - VLOOKUP($B39,test!$A$3:$G$32,6,FALSE) &gt;= (test!$B$34)/1440),1,0)</f>
        <v>0</v>
      </c>
      <c r="U39" s="2">
        <f>IF(AND(VLOOKUP(U$1,test!$A$3:$F$32,5,FALSE) - VLOOKUP($B39,test!$A$3:$G$32,6,FALSE) &gt;= (test!$B$34)/1440),1,0)</f>
        <v>0</v>
      </c>
      <c r="V39" s="2">
        <f>IF(AND(VLOOKUP(V$1,test!$A$3:$F$32,5,FALSE) - VLOOKUP($B39,test!$A$3:$G$32,6,FALSE) &gt;= (test!$B$34)/1440),1,0)</f>
        <v>0</v>
      </c>
      <c r="W39" s="2">
        <f>IF(AND(VLOOKUP(W$1,test!$A$3:$F$32,5,FALSE) - VLOOKUP($B39,test!$A$3:$G$32,6,FALSE) &gt;= (test!$B$34)/1440),1,0)</f>
        <v>0</v>
      </c>
      <c r="X39" s="2">
        <f>IF(AND(VLOOKUP(X$1,test!$A$3:$F$32,5,FALSE) - VLOOKUP($B39,test!$A$3:$G$32,6,FALSE) &gt;= (test!$B$34)/1440),1,0)</f>
        <v>0</v>
      </c>
      <c r="Y39" s="2">
        <f>IF(AND(VLOOKUP(Y$1,test!$A$3:$F$32,5,FALSE) - VLOOKUP($B39,test!$A$3:$G$32,6,FALSE) &gt;= (test!$B$34)/1440),1,0)</f>
        <v>0</v>
      </c>
      <c r="Z39" s="2">
        <f>IF(AND(VLOOKUP(Z$1,test!$A$3:$F$32,5,FALSE) - VLOOKUP($B39,test!$A$3:$G$32,6,FALSE) &gt;= (test!$B$34)/1440),1,0)</f>
        <v>0</v>
      </c>
      <c r="AA39" s="2">
        <f>IF(AND(VLOOKUP(AA$1,test!$A$3:$F$32,5,FALSE) - VLOOKUP($B39,test!$A$3:$G$32,6,FALSE) &gt;= (test!$B$34)/1440),1,0)</f>
        <v>0</v>
      </c>
      <c r="AB39" s="2">
        <f>IF(AND(VLOOKUP(AB$1,test!$A$3:$F$32,5,FALSE) - VLOOKUP($B39,test!$A$3:$G$32,6,FALSE) &gt;= (test!$B$34)/1440),1,0)</f>
        <v>0</v>
      </c>
      <c r="AC39" s="2">
        <f>IF(AND(VLOOKUP(AC$1,test!$A$3:$F$32,5,FALSE) - VLOOKUP($B39,test!$A$3:$G$32,6,FALSE) &gt;= (test!$B$34)/1440),1,0)</f>
        <v>0</v>
      </c>
      <c r="AD39" s="2">
        <f>IF(AND(VLOOKUP(AD$1,test!$A$3:$F$32,5,FALSE) - VLOOKUP($B39,test!$A$3:$G$32,6,FALSE) &gt;= (test!$B$34)/1440),1,0)</f>
        <v>0</v>
      </c>
      <c r="AE39" s="2">
        <f>IF(AND(VLOOKUP(AE$1,test!$A$3:$F$32,5,FALSE) - VLOOKUP($B39,test!$A$3:$G$32,6,FALSE) &gt;= (test!$B$34)/1440),1,0)</f>
        <v>0</v>
      </c>
      <c r="AF39" s="2">
        <f>IF(AND(VLOOKUP(AF$1,test!$A$3:$F$32,5,FALSE) - VLOOKUP($B39,test!$A$3:$G$32,6,FALSE) &gt;= (test!$B$34)/1440),1,0)</f>
        <v>0</v>
      </c>
      <c r="AG39" s="2">
        <f>IF(AND(VLOOKUP(AG$1,test!$A$3:$F$32,5,FALSE) - VLOOKUP($B39,test!$A$3:$G$32,6,FALSE) &gt;= (test!$B$34)/1440),1,0)</f>
        <v>0</v>
      </c>
    </row>
    <row r="40" spans="1:33" x14ac:dyDescent="0.25">
      <c r="A40" t="s">
        <v>59</v>
      </c>
      <c r="B40" t="s">
        <v>14</v>
      </c>
      <c r="C40">
        <v>0</v>
      </c>
      <c r="D40" s="2">
        <f>IF(AND(VLOOKUP(D$1,test!$A$3:$F$32,5,FALSE) - VLOOKUP($B40,test!$A$3:$G$32,6,FALSE) &gt;= (test!$B$34)/1440),1,0)</f>
        <v>0</v>
      </c>
      <c r="E40" s="2">
        <f>IF(AND(VLOOKUP(E$1,test!$A$3:$F$32,5,FALSE) - VLOOKUP($B40,test!$A$3:$G$32,6,FALSE) &gt;= (test!$B$34)/1440),1,0)</f>
        <v>0</v>
      </c>
      <c r="F40" s="2">
        <f>IF(AND(VLOOKUP(F$1,test!$A$3:$F$32,5,FALSE) - VLOOKUP($B40,test!$A$3:$G$32,6,FALSE) &gt;= (test!$B$34)/1440),1,0)</f>
        <v>0</v>
      </c>
      <c r="G40" s="2">
        <f>IF(AND(VLOOKUP(G$1,test!$A$3:$F$32,5,FALSE) - VLOOKUP($B40,test!$A$3:$G$32,6,FALSE) &gt;= (test!$B$34)/1440),1,0)</f>
        <v>0</v>
      </c>
      <c r="H40" s="2">
        <f>IF(AND(VLOOKUP(H$1,test!$A$3:$F$32,5,FALSE) - VLOOKUP($B40,test!$A$3:$G$32,6,FALSE) &gt;= (test!$B$34)/1440),1,0)</f>
        <v>0</v>
      </c>
      <c r="I40" s="2">
        <f>IF(AND(VLOOKUP(I$1,test!$A$3:$F$32,5,FALSE) - VLOOKUP($B40,test!$A$3:$G$32,6,FALSE) &gt;= (test!$B$34)/1440),1,0)</f>
        <v>0</v>
      </c>
      <c r="J40" s="2">
        <f>IF(AND(VLOOKUP(J$1,test!$A$3:$F$32,5,FALSE) - VLOOKUP($B40,test!$A$3:$G$32,6,FALSE) &gt;= (test!$B$34)/1440),1,0)</f>
        <v>0</v>
      </c>
      <c r="K40" s="2">
        <f>IF(AND(VLOOKUP(K$1,test!$A$3:$F$32,5,FALSE) - VLOOKUP($B40,test!$A$3:$G$32,6,FALSE) &gt;= (test!$B$34)/1440),1,0)</f>
        <v>0</v>
      </c>
      <c r="L40" s="2">
        <f>IF(AND(VLOOKUP(L$1,test!$A$3:$F$32,5,FALSE) - VLOOKUP($B40,test!$A$3:$G$32,6,FALSE) &gt;= (test!$B$34)/1440),1,0)</f>
        <v>0</v>
      </c>
      <c r="M40" s="2">
        <f>IF(AND(VLOOKUP(M$1,test!$A$3:$F$32,5,FALSE) - VLOOKUP($B40,test!$A$3:$G$32,6,FALSE) &gt;= (test!$B$34)/1440),1,0)</f>
        <v>0</v>
      </c>
      <c r="N40" s="2">
        <f>IF(AND(VLOOKUP(N$1,test!$A$3:$F$32,5,FALSE) - VLOOKUP($B40,test!$A$3:$G$32,6,FALSE) &gt;= (test!$B$34)/1440),1,0)</f>
        <v>0</v>
      </c>
      <c r="O40" s="2">
        <f>IF(AND(VLOOKUP(O$1,test!$A$3:$F$32,5,FALSE) - VLOOKUP($B40,test!$A$3:$G$32,6,FALSE) &gt;= (test!$B$34)/1440),1,0)</f>
        <v>0</v>
      </c>
      <c r="P40" s="2">
        <f>IF(AND(VLOOKUP(P$1,test!$A$3:$F$32,5,FALSE) - VLOOKUP($B40,test!$A$3:$G$32,6,FALSE) &gt;= (test!$B$34)/1440),1,0)</f>
        <v>0</v>
      </c>
      <c r="Q40" s="2">
        <f>IF(AND(VLOOKUP(Q$1,test!$A$3:$F$32,5,FALSE) - VLOOKUP($B40,test!$A$3:$G$32,6,FALSE) &gt;= (test!$B$34)/1440),1,0)</f>
        <v>0</v>
      </c>
      <c r="R40" s="2">
        <f>IF(AND(VLOOKUP(R$1,test!$A$3:$F$32,5,FALSE) - VLOOKUP($B40,test!$A$3:$G$32,6,FALSE) &gt;= (test!$B$34)/1440),1,0)</f>
        <v>0</v>
      </c>
      <c r="S40" s="2">
        <f>IF(AND(VLOOKUP(S$1,test!$A$3:$F$32,5,FALSE) - VLOOKUP($B40,test!$A$3:$G$32,6,FALSE) &gt;= (test!$B$34)/1440),1,0)</f>
        <v>0</v>
      </c>
      <c r="T40" s="2">
        <f>IF(AND(VLOOKUP(T$1,test!$A$3:$F$32,5,FALSE) - VLOOKUP($B40,test!$A$3:$G$32,6,FALSE) &gt;= (test!$B$34)/1440),1,0)</f>
        <v>0</v>
      </c>
      <c r="U40" s="2">
        <f>IF(AND(VLOOKUP(U$1,test!$A$3:$F$32,5,FALSE) - VLOOKUP($B40,test!$A$3:$G$32,6,FALSE) &gt;= (test!$B$34)/1440),1,0)</f>
        <v>0</v>
      </c>
      <c r="V40" s="2">
        <f>IF(AND(VLOOKUP(V$1,test!$A$3:$F$32,5,FALSE) - VLOOKUP($B40,test!$A$3:$G$32,6,FALSE) &gt;= (test!$B$34)/1440),1,0)</f>
        <v>0</v>
      </c>
      <c r="W40" s="2">
        <f>IF(AND(VLOOKUP(W$1,test!$A$3:$F$32,5,FALSE) - VLOOKUP($B40,test!$A$3:$G$32,6,FALSE) &gt;= (test!$B$34)/1440),1,0)</f>
        <v>0</v>
      </c>
      <c r="X40" s="2">
        <f>IF(AND(VLOOKUP(X$1,test!$A$3:$F$32,5,FALSE) - VLOOKUP($B40,test!$A$3:$G$32,6,FALSE) &gt;= (test!$B$34)/1440),1,0)</f>
        <v>0</v>
      </c>
      <c r="Y40" s="2">
        <f>IF(AND(VLOOKUP(Y$1,test!$A$3:$F$32,5,FALSE) - VLOOKUP($B40,test!$A$3:$G$32,6,FALSE) &gt;= (test!$B$34)/1440),1,0)</f>
        <v>0</v>
      </c>
      <c r="Z40" s="2">
        <f>IF(AND(VLOOKUP(Z$1,test!$A$3:$F$32,5,FALSE) - VLOOKUP($B40,test!$A$3:$G$32,6,FALSE) &gt;= (test!$B$34)/1440),1,0)</f>
        <v>0</v>
      </c>
      <c r="AA40" s="2">
        <f>IF(AND(VLOOKUP(AA$1,test!$A$3:$F$32,5,FALSE) - VLOOKUP($B40,test!$A$3:$G$32,6,FALSE) &gt;= (test!$B$34)/1440),1,0)</f>
        <v>0</v>
      </c>
      <c r="AB40" s="2">
        <f>IF(AND(VLOOKUP(AB$1,test!$A$3:$F$32,5,FALSE) - VLOOKUP($B40,test!$A$3:$G$32,6,FALSE) &gt;= (test!$B$34)/1440),1,0)</f>
        <v>0</v>
      </c>
      <c r="AC40" s="2">
        <f>IF(AND(VLOOKUP(AC$1,test!$A$3:$F$32,5,FALSE) - VLOOKUP($B40,test!$A$3:$G$32,6,FALSE) &gt;= (test!$B$34)/1440),1,0)</f>
        <v>0</v>
      </c>
      <c r="AD40" s="2">
        <f>IF(AND(VLOOKUP(AD$1,test!$A$3:$F$32,5,FALSE) - VLOOKUP($B40,test!$A$3:$G$32,6,FALSE) &gt;= (test!$B$34)/1440),1,0)</f>
        <v>0</v>
      </c>
      <c r="AE40" s="2">
        <f>IF(AND(VLOOKUP(AE$1,test!$A$3:$F$32,5,FALSE) - VLOOKUP($B40,test!$A$3:$G$32,6,FALSE) &gt;= (test!$B$34)/1440),1,0)</f>
        <v>0</v>
      </c>
      <c r="AF40" s="2">
        <f>IF(AND(VLOOKUP(AF$1,test!$A$3:$F$32,5,FALSE) - VLOOKUP($B40,test!$A$3:$G$32,6,FALSE) &gt;= (test!$B$34)/1440),1,0)</f>
        <v>0</v>
      </c>
      <c r="AG40" s="2">
        <f>IF(AND(VLOOKUP(AG$1,test!$A$3:$F$32,5,FALSE) - VLOOKUP($B40,test!$A$3:$G$32,6,FALSE) &gt;= (test!$B$34)/1440),1,0)</f>
        <v>0</v>
      </c>
    </row>
    <row r="41" spans="1:33" x14ac:dyDescent="0.25">
      <c r="A41" t="s">
        <v>59</v>
      </c>
      <c r="B41" t="s">
        <v>15</v>
      </c>
      <c r="C41">
        <v>0</v>
      </c>
      <c r="D41" s="2">
        <f>IF(AND(VLOOKUP(D$1,test!$A$3:$F$32,5,FALSE) - VLOOKUP($B41,test!$A$3:$G$32,6,FALSE) &gt;= (test!$B$34)/1440),1,0)</f>
        <v>0</v>
      </c>
      <c r="E41" s="2">
        <f>IF(AND(VLOOKUP(E$1,test!$A$3:$F$32,5,FALSE) - VLOOKUP($B41,test!$A$3:$G$32,6,FALSE) &gt;= (test!$B$34)/1440),1,0)</f>
        <v>0</v>
      </c>
      <c r="F41" s="2">
        <f>IF(AND(VLOOKUP(F$1,test!$A$3:$F$32,5,FALSE) - VLOOKUP($B41,test!$A$3:$G$32,6,FALSE) &gt;= (test!$B$34)/1440),1,0)</f>
        <v>0</v>
      </c>
      <c r="G41" s="2">
        <f>IF(AND(VLOOKUP(G$1,test!$A$3:$F$32,5,FALSE) - VLOOKUP($B41,test!$A$3:$G$32,6,FALSE) &gt;= (test!$B$34)/1440),1,0)</f>
        <v>0</v>
      </c>
      <c r="H41" s="2">
        <f>IF(AND(VLOOKUP(H$1,test!$A$3:$F$32,5,FALSE) - VLOOKUP($B41,test!$A$3:$G$32,6,FALSE) &gt;= (test!$B$34)/1440),1,0)</f>
        <v>0</v>
      </c>
      <c r="I41" s="2">
        <f>IF(AND(VLOOKUP(I$1,test!$A$3:$F$32,5,FALSE) - VLOOKUP($B41,test!$A$3:$G$32,6,FALSE) &gt;= (test!$B$34)/1440),1,0)</f>
        <v>0</v>
      </c>
      <c r="J41" s="2">
        <f>IF(AND(VLOOKUP(J$1,test!$A$3:$F$32,5,FALSE) - VLOOKUP($B41,test!$A$3:$G$32,6,FALSE) &gt;= (test!$B$34)/1440),1,0)</f>
        <v>0</v>
      </c>
      <c r="K41" s="2">
        <f>IF(AND(VLOOKUP(K$1,test!$A$3:$F$32,5,FALSE) - VLOOKUP($B41,test!$A$3:$G$32,6,FALSE) &gt;= (test!$B$34)/1440),1,0)</f>
        <v>0</v>
      </c>
      <c r="L41" s="2">
        <f>IF(AND(VLOOKUP(L$1,test!$A$3:$F$32,5,FALSE) - VLOOKUP($B41,test!$A$3:$G$32,6,FALSE) &gt;= (test!$B$34)/1440),1,0)</f>
        <v>0</v>
      </c>
      <c r="M41" s="2">
        <f>IF(AND(VLOOKUP(M$1,test!$A$3:$F$32,5,FALSE) - VLOOKUP($B41,test!$A$3:$G$32,6,FALSE) &gt;= (test!$B$34)/1440),1,0)</f>
        <v>0</v>
      </c>
      <c r="N41" s="2">
        <f>IF(AND(VLOOKUP(N$1,test!$A$3:$F$32,5,FALSE) - VLOOKUP($B41,test!$A$3:$G$32,6,FALSE) &gt;= (test!$B$34)/1440),1,0)</f>
        <v>0</v>
      </c>
      <c r="O41" s="2">
        <f>IF(AND(VLOOKUP(O$1,test!$A$3:$F$32,5,FALSE) - VLOOKUP($B41,test!$A$3:$G$32,6,FALSE) &gt;= (test!$B$34)/1440),1,0)</f>
        <v>0</v>
      </c>
      <c r="P41" s="2">
        <f>IF(AND(VLOOKUP(P$1,test!$A$3:$F$32,5,FALSE) - VLOOKUP($B41,test!$A$3:$G$32,6,FALSE) &gt;= (test!$B$34)/1440),1,0)</f>
        <v>0</v>
      </c>
      <c r="Q41" s="2">
        <f>IF(AND(VLOOKUP(Q$1,test!$A$3:$F$32,5,FALSE) - VLOOKUP($B41,test!$A$3:$G$32,6,FALSE) &gt;= (test!$B$34)/1440),1,0)</f>
        <v>0</v>
      </c>
      <c r="R41" s="2">
        <f>IF(AND(VLOOKUP(R$1,test!$A$3:$F$32,5,FALSE) - VLOOKUP($B41,test!$A$3:$G$32,6,FALSE) &gt;= (test!$B$34)/1440),1,0)</f>
        <v>0</v>
      </c>
      <c r="S41" s="2">
        <f>IF(AND(VLOOKUP(S$1,test!$A$3:$F$32,5,FALSE) - VLOOKUP($B41,test!$A$3:$G$32,6,FALSE) &gt;= (test!$B$34)/1440),1,0)</f>
        <v>0</v>
      </c>
      <c r="T41" s="2">
        <f>IF(AND(VLOOKUP(T$1,test!$A$3:$F$32,5,FALSE) - VLOOKUP($B41,test!$A$3:$G$32,6,FALSE) &gt;= (test!$B$34)/1440),1,0)</f>
        <v>0</v>
      </c>
      <c r="U41" s="2">
        <f>IF(AND(VLOOKUP(U$1,test!$A$3:$F$32,5,FALSE) - VLOOKUP($B41,test!$A$3:$G$32,6,FALSE) &gt;= (test!$B$34)/1440),1,0)</f>
        <v>0</v>
      </c>
      <c r="V41" s="2">
        <f>IF(AND(VLOOKUP(V$1,test!$A$3:$F$32,5,FALSE) - VLOOKUP($B41,test!$A$3:$G$32,6,FALSE) &gt;= (test!$B$34)/1440),1,0)</f>
        <v>0</v>
      </c>
      <c r="W41" s="2">
        <f>IF(AND(VLOOKUP(W$1,test!$A$3:$F$32,5,FALSE) - VLOOKUP($B41,test!$A$3:$G$32,6,FALSE) &gt;= (test!$B$34)/1440),1,0)</f>
        <v>0</v>
      </c>
      <c r="X41" s="2">
        <f>IF(AND(VLOOKUP(X$1,test!$A$3:$F$32,5,FALSE) - VLOOKUP($B41,test!$A$3:$G$32,6,FALSE) &gt;= (test!$B$34)/1440),1,0)</f>
        <v>0</v>
      </c>
      <c r="Y41" s="2">
        <f>IF(AND(VLOOKUP(Y$1,test!$A$3:$F$32,5,FALSE) - VLOOKUP($B41,test!$A$3:$G$32,6,FALSE) &gt;= (test!$B$34)/1440),1,0)</f>
        <v>0</v>
      </c>
      <c r="Z41" s="2">
        <f>IF(AND(VLOOKUP(Z$1,test!$A$3:$F$32,5,FALSE) - VLOOKUP($B41,test!$A$3:$G$32,6,FALSE) &gt;= (test!$B$34)/1440),1,0)</f>
        <v>0</v>
      </c>
      <c r="AA41" s="2">
        <f>IF(AND(VLOOKUP(AA$1,test!$A$3:$F$32,5,FALSE) - VLOOKUP($B41,test!$A$3:$G$32,6,FALSE) &gt;= (test!$B$34)/1440),1,0)</f>
        <v>0</v>
      </c>
      <c r="AB41" s="2">
        <f>IF(AND(VLOOKUP(AB$1,test!$A$3:$F$32,5,FALSE) - VLOOKUP($B41,test!$A$3:$G$32,6,FALSE) &gt;= (test!$B$34)/1440),1,0)</f>
        <v>0</v>
      </c>
      <c r="AC41" s="2">
        <f>IF(AND(VLOOKUP(AC$1,test!$A$3:$F$32,5,FALSE) - VLOOKUP($B41,test!$A$3:$G$32,6,FALSE) &gt;= (test!$B$34)/1440),1,0)</f>
        <v>0</v>
      </c>
      <c r="AD41" s="2">
        <f>IF(AND(VLOOKUP(AD$1,test!$A$3:$F$32,5,FALSE) - VLOOKUP($B41,test!$A$3:$G$32,6,FALSE) &gt;= (test!$B$34)/1440),1,0)</f>
        <v>0</v>
      </c>
      <c r="AE41" s="2">
        <f>IF(AND(VLOOKUP(AE$1,test!$A$3:$F$32,5,FALSE) - VLOOKUP($B41,test!$A$3:$G$32,6,FALSE) &gt;= (test!$B$34)/1440),1,0)</f>
        <v>0</v>
      </c>
      <c r="AF41" s="2">
        <f>IF(AND(VLOOKUP(AF$1,test!$A$3:$F$32,5,FALSE) - VLOOKUP($B41,test!$A$3:$G$32,6,FALSE) &gt;= (test!$B$34)/1440),1,0)</f>
        <v>0</v>
      </c>
      <c r="AG41" s="2">
        <f>IF(AND(VLOOKUP(AG$1,test!$A$3:$F$32,5,FALSE) - VLOOKUP($B41,test!$A$3:$G$32,6,FALSE) &gt;= (test!$B$34)/1440),1,0)</f>
        <v>0</v>
      </c>
    </row>
    <row r="42" spans="1:33" x14ac:dyDescent="0.25">
      <c r="A42" t="s">
        <v>59</v>
      </c>
      <c r="B42" t="s">
        <v>18</v>
      </c>
      <c r="C42">
        <v>0</v>
      </c>
      <c r="D42" s="2">
        <f>IF(AND(VLOOKUP(D$1,test!$A$3:$F$32,5,FALSE) - VLOOKUP($B42,test!$A$3:$G$32,6,FALSE) &gt;= (test!$B$34)/1440),1,0)</f>
        <v>0</v>
      </c>
      <c r="E42" s="2">
        <f>IF(AND(VLOOKUP(E$1,test!$A$3:$F$32,5,FALSE) - VLOOKUP($B42,test!$A$3:$G$32,6,FALSE) &gt;= (test!$B$34)/1440),1,0)</f>
        <v>0</v>
      </c>
      <c r="F42" s="2">
        <f>IF(AND(VLOOKUP(F$1,test!$A$3:$F$32,5,FALSE) - VLOOKUP($B42,test!$A$3:$G$32,6,FALSE) &gt;= (test!$B$34)/1440),1,0)</f>
        <v>1</v>
      </c>
      <c r="G42" s="2">
        <f>IF(AND(VLOOKUP(G$1,test!$A$3:$F$32,5,FALSE) - VLOOKUP($B42,test!$A$3:$G$32,6,FALSE) &gt;= (test!$B$34)/1440),1,0)</f>
        <v>1</v>
      </c>
      <c r="H42" s="2">
        <f>IF(AND(VLOOKUP(H$1,test!$A$3:$F$32,5,FALSE) - VLOOKUP($B42,test!$A$3:$G$32,6,FALSE) &gt;= (test!$B$34)/1440),1,0)</f>
        <v>1</v>
      </c>
      <c r="I42" s="2">
        <f>IF(AND(VLOOKUP(I$1,test!$A$3:$F$32,5,FALSE) - VLOOKUP($B42,test!$A$3:$G$32,6,FALSE) &gt;= (test!$B$34)/1440),1,0)</f>
        <v>1</v>
      </c>
      <c r="J42" s="2">
        <f>IF(AND(VLOOKUP(J$1,test!$A$3:$F$32,5,FALSE) - VLOOKUP($B42,test!$A$3:$G$32,6,FALSE) &gt;= (test!$B$34)/1440),1,0)</f>
        <v>1</v>
      </c>
      <c r="K42" s="2">
        <f>IF(AND(VLOOKUP(K$1,test!$A$3:$F$32,5,FALSE) - VLOOKUP($B42,test!$A$3:$G$32,6,FALSE) &gt;= (test!$B$34)/1440),1,0)</f>
        <v>1</v>
      </c>
      <c r="L42" s="2">
        <f>IF(AND(VLOOKUP(L$1,test!$A$3:$F$32,5,FALSE) - VLOOKUP($B42,test!$A$3:$G$32,6,FALSE) &gt;= (test!$B$34)/1440),1,0)</f>
        <v>0</v>
      </c>
      <c r="M42" s="2">
        <f>IF(AND(VLOOKUP(M$1,test!$A$3:$F$32,5,FALSE) - VLOOKUP($B42,test!$A$3:$G$32,6,FALSE) &gt;= (test!$B$34)/1440),1,0)</f>
        <v>0</v>
      </c>
      <c r="N42" s="2">
        <f>IF(AND(VLOOKUP(N$1,test!$A$3:$F$32,5,FALSE) - VLOOKUP($B42,test!$A$3:$G$32,6,FALSE) &gt;= (test!$B$34)/1440),1,0)</f>
        <v>1</v>
      </c>
      <c r="O42" s="2">
        <f>IF(AND(VLOOKUP(O$1,test!$A$3:$F$32,5,FALSE) - VLOOKUP($B42,test!$A$3:$G$32,6,FALSE) &gt;= (test!$B$34)/1440),1,0)</f>
        <v>1</v>
      </c>
      <c r="P42" s="2">
        <f>IF(AND(VLOOKUP(P$1,test!$A$3:$F$32,5,FALSE) - VLOOKUP($B42,test!$A$3:$G$32,6,FALSE) &gt;= (test!$B$34)/1440),1,0)</f>
        <v>1</v>
      </c>
      <c r="Q42" s="2">
        <f>IF(AND(VLOOKUP(Q$1,test!$A$3:$F$32,5,FALSE) - VLOOKUP($B42,test!$A$3:$G$32,6,FALSE) &gt;= (test!$B$34)/1440),1,0)</f>
        <v>0</v>
      </c>
      <c r="R42" s="2">
        <f>IF(AND(VLOOKUP(R$1,test!$A$3:$F$32,5,FALSE) - VLOOKUP($B42,test!$A$3:$G$32,6,FALSE) &gt;= (test!$B$34)/1440),1,0)</f>
        <v>0</v>
      </c>
      <c r="S42" s="2">
        <f>IF(AND(VLOOKUP(S$1,test!$A$3:$F$32,5,FALSE) - VLOOKUP($B42,test!$A$3:$G$32,6,FALSE) &gt;= (test!$B$34)/1440),1,0)</f>
        <v>0</v>
      </c>
      <c r="T42" s="2">
        <f>IF(AND(VLOOKUP(T$1,test!$A$3:$F$32,5,FALSE) - VLOOKUP($B42,test!$A$3:$G$32,6,FALSE) &gt;= (test!$B$34)/1440),1,0)</f>
        <v>0</v>
      </c>
      <c r="U42" s="2">
        <f>IF(AND(VLOOKUP(U$1,test!$A$3:$F$32,5,FALSE) - VLOOKUP($B42,test!$A$3:$G$32,6,FALSE) &gt;= (test!$B$34)/1440),1,0)</f>
        <v>1</v>
      </c>
      <c r="V42" s="2">
        <f>IF(AND(VLOOKUP(V$1,test!$A$3:$F$32,5,FALSE) - VLOOKUP($B42,test!$A$3:$G$32,6,FALSE) &gt;= (test!$B$34)/1440),1,0)</f>
        <v>1</v>
      </c>
      <c r="W42" s="2">
        <f>IF(AND(VLOOKUP(W$1,test!$A$3:$F$32,5,FALSE) - VLOOKUP($B42,test!$A$3:$G$32,6,FALSE) &gt;= (test!$B$34)/1440),1,0)</f>
        <v>1</v>
      </c>
      <c r="X42" s="2">
        <f>IF(AND(VLOOKUP(X$1,test!$A$3:$F$32,5,FALSE) - VLOOKUP($B42,test!$A$3:$G$32,6,FALSE) &gt;= (test!$B$34)/1440),1,0)</f>
        <v>1</v>
      </c>
      <c r="Y42" s="2">
        <f>IF(AND(VLOOKUP(Y$1,test!$A$3:$F$32,5,FALSE) - VLOOKUP($B42,test!$A$3:$G$32,6,FALSE) &gt;= (test!$B$34)/1440),1,0)</f>
        <v>1</v>
      </c>
      <c r="Z42" s="2">
        <f>IF(AND(VLOOKUP(Z$1,test!$A$3:$F$32,5,FALSE) - VLOOKUP($B42,test!$A$3:$G$32,6,FALSE) &gt;= (test!$B$34)/1440),1,0)</f>
        <v>0</v>
      </c>
      <c r="AA42" s="2">
        <f>IF(AND(VLOOKUP(AA$1,test!$A$3:$F$32,5,FALSE) - VLOOKUP($B42,test!$A$3:$G$32,6,FALSE) &gt;= (test!$B$34)/1440),1,0)</f>
        <v>0</v>
      </c>
      <c r="AB42" s="2">
        <f>IF(AND(VLOOKUP(AB$1,test!$A$3:$F$32,5,FALSE) - VLOOKUP($B42,test!$A$3:$G$32,6,FALSE) &gt;= (test!$B$34)/1440),1,0)</f>
        <v>1</v>
      </c>
      <c r="AC42" s="2">
        <f>IF(AND(VLOOKUP(AC$1,test!$A$3:$F$32,5,FALSE) - VLOOKUP($B42,test!$A$3:$G$32,6,FALSE) &gt;= (test!$B$34)/1440),1,0)</f>
        <v>1</v>
      </c>
      <c r="AD42" s="2">
        <f>IF(AND(VLOOKUP(AD$1,test!$A$3:$F$32,5,FALSE) - VLOOKUP($B42,test!$A$3:$G$32,6,FALSE) &gt;= (test!$B$34)/1440),1,0)</f>
        <v>1</v>
      </c>
      <c r="AE42" s="2">
        <f>IF(AND(VLOOKUP(AE$1,test!$A$3:$F$32,5,FALSE) - VLOOKUP($B42,test!$A$3:$G$32,6,FALSE) &gt;= (test!$B$34)/1440),1,0)</f>
        <v>0</v>
      </c>
      <c r="AF42" s="2">
        <f>IF(AND(VLOOKUP(AF$1,test!$A$3:$F$32,5,FALSE) - VLOOKUP($B42,test!$A$3:$G$32,6,FALSE) &gt;= (test!$B$34)/1440),1,0)</f>
        <v>1</v>
      </c>
      <c r="AG42" s="2">
        <f>IF(AND(VLOOKUP(AG$1,test!$A$3:$F$32,5,FALSE) - VLOOKUP($B42,test!$A$3:$G$32,6,FALSE) &gt;= (test!$B$34)/1440),1,0)</f>
        <v>1</v>
      </c>
    </row>
    <row r="43" spans="1:33" x14ac:dyDescent="0.25">
      <c r="A43" t="s">
        <v>59</v>
      </c>
      <c r="B43" t="s">
        <v>20</v>
      </c>
      <c r="C43">
        <v>0</v>
      </c>
      <c r="D43" s="2">
        <f>IF(AND(VLOOKUP(D$1,test!$A$3:$F$32,5,FALSE) - VLOOKUP($B43,test!$A$3:$G$32,6,FALSE) &gt;= (test!$B$34)/1440),1,0)</f>
        <v>0</v>
      </c>
      <c r="E43" s="2">
        <f>IF(AND(VLOOKUP(E$1,test!$A$3:$F$32,5,FALSE) - VLOOKUP($B43,test!$A$3:$G$32,6,FALSE) &gt;= (test!$B$34)/1440),1,0)</f>
        <v>0</v>
      </c>
      <c r="F43" s="2">
        <f>IF(AND(VLOOKUP(F$1,test!$A$3:$F$32,5,FALSE) - VLOOKUP($B43,test!$A$3:$G$32,6,FALSE) &gt;= (test!$B$34)/1440),1,0)</f>
        <v>0</v>
      </c>
      <c r="G43" s="2">
        <f>IF(AND(VLOOKUP(G$1,test!$A$3:$F$32,5,FALSE) - VLOOKUP($B43,test!$A$3:$G$32,6,FALSE) &gt;= (test!$B$34)/1440),1,0)</f>
        <v>1</v>
      </c>
      <c r="H43" s="2">
        <f>IF(AND(VLOOKUP(H$1,test!$A$3:$F$32,5,FALSE) - VLOOKUP($B43,test!$A$3:$G$32,6,FALSE) &gt;= (test!$B$34)/1440),1,0)</f>
        <v>1</v>
      </c>
      <c r="I43" s="2">
        <f>IF(AND(VLOOKUP(I$1,test!$A$3:$F$32,5,FALSE) - VLOOKUP($B43,test!$A$3:$G$32,6,FALSE) &gt;= (test!$B$34)/1440),1,0)</f>
        <v>1</v>
      </c>
      <c r="J43" s="2">
        <f>IF(AND(VLOOKUP(J$1,test!$A$3:$F$32,5,FALSE) - VLOOKUP($B43,test!$A$3:$G$32,6,FALSE) &gt;= (test!$B$34)/1440),1,0)</f>
        <v>1</v>
      </c>
      <c r="K43" s="2">
        <f>IF(AND(VLOOKUP(K$1,test!$A$3:$F$32,5,FALSE) - VLOOKUP($B43,test!$A$3:$G$32,6,FALSE) &gt;= (test!$B$34)/1440),1,0)</f>
        <v>1</v>
      </c>
      <c r="L43" s="2">
        <f>IF(AND(VLOOKUP(L$1,test!$A$3:$F$32,5,FALSE) - VLOOKUP($B43,test!$A$3:$G$32,6,FALSE) &gt;= (test!$B$34)/1440),1,0)</f>
        <v>0</v>
      </c>
      <c r="M43" s="2">
        <f>IF(AND(VLOOKUP(M$1,test!$A$3:$F$32,5,FALSE) - VLOOKUP($B43,test!$A$3:$G$32,6,FALSE) &gt;= (test!$B$34)/1440),1,0)</f>
        <v>0</v>
      </c>
      <c r="N43" s="2">
        <f>IF(AND(VLOOKUP(N$1,test!$A$3:$F$32,5,FALSE) - VLOOKUP($B43,test!$A$3:$G$32,6,FALSE) &gt;= (test!$B$34)/1440),1,0)</f>
        <v>0</v>
      </c>
      <c r="O43" s="2">
        <f>IF(AND(VLOOKUP(O$1,test!$A$3:$F$32,5,FALSE) - VLOOKUP($B43,test!$A$3:$G$32,6,FALSE) &gt;= (test!$B$34)/1440),1,0)</f>
        <v>1</v>
      </c>
      <c r="P43" s="2">
        <f>IF(AND(VLOOKUP(P$1,test!$A$3:$F$32,5,FALSE) - VLOOKUP($B43,test!$A$3:$G$32,6,FALSE) &gt;= (test!$B$34)/1440),1,0)</f>
        <v>1</v>
      </c>
      <c r="Q43" s="2">
        <f>IF(AND(VLOOKUP(Q$1,test!$A$3:$F$32,5,FALSE) - VLOOKUP($B43,test!$A$3:$G$32,6,FALSE) &gt;= (test!$B$34)/1440),1,0)</f>
        <v>0</v>
      </c>
      <c r="R43" s="2">
        <f>IF(AND(VLOOKUP(R$1,test!$A$3:$F$32,5,FALSE) - VLOOKUP($B43,test!$A$3:$G$32,6,FALSE) &gt;= (test!$B$34)/1440),1,0)</f>
        <v>0</v>
      </c>
      <c r="S43" s="2">
        <f>IF(AND(VLOOKUP(S$1,test!$A$3:$F$32,5,FALSE) - VLOOKUP($B43,test!$A$3:$G$32,6,FALSE) &gt;= (test!$B$34)/1440),1,0)</f>
        <v>0</v>
      </c>
      <c r="T43" s="2">
        <f>IF(AND(VLOOKUP(T$1,test!$A$3:$F$32,5,FALSE) - VLOOKUP($B43,test!$A$3:$G$32,6,FALSE) &gt;= (test!$B$34)/1440),1,0)</f>
        <v>0</v>
      </c>
      <c r="U43" s="2">
        <f>IF(AND(VLOOKUP(U$1,test!$A$3:$F$32,5,FALSE) - VLOOKUP($B43,test!$A$3:$G$32,6,FALSE) &gt;= (test!$B$34)/1440),1,0)</f>
        <v>0</v>
      </c>
      <c r="V43" s="2">
        <f>IF(AND(VLOOKUP(V$1,test!$A$3:$F$32,5,FALSE) - VLOOKUP($B43,test!$A$3:$G$32,6,FALSE) &gt;= (test!$B$34)/1440),1,0)</f>
        <v>1</v>
      </c>
      <c r="W43" s="2">
        <f>IF(AND(VLOOKUP(W$1,test!$A$3:$F$32,5,FALSE) - VLOOKUP($B43,test!$A$3:$G$32,6,FALSE) &gt;= (test!$B$34)/1440),1,0)</f>
        <v>1</v>
      </c>
      <c r="X43" s="2">
        <f>IF(AND(VLOOKUP(X$1,test!$A$3:$F$32,5,FALSE) - VLOOKUP($B43,test!$A$3:$G$32,6,FALSE) &gt;= (test!$B$34)/1440),1,0)</f>
        <v>1</v>
      </c>
      <c r="Y43" s="2">
        <f>IF(AND(VLOOKUP(Y$1,test!$A$3:$F$32,5,FALSE) - VLOOKUP($B43,test!$A$3:$G$32,6,FALSE) &gt;= (test!$B$34)/1440),1,0)</f>
        <v>1</v>
      </c>
      <c r="Z43" s="2">
        <f>IF(AND(VLOOKUP(Z$1,test!$A$3:$F$32,5,FALSE) - VLOOKUP($B43,test!$A$3:$G$32,6,FALSE) &gt;= (test!$B$34)/1440),1,0)</f>
        <v>0</v>
      </c>
      <c r="AA43" s="2">
        <f>IF(AND(VLOOKUP(AA$1,test!$A$3:$F$32,5,FALSE) - VLOOKUP($B43,test!$A$3:$G$32,6,FALSE) &gt;= (test!$B$34)/1440),1,0)</f>
        <v>0</v>
      </c>
      <c r="AB43" s="2">
        <f>IF(AND(VLOOKUP(AB$1,test!$A$3:$F$32,5,FALSE) - VLOOKUP($B43,test!$A$3:$G$32,6,FALSE) &gt;= (test!$B$34)/1440),1,0)</f>
        <v>0</v>
      </c>
      <c r="AC43" s="2">
        <f>IF(AND(VLOOKUP(AC$1,test!$A$3:$F$32,5,FALSE) - VLOOKUP($B43,test!$A$3:$G$32,6,FALSE) &gt;= (test!$B$34)/1440),1,0)</f>
        <v>1</v>
      </c>
      <c r="AD43" s="2">
        <f>IF(AND(VLOOKUP(AD$1,test!$A$3:$F$32,5,FALSE) - VLOOKUP($B43,test!$A$3:$G$32,6,FALSE) &gt;= (test!$B$34)/1440),1,0)</f>
        <v>1</v>
      </c>
      <c r="AE43" s="2">
        <f>IF(AND(VLOOKUP(AE$1,test!$A$3:$F$32,5,FALSE) - VLOOKUP($B43,test!$A$3:$G$32,6,FALSE) &gt;= (test!$B$34)/1440),1,0)</f>
        <v>0</v>
      </c>
      <c r="AF43" s="2">
        <f>IF(AND(VLOOKUP(AF$1,test!$A$3:$F$32,5,FALSE) - VLOOKUP($B43,test!$A$3:$G$32,6,FALSE) &gt;= (test!$B$34)/1440),1,0)</f>
        <v>0</v>
      </c>
      <c r="AG43" s="2">
        <f>IF(AND(VLOOKUP(AG$1,test!$A$3:$F$32,5,FALSE) - VLOOKUP($B43,test!$A$3:$G$32,6,FALSE) &gt;= (test!$B$34)/1440),1,0)</f>
        <v>0</v>
      </c>
    </row>
    <row r="44" spans="1:33" x14ac:dyDescent="0.25">
      <c r="A44" t="s">
        <v>59</v>
      </c>
      <c r="B44" t="s">
        <v>21</v>
      </c>
      <c r="C44">
        <v>0</v>
      </c>
      <c r="D44" s="2">
        <f>IF(AND(VLOOKUP(D$1,test!$A$3:$F$32,5,FALSE) - VLOOKUP($B44,test!$A$3:$G$32,6,FALSE) &gt;= (test!$B$34)/1440),1,0)</f>
        <v>0</v>
      </c>
      <c r="E44" s="2">
        <f>IF(AND(VLOOKUP(E$1,test!$A$3:$F$32,5,FALSE) - VLOOKUP($B44,test!$A$3:$G$32,6,FALSE) &gt;= (test!$B$34)/1440),1,0)</f>
        <v>0</v>
      </c>
      <c r="F44" s="2">
        <f>IF(AND(VLOOKUP(F$1,test!$A$3:$F$32,5,FALSE) - VLOOKUP($B44,test!$A$3:$G$32,6,FALSE) &gt;= (test!$B$34)/1440),1,0)</f>
        <v>0</v>
      </c>
      <c r="G44" s="2">
        <f>IF(AND(VLOOKUP(G$1,test!$A$3:$F$32,5,FALSE) - VLOOKUP($B44,test!$A$3:$G$32,6,FALSE) &gt;= (test!$B$34)/1440),1,0)</f>
        <v>0</v>
      </c>
      <c r="H44" s="2">
        <f>IF(AND(VLOOKUP(H$1,test!$A$3:$F$32,5,FALSE) - VLOOKUP($B44,test!$A$3:$G$32,6,FALSE) &gt;= (test!$B$34)/1440),1,0)</f>
        <v>0</v>
      </c>
      <c r="I44" s="2">
        <f>IF(AND(VLOOKUP(I$1,test!$A$3:$F$32,5,FALSE) - VLOOKUP($B44,test!$A$3:$G$32,6,FALSE) &gt;= (test!$B$34)/1440),1,0)</f>
        <v>1</v>
      </c>
      <c r="J44" s="2">
        <f>IF(AND(VLOOKUP(J$1,test!$A$3:$F$32,5,FALSE) - VLOOKUP($B44,test!$A$3:$G$32,6,FALSE) &gt;= (test!$B$34)/1440),1,0)</f>
        <v>1</v>
      </c>
      <c r="K44" s="2">
        <f>IF(AND(VLOOKUP(K$1,test!$A$3:$F$32,5,FALSE) - VLOOKUP($B44,test!$A$3:$G$32,6,FALSE) &gt;= (test!$B$34)/1440),1,0)</f>
        <v>1</v>
      </c>
      <c r="L44" s="2">
        <f>IF(AND(VLOOKUP(L$1,test!$A$3:$F$32,5,FALSE) - VLOOKUP($B44,test!$A$3:$G$32,6,FALSE) &gt;= (test!$B$34)/1440),1,0)</f>
        <v>0</v>
      </c>
      <c r="M44" s="2">
        <f>IF(AND(VLOOKUP(M$1,test!$A$3:$F$32,5,FALSE) - VLOOKUP($B44,test!$A$3:$G$32,6,FALSE) &gt;= (test!$B$34)/1440),1,0)</f>
        <v>0</v>
      </c>
      <c r="N44" s="2">
        <f>IF(AND(VLOOKUP(N$1,test!$A$3:$F$32,5,FALSE) - VLOOKUP($B44,test!$A$3:$G$32,6,FALSE) &gt;= (test!$B$34)/1440),1,0)</f>
        <v>0</v>
      </c>
      <c r="O44" s="2">
        <f>IF(AND(VLOOKUP(O$1,test!$A$3:$F$32,5,FALSE) - VLOOKUP($B44,test!$A$3:$G$32,6,FALSE) &gt;= (test!$B$34)/1440),1,0)</f>
        <v>1</v>
      </c>
      <c r="P44" s="2">
        <f>IF(AND(VLOOKUP(P$1,test!$A$3:$F$32,5,FALSE) - VLOOKUP($B44,test!$A$3:$G$32,6,FALSE) &gt;= (test!$B$34)/1440),1,0)</f>
        <v>1</v>
      </c>
      <c r="Q44" s="2">
        <f>IF(AND(VLOOKUP(Q$1,test!$A$3:$F$32,5,FALSE) - VLOOKUP($B44,test!$A$3:$G$32,6,FALSE) &gt;= (test!$B$34)/1440),1,0)</f>
        <v>0</v>
      </c>
      <c r="R44" s="2">
        <f>IF(AND(VLOOKUP(R$1,test!$A$3:$F$32,5,FALSE) - VLOOKUP($B44,test!$A$3:$G$32,6,FALSE) &gt;= (test!$B$34)/1440),1,0)</f>
        <v>0</v>
      </c>
      <c r="S44" s="2">
        <f>IF(AND(VLOOKUP(S$1,test!$A$3:$F$32,5,FALSE) - VLOOKUP($B44,test!$A$3:$G$32,6,FALSE) &gt;= (test!$B$34)/1440),1,0)</f>
        <v>0</v>
      </c>
      <c r="T44" s="2">
        <f>IF(AND(VLOOKUP(T$1,test!$A$3:$F$32,5,FALSE) - VLOOKUP($B44,test!$A$3:$G$32,6,FALSE) &gt;= (test!$B$34)/1440),1,0)</f>
        <v>0</v>
      </c>
      <c r="U44" s="2">
        <f>IF(AND(VLOOKUP(U$1,test!$A$3:$F$32,5,FALSE) - VLOOKUP($B44,test!$A$3:$G$32,6,FALSE) &gt;= (test!$B$34)/1440),1,0)</f>
        <v>0</v>
      </c>
      <c r="V44" s="2">
        <f>IF(AND(VLOOKUP(V$1,test!$A$3:$F$32,5,FALSE) - VLOOKUP($B44,test!$A$3:$G$32,6,FALSE) &gt;= (test!$B$34)/1440),1,0)</f>
        <v>0</v>
      </c>
      <c r="W44" s="2">
        <f>IF(AND(VLOOKUP(W$1,test!$A$3:$F$32,5,FALSE) - VLOOKUP($B44,test!$A$3:$G$32,6,FALSE) &gt;= (test!$B$34)/1440),1,0)</f>
        <v>0</v>
      </c>
      <c r="X44" s="2">
        <f>IF(AND(VLOOKUP(X$1,test!$A$3:$F$32,5,FALSE) - VLOOKUP($B44,test!$A$3:$G$32,6,FALSE) &gt;= (test!$B$34)/1440),1,0)</f>
        <v>1</v>
      </c>
      <c r="Y44" s="2">
        <f>IF(AND(VLOOKUP(Y$1,test!$A$3:$F$32,5,FALSE) - VLOOKUP($B44,test!$A$3:$G$32,6,FALSE) &gt;= (test!$B$34)/1440),1,0)</f>
        <v>1</v>
      </c>
      <c r="Z44" s="2">
        <f>IF(AND(VLOOKUP(Z$1,test!$A$3:$F$32,5,FALSE) - VLOOKUP($B44,test!$A$3:$G$32,6,FALSE) &gt;= (test!$B$34)/1440),1,0)</f>
        <v>0</v>
      </c>
      <c r="AA44" s="2">
        <f>IF(AND(VLOOKUP(AA$1,test!$A$3:$F$32,5,FALSE) - VLOOKUP($B44,test!$A$3:$G$32,6,FALSE) &gt;= (test!$B$34)/1440),1,0)</f>
        <v>0</v>
      </c>
      <c r="AB44" s="2">
        <f>IF(AND(VLOOKUP(AB$1,test!$A$3:$F$32,5,FALSE) - VLOOKUP($B44,test!$A$3:$G$32,6,FALSE) &gt;= (test!$B$34)/1440),1,0)</f>
        <v>0</v>
      </c>
      <c r="AC44" s="2">
        <f>IF(AND(VLOOKUP(AC$1,test!$A$3:$F$32,5,FALSE) - VLOOKUP($B44,test!$A$3:$G$32,6,FALSE) &gt;= (test!$B$34)/1440),1,0)</f>
        <v>0</v>
      </c>
      <c r="AD44" s="2">
        <f>IF(AND(VLOOKUP(AD$1,test!$A$3:$F$32,5,FALSE) - VLOOKUP($B44,test!$A$3:$G$32,6,FALSE) &gt;= (test!$B$34)/1440),1,0)</f>
        <v>1</v>
      </c>
      <c r="AE44" s="2">
        <f>IF(AND(VLOOKUP(AE$1,test!$A$3:$F$32,5,FALSE) - VLOOKUP($B44,test!$A$3:$G$32,6,FALSE) &gt;= (test!$B$34)/1440),1,0)</f>
        <v>0</v>
      </c>
      <c r="AF44" s="2">
        <f>IF(AND(VLOOKUP(AF$1,test!$A$3:$F$32,5,FALSE) - VLOOKUP($B44,test!$A$3:$G$32,6,FALSE) &gt;= (test!$B$34)/1440),1,0)</f>
        <v>0</v>
      </c>
      <c r="AG44" s="2">
        <f>IF(AND(VLOOKUP(AG$1,test!$A$3:$F$32,5,FALSE) - VLOOKUP($B44,test!$A$3:$G$32,6,FALSE) &gt;= (test!$B$34)/1440),1,0)</f>
        <v>0</v>
      </c>
    </row>
    <row r="45" spans="1:33" x14ac:dyDescent="0.25">
      <c r="A45" t="s">
        <v>59</v>
      </c>
      <c r="B45" t="s">
        <v>22</v>
      </c>
      <c r="C45">
        <v>0</v>
      </c>
      <c r="D45" s="2">
        <f>IF(AND(VLOOKUP(D$1,test!$A$3:$F$32,5,FALSE) - VLOOKUP($B45,test!$A$3:$G$32,6,FALSE) &gt;= (test!$B$34)/1440),1,0)</f>
        <v>0</v>
      </c>
      <c r="E45" s="2">
        <f>IF(AND(VLOOKUP(E$1,test!$A$3:$F$32,5,FALSE) - VLOOKUP($B45,test!$A$3:$G$32,6,FALSE) &gt;= (test!$B$34)/1440),1,0)</f>
        <v>0</v>
      </c>
      <c r="F45" s="2">
        <f>IF(AND(VLOOKUP(F$1,test!$A$3:$F$32,5,FALSE) - VLOOKUP($B45,test!$A$3:$G$32,6,FALSE) &gt;= (test!$B$34)/1440),1,0)</f>
        <v>0</v>
      </c>
      <c r="G45" s="2">
        <f>IF(AND(VLOOKUP(G$1,test!$A$3:$F$32,5,FALSE) - VLOOKUP($B45,test!$A$3:$G$32,6,FALSE) &gt;= (test!$B$34)/1440),1,0)</f>
        <v>0</v>
      </c>
      <c r="H45" s="2">
        <f>IF(AND(VLOOKUP(H$1,test!$A$3:$F$32,5,FALSE) - VLOOKUP($B45,test!$A$3:$G$32,6,FALSE) &gt;= (test!$B$34)/1440),1,0)</f>
        <v>0</v>
      </c>
      <c r="I45" s="2">
        <f>IF(AND(VLOOKUP(I$1,test!$A$3:$F$32,5,FALSE) - VLOOKUP($B45,test!$A$3:$G$32,6,FALSE) &gt;= (test!$B$34)/1440),1,0)</f>
        <v>0</v>
      </c>
      <c r="J45" s="2">
        <f>IF(AND(VLOOKUP(J$1,test!$A$3:$F$32,5,FALSE) - VLOOKUP($B45,test!$A$3:$G$32,6,FALSE) &gt;= (test!$B$34)/1440),1,0)</f>
        <v>0</v>
      </c>
      <c r="K45" s="2">
        <f>IF(AND(VLOOKUP(K$1,test!$A$3:$F$32,5,FALSE) - VLOOKUP($B45,test!$A$3:$G$32,6,FALSE) &gt;= (test!$B$34)/1440),1,0)</f>
        <v>0</v>
      </c>
      <c r="L45" s="2">
        <f>IF(AND(VLOOKUP(L$1,test!$A$3:$F$32,5,FALSE) - VLOOKUP($B45,test!$A$3:$G$32,6,FALSE) &gt;= (test!$B$34)/1440),1,0)</f>
        <v>0</v>
      </c>
      <c r="M45" s="2">
        <f>IF(AND(VLOOKUP(M$1,test!$A$3:$F$32,5,FALSE) - VLOOKUP($B45,test!$A$3:$G$32,6,FALSE) &gt;= (test!$B$34)/1440),1,0)</f>
        <v>0</v>
      </c>
      <c r="N45" s="2">
        <f>IF(AND(VLOOKUP(N$1,test!$A$3:$F$32,5,FALSE) - VLOOKUP($B45,test!$A$3:$G$32,6,FALSE) &gt;= (test!$B$34)/1440),1,0)</f>
        <v>0</v>
      </c>
      <c r="O45" s="2">
        <f>IF(AND(VLOOKUP(O$1,test!$A$3:$F$32,5,FALSE) - VLOOKUP($B45,test!$A$3:$G$32,6,FALSE) &gt;= (test!$B$34)/1440),1,0)</f>
        <v>0</v>
      </c>
      <c r="P45" s="2">
        <f>IF(AND(VLOOKUP(P$1,test!$A$3:$F$32,5,FALSE) - VLOOKUP($B45,test!$A$3:$G$32,6,FALSE) &gt;= (test!$B$34)/1440),1,0)</f>
        <v>0</v>
      </c>
      <c r="Q45" s="2">
        <f>IF(AND(VLOOKUP(Q$1,test!$A$3:$F$32,5,FALSE) - VLOOKUP($B45,test!$A$3:$G$32,6,FALSE) &gt;= (test!$B$34)/1440),1,0)</f>
        <v>0</v>
      </c>
      <c r="R45" s="2">
        <f>IF(AND(VLOOKUP(R$1,test!$A$3:$F$32,5,FALSE) - VLOOKUP($B45,test!$A$3:$G$32,6,FALSE) &gt;= (test!$B$34)/1440),1,0)</f>
        <v>0</v>
      </c>
      <c r="S45" s="2">
        <f>IF(AND(VLOOKUP(S$1,test!$A$3:$F$32,5,FALSE) - VLOOKUP($B45,test!$A$3:$G$32,6,FALSE) &gt;= (test!$B$34)/1440),1,0)</f>
        <v>0</v>
      </c>
      <c r="T45" s="2">
        <f>IF(AND(VLOOKUP(T$1,test!$A$3:$F$32,5,FALSE) - VLOOKUP($B45,test!$A$3:$G$32,6,FALSE) &gt;= (test!$B$34)/1440),1,0)</f>
        <v>0</v>
      </c>
      <c r="U45" s="2">
        <f>IF(AND(VLOOKUP(U$1,test!$A$3:$F$32,5,FALSE) - VLOOKUP($B45,test!$A$3:$G$32,6,FALSE) &gt;= (test!$B$34)/1440),1,0)</f>
        <v>0</v>
      </c>
      <c r="V45" s="2">
        <f>IF(AND(VLOOKUP(V$1,test!$A$3:$F$32,5,FALSE) - VLOOKUP($B45,test!$A$3:$G$32,6,FALSE) &gt;= (test!$B$34)/1440),1,0)</f>
        <v>0</v>
      </c>
      <c r="W45" s="2">
        <f>IF(AND(VLOOKUP(W$1,test!$A$3:$F$32,5,FALSE) - VLOOKUP($B45,test!$A$3:$G$32,6,FALSE) &gt;= (test!$B$34)/1440),1,0)</f>
        <v>0</v>
      </c>
      <c r="X45" s="2">
        <f>IF(AND(VLOOKUP(X$1,test!$A$3:$F$32,5,FALSE) - VLOOKUP($B45,test!$A$3:$G$32,6,FALSE) &gt;= (test!$B$34)/1440),1,0)</f>
        <v>0</v>
      </c>
      <c r="Y45" s="2">
        <f>IF(AND(VLOOKUP(Y$1,test!$A$3:$F$32,5,FALSE) - VLOOKUP($B45,test!$A$3:$G$32,6,FALSE) &gt;= (test!$B$34)/1440),1,0)</f>
        <v>0</v>
      </c>
      <c r="Z45" s="2">
        <f>IF(AND(VLOOKUP(Z$1,test!$A$3:$F$32,5,FALSE) - VLOOKUP($B45,test!$A$3:$G$32,6,FALSE) &gt;= (test!$B$34)/1440),1,0)</f>
        <v>0</v>
      </c>
      <c r="AA45" s="2">
        <f>IF(AND(VLOOKUP(AA$1,test!$A$3:$F$32,5,FALSE) - VLOOKUP($B45,test!$A$3:$G$32,6,FALSE) &gt;= (test!$B$34)/1440),1,0)</f>
        <v>0</v>
      </c>
      <c r="AB45" s="2">
        <f>IF(AND(VLOOKUP(AB$1,test!$A$3:$F$32,5,FALSE) - VLOOKUP($B45,test!$A$3:$G$32,6,FALSE) &gt;= (test!$B$34)/1440),1,0)</f>
        <v>0</v>
      </c>
      <c r="AC45" s="2">
        <f>IF(AND(VLOOKUP(AC$1,test!$A$3:$F$32,5,FALSE) - VLOOKUP($B45,test!$A$3:$G$32,6,FALSE) &gt;= (test!$B$34)/1440),1,0)</f>
        <v>0</v>
      </c>
      <c r="AD45" s="2">
        <f>IF(AND(VLOOKUP(AD$1,test!$A$3:$F$32,5,FALSE) - VLOOKUP($B45,test!$A$3:$G$32,6,FALSE) &gt;= (test!$B$34)/1440),1,0)</f>
        <v>0</v>
      </c>
      <c r="AE45" s="2">
        <f>IF(AND(VLOOKUP(AE$1,test!$A$3:$F$32,5,FALSE) - VLOOKUP($B45,test!$A$3:$G$32,6,FALSE) &gt;= (test!$B$34)/1440),1,0)</f>
        <v>0</v>
      </c>
      <c r="AF45" s="2">
        <f>IF(AND(VLOOKUP(AF$1,test!$A$3:$F$32,5,FALSE) - VLOOKUP($B45,test!$A$3:$G$32,6,FALSE) &gt;= (test!$B$34)/1440),1,0)</f>
        <v>0</v>
      </c>
      <c r="AG45" s="2">
        <f>IF(AND(VLOOKUP(AG$1,test!$A$3:$F$32,5,FALSE) - VLOOKUP($B45,test!$A$3:$G$32,6,FALSE) &gt;= (test!$B$34)/1440),1,0)</f>
        <v>0</v>
      </c>
    </row>
    <row r="46" spans="1:33" x14ac:dyDescent="0.25">
      <c r="A46" t="s">
        <v>59</v>
      </c>
      <c r="B46" t="s">
        <v>23</v>
      </c>
      <c r="C46">
        <v>0</v>
      </c>
      <c r="D46" s="2">
        <f>IF(AND(VLOOKUP(D$1,test!$A$3:$F$32,5,FALSE) - VLOOKUP($B46,test!$A$3:$G$32,6,FALSE) &gt;= (test!$B$34)/1440),1,0)</f>
        <v>0</v>
      </c>
      <c r="E46" s="2">
        <f>IF(AND(VLOOKUP(E$1,test!$A$3:$F$32,5,FALSE) - VLOOKUP($B46,test!$A$3:$G$32,6,FALSE) &gt;= (test!$B$34)/1440),1,0)</f>
        <v>0</v>
      </c>
      <c r="F46" s="2">
        <f>IF(AND(VLOOKUP(F$1,test!$A$3:$F$32,5,FALSE) - VLOOKUP($B46,test!$A$3:$G$32,6,FALSE) &gt;= (test!$B$34)/1440),1,0)</f>
        <v>0</v>
      </c>
      <c r="G46" s="2">
        <f>IF(AND(VLOOKUP(G$1,test!$A$3:$F$32,5,FALSE) - VLOOKUP($B46,test!$A$3:$G$32,6,FALSE) &gt;= (test!$B$34)/1440),1,0)</f>
        <v>0</v>
      </c>
      <c r="H46" s="2">
        <f>IF(AND(VLOOKUP(H$1,test!$A$3:$F$32,5,FALSE) - VLOOKUP($B46,test!$A$3:$G$32,6,FALSE) &gt;= (test!$B$34)/1440),1,0)</f>
        <v>0</v>
      </c>
      <c r="I46" s="2">
        <f>IF(AND(VLOOKUP(I$1,test!$A$3:$F$32,5,FALSE) - VLOOKUP($B46,test!$A$3:$G$32,6,FALSE) &gt;= (test!$B$34)/1440),1,0)</f>
        <v>0</v>
      </c>
      <c r="J46" s="2">
        <f>IF(AND(VLOOKUP(J$1,test!$A$3:$F$32,5,FALSE) - VLOOKUP($B46,test!$A$3:$G$32,6,FALSE) &gt;= (test!$B$34)/1440),1,0)</f>
        <v>0</v>
      </c>
      <c r="K46" s="2">
        <f>IF(AND(VLOOKUP(K$1,test!$A$3:$F$32,5,FALSE) - VLOOKUP($B46,test!$A$3:$G$32,6,FALSE) &gt;= (test!$B$34)/1440),1,0)</f>
        <v>0</v>
      </c>
      <c r="L46" s="2">
        <f>IF(AND(VLOOKUP(L$1,test!$A$3:$F$32,5,FALSE) - VLOOKUP($B46,test!$A$3:$G$32,6,FALSE) &gt;= (test!$B$34)/1440),1,0)</f>
        <v>0</v>
      </c>
      <c r="M46" s="2">
        <f>IF(AND(VLOOKUP(M$1,test!$A$3:$F$32,5,FALSE) - VLOOKUP($B46,test!$A$3:$G$32,6,FALSE) &gt;= (test!$B$34)/1440),1,0)</f>
        <v>0</v>
      </c>
      <c r="N46" s="2">
        <f>IF(AND(VLOOKUP(N$1,test!$A$3:$F$32,5,FALSE) - VLOOKUP($B46,test!$A$3:$G$32,6,FALSE) &gt;= (test!$B$34)/1440),1,0)</f>
        <v>0</v>
      </c>
      <c r="O46" s="2">
        <f>IF(AND(VLOOKUP(O$1,test!$A$3:$F$32,5,FALSE) - VLOOKUP($B46,test!$A$3:$G$32,6,FALSE) &gt;= (test!$B$34)/1440),1,0)</f>
        <v>0</v>
      </c>
      <c r="P46" s="2">
        <f>IF(AND(VLOOKUP(P$1,test!$A$3:$F$32,5,FALSE) - VLOOKUP($B46,test!$A$3:$G$32,6,FALSE) &gt;= (test!$B$34)/1440),1,0)</f>
        <v>0</v>
      </c>
      <c r="Q46" s="2">
        <f>IF(AND(VLOOKUP(Q$1,test!$A$3:$F$32,5,FALSE) - VLOOKUP($B46,test!$A$3:$G$32,6,FALSE) &gt;= (test!$B$34)/1440),1,0)</f>
        <v>0</v>
      </c>
      <c r="R46" s="2">
        <f>IF(AND(VLOOKUP(R$1,test!$A$3:$F$32,5,FALSE) - VLOOKUP($B46,test!$A$3:$G$32,6,FALSE) &gt;= (test!$B$34)/1440),1,0)</f>
        <v>0</v>
      </c>
      <c r="S46" s="2">
        <f>IF(AND(VLOOKUP(S$1,test!$A$3:$F$32,5,FALSE) - VLOOKUP($B46,test!$A$3:$G$32,6,FALSE) &gt;= (test!$B$34)/1440),1,0)</f>
        <v>0</v>
      </c>
      <c r="T46" s="2">
        <f>IF(AND(VLOOKUP(T$1,test!$A$3:$F$32,5,FALSE) - VLOOKUP($B46,test!$A$3:$G$32,6,FALSE) &gt;= (test!$B$34)/1440),1,0)</f>
        <v>0</v>
      </c>
      <c r="U46" s="2">
        <f>IF(AND(VLOOKUP(U$1,test!$A$3:$F$32,5,FALSE) - VLOOKUP($B46,test!$A$3:$G$32,6,FALSE) &gt;= (test!$B$34)/1440),1,0)</f>
        <v>0</v>
      </c>
      <c r="V46" s="2">
        <f>IF(AND(VLOOKUP(V$1,test!$A$3:$F$32,5,FALSE) - VLOOKUP($B46,test!$A$3:$G$32,6,FALSE) &gt;= (test!$B$34)/1440),1,0)</f>
        <v>0</v>
      </c>
      <c r="W46" s="2">
        <f>IF(AND(VLOOKUP(W$1,test!$A$3:$F$32,5,FALSE) - VLOOKUP($B46,test!$A$3:$G$32,6,FALSE) &gt;= (test!$B$34)/1440),1,0)</f>
        <v>0</v>
      </c>
      <c r="X46" s="2">
        <f>IF(AND(VLOOKUP(X$1,test!$A$3:$F$32,5,FALSE) - VLOOKUP($B46,test!$A$3:$G$32,6,FALSE) &gt;= (test!$B$34)/1440),1,0)</f>
        <v>0</v>
      </c>
      <c r="Y46" s="2">
        <f>IF(AND(VLOOKUP(Y$1,test!$A$3:$F$32,5,FALSE) - VLOOKUP($B46,test!$A$3:$G$32,6,FALSE) &gt;= (test!$B$34)/1440),1,0)</f>
        <v>0</v>
      </c>
      <c r="Z46" s="2">
        <f>IF(AND(VLOOKUP(Z$1,test!$A$3:$F$32,5,FALSE) - VLOOKUP($B46,test!$A$3:$G$32,6,FALSE) &gt;= (test!$B$34)/1440),1,0)</f>
        <v>0</v>
      </c>
      <c r="AA46" s="2">
        <f>IF(AND(VLOOKUP(AA$1,test!$A$3:$F$32,5,FALSE) - VLOOKUP($B46,test!$A$3:$G$32,6,FALSE) &gt;= (test!$B$34)/1440),1,0)</f>
        <v>0</v>
      </c>
      <c r="AB46" s="2">
        <f>IF(AND(VLOOKUP(AB$1,test!$A$3:$F$32,5,FALSE) - VLOOKUP($B46,test!$A$3:$G$32,6,FALSE) &gt;= (test!$B$34)/1440),1,0)</f>
        <v>0</v>
      </c>
      <c r="AC46" s="2">
        <f>IF(AND(VLOOKUP(AC$1,test!$A$3:$F$32,5,FALSE) - VLOOKUP($B46,test!$A$3:$G$32,6,FALSE) &gt;= (test!$B$34)/1440),1,0)</f>
        <v>0</v>
      </c>
      <c r="AD46" s="2">
        <f>IF(AND(VLOOKUP(AD$1,test!$A$3:$F$32,5,FALSE) - VLOOKUP($B46,test!$A$3:$G$32,6,FALSE) &gt;= (test!$B$34)/1440),1,0)</f>
        <v>0</v>
      </c>
      <c r="AE46" s="2">
        <f>IF(AND(VLOOKUP(AE$1,test!$A$3:$F$32,5,FALSE) - VLOOKUP($B46,test!$A$3:$G$32,6,FALSE) &gt;= (test!$B$34)/1440),1,0)</f>
        <v>0</v>
      </c>
      <c r="AF46" s="2">
        <f>IF(AND(VLOOKUP(AF$1,test!$A$3:$F$32,5,FALSE) - VLOOKUP($B46,test!$A$3:$G$32,6,FALSE) &gt;= (test!$B$34)/1440),1,0)</f>
        <v>0</v>
      </c>
      <c r="AG46" s="2">
        <f>IF(AND(VLOOKUP(AG$1,test!$A$3:$F$32,5,FALSE) - VLOOKUP($B46,test!$A$3:$G$32,6,FALSE) &gt;= (test!$B$34)/1440),1,0)</f>
        <v>0</v>
      </c>
    </row>
    <row r="47" spans="1:33" x14ac:dyDescent="0.25">
      <c r="A47" t="s">
        <v>59</v>
      </c>
      <c r="B47" t="s">
        <v>24</v>
      </c>
      <c r="C47">
        <v>0</v>
      </c>
      <c r="D47" s="2">
        <f>IF(AND(VLOOKUP(D$1,test!$A$3:$F$32,5,FALSE) - VLOOKUP($B47,test!$A$3:$G$32,6,FALSE) &gt;= (test!$B$34)/1440),1,0)</f>
        <v>0</v>
      </c>
      <c r="E47" s="2">
        <f>IF(AND(VLOOKUP(E$1,test!$A$3:$F$32,5,FALSE) - VLOOKUP($B47,test!$A$3:$G$32,6,FALSE) &gt;= (test!$B$34)/1440),1,0)</f>
        <v>0</v>
      </c>
      <c r="F47" s="2">
        <f>IF(AND(VLOOKUP(F$1,test!$A$3:$F$32,5,FALSE) - VLOOKUP($B47,test!$A$3:$G$32,6,FALSE) &gt;= (test!$B$34)/1440),1,0)</f>
        <v>0</v>
      </c>
      <c r="G47" s="2">
        <f>IF(AND(VLOOKUP(G$1,test!$A$3:$F$32,5,FALSE) - VLOOKUP($B47,test!$A$3:$G$32,6,FALSE) &gt;= (test!$B$34)/1440),1,0)</f>
        <v>1</v>
      </c>
      <c r="H47" s="2">
        <f>IF(AND(VLOOKUP(H$1,test!$A$3:$F$32,5,FALSE) - VLOOKUP($B47,test!$A$3:$G$32,6,FALSE) &gt;= (test!$B$34)/1440),1,0)</f>
        <v>1</v>
      </c>
      <c r="I47" s="2">
        <f>IF(AND(VLOOKUP(I$1,test!$A$3:$F$32,5,FALSE) - VLOOKUP($B47,test!$A$3:$G$32,6,FALSE) &gt;= (test!$B$34)/1440),1,0)</f>
        <v>1</v>
      </c>
      <c r="J47" s="2">
        <f>IF(AND(VLOOKUP(J$1,test!$A$3:$F$32,5,FALSE) - VLOOKUP($B47,test!$A$3:$G$32,6,FALSE) &gt;= (test!$B$34)/1440),1,0)</f>
        <v>1</v>
      </c>
      <c r="K47" s="2">
        <f>IF(AND(VLOOKUP(K$1,test!$A$3:$F$32,5,FALSE) - VLOOKUP($B47,test!$A$3:$G$32,6,FALSE) &gt;= (test!$B$34)/1440),1,0)</f>
        <v>1</v>
      </c>
      <c r="L47" s="2">
        <f>IF(AND(VLOOKUP(L$1,test!$A$3:$F$32,5,FALSE) - VLOOKUP($B47,test!$A$3:$G$32,6,FALSE) &gt;= (test!$B$34)/1440),1,0)</f>
        <v>0</v>
      </c>
      <c r="M47" s="2">
        <f>IF(AND(VLOOKUP(M$1,test!$A$3:$F$32,5,FALSE) - VLOOKUP($B47,test!$A$3:$G$32,6,FALSE) &gt;= (test!$B$34)/1440),1,0)</f>
        <v>0</v>
      </c>
      <c r="N47" s="2">
        <f>IF(AND(VLOOKUP(N$1,test!$A$3:$F$32,5,FALSE) - VLOOKUP($B47,test!$A$3:$G$32,6,FALSE) &gt;= (test!$B$34)/1440),1,0)</f>
        <v>0</v>
      </c>
      <c r="O47" s="2">
        <f>IF(AND(VLOOKUP(O$1,test!$A$3:$F$32,5,FALSE) - VLOOKUP($B47,test!$A$3:$G$32,6,FALSE) &gt;= (test!$B$34)/1440),1,0)</f>
        <v>1</v>
      </c>
      <c r="P47" s="2">
        <f>IF(AND(VLOOKUP(P$1,test!$A$3:$F$32,5,FALSE) - VLOOKUP($B47,test!$A$3:$G$32,6,FALSE) &gt;= (test!$B$34)/1440),1,0)</f>
        <v>1</v>
      </c>
      <c r="Q47" s="2">
        <f>IF(AND(VLOOKUP(Q$1,test!$A$3:$F$32,5,FALSE) - VLOOKUP($B47,test!$A$3:$G$32,6,FALSE) &gt;= (test!$B$34)/1440),1,0)</f>
        <v>0</v>
      </c>
      <c r="R47" s="2">
        <f>IF(AND(VLOOKUP(R$1,test!$A$3:$F$32,5,FALSE) - VLOOKUP($B47,test!$A$3:$G$32,6,FALSE) &gt;= (test!$B$34)/1440),1,0)</f>
        <v>0</v>
      </c>
      <c r="S47" s="2">
        <f>IF(AND(VLOOKUP(S$1,test!$A$3:$F$32,5,FALSE) - VLOOKUP($B47,test!$A$3:$G$32,6,FALSE) &gt;= (test!$B$34)/1440),1,0)</f>
        <v>0</v>
      </c>
      <c r="T47" s="2">
        <f>IF(AND(VLOOKUP(T$1,test!$A$3:$F$32,5,FALSE) - VLOOKUP($B47,test!$A$3:$G$32,6,FALSE) &gt;= (test!$B$34)/1440),1,0)</f>
        <v>0</v>
      </c>
      <c r="U47" s="2">
        <f>IF(AND(VLOOKUP(U$1,test!$A$3:$F$32,5,FALSE) - VLOOKUP($B47,test!$A$3:$G$32,6,FALSE) &gt;= (test!$B$34)/1440),1,0)</f>
        <v>0</v>
      </c>
      <c r="V47" s="2">
        <f>IF(AND(VLOOKUP(V$1,test!$A$3:$F$32,5,FALSE) - VLOOKUP($B47,test!$A$3:$G$32,6,FALSE) &gt;= (test!$B$34)/1440),1,0)</f>
        <v>1</v>
      </c>
      <c r="W47" s="2">
        <f>IF(AND(VLOOKUP(W$1,test!$A$3:$F$32,5,FALSE) - VLOOKUP($B47,test!$A$3:$G$32,6,FALSE) &gt;= (test!$B$34)/1440),1,0)</f>
        <v>1</v>
      </c>
      <c r="X47" s="2">
        <f>IF(AND(VLOOKUP(X$1,test!$A$3:$F$32,5,FALSE) - VLOOKUP($B47,test!$A$3:$G$32,6,FALSE) &gt;= (test!$B$34)/1440),1,0)</f>
        <v>1</v>
      </c>
      <c r="Y47" s="2">
        <f>IF(AND(VLOOKUP(Y$1,test!$A$3:$F$32,5,FALSE) - VLOOKUP($B47,test!$A$3:$G$32,6,FALSE) &gt;= (test!$B$34)/1440),1,0)</f>
        <v>1</v>
      </c>
      <c r="Z47" s="2">
        <f>IF(AND(VLOOKUP(Z$1,test!$A$3:$F$32,5,FALSE) - VLOOKUP($B47,test!$A$3:$G$32,6,FALSE) &gt;= (test!$B$34)/1440),1,0)</f>
        <v>0</v>
      </c>
      <c r="AA47" s="2">
        <f>IF(AND(VLOOKUP(AA$1,test!$A$3:$F$32,5,FALSE) - VLOOKUP($B47,test!$A$3:$G$32,6,FALSE) &gt;= (test!$B$34)/1440),1,0)</f>
        <v>0</v>
      </c>
      <c r="AB47" s="2">
        <f>IF(AND(VLOOKUP(AB$1,test!$A$3:$F$32,5,FALSE) - VLOOKUP($B47,test!$A$3:$G$32,6,FALSE) &gt;= (test!$B$34)/1440),1,0)</f>
        <v>1</v>
      </c>
      <c r="AC47" s="2">
        <f>IF(AND(VLOOKUP(AC$1,test!$A$3:$F$32,5,FALSE) - VLOOKUP($B47,test!$A$3:$G$32,6,FALSE) &gt;= (test!$B$34)/1440),1,0)</f>
        <v>1</v>
      </c>
      <c r="AD47" s="2">
        <f>IF(AND(VLOOKUP(AD$1,test!$A$3:$F$32,5,FALSE) - VLOOKUP($B47,test!$A$3:$G$32,6,FALSE) &gt;= (test!$B$34)/1440),1,0)</f>
        <v>1</v>
      </c>
      <c r="AE47" s="2">
        <f>IF(AND(VLOOKUP(AE$1,test!$A$3:$F$32,5,FALSE) - VLOOKUP($B47,test!$A$3:$G$32,6,FALSE) &gt;= (test!$B$34)/1440),1,0)</f>
        <v>0</v>
      </c>
      <c r="AF47" s="2">
        <f>IF(AND(VLOOKUP(AF$1,test!$A$3:$F$32,5,FALSE) - VLOOKUP($B47,test!$A$3:$G$32,6,FALSE) &gt;= (test!$B$34)/1440),1,0)</f>
        <v>1</v>
      </c>
      <c r="AG47" s="2">
        <f>IF(AND(VLOOKUP(AG$1,test!$A$3:$F$32,5,FALSE) - VLOOKUP($B47,test!$A$3:$G$32,6,FALSE) &gt;= (test!$B$34)/1440),1,0)</f>
        <v>0</v>
      </c>
    </row>
    <row r="48" spans="1:33" x14ac:dyDescent="0.25">
      <c r="A48" t="s">
        <v>59</v>
      </c>
      <c r="B48" t="s">
        <v>26</v>
      </c>
      <c r="C48">
        <v>0</v>
      </c>
      <c r="D48" s="2">
        <f>IF(AND(VLOOKUP(D$1,test!$A$3:$F$32,5,FALSE) - VLOOKUP($B48,test!$A$3:$G$32,6,FALSE) &gt;= (test!$B$34)/1440),1,0)</f>
        <v>0</v>
      </c>
      <c r="E48" s="2">
        <f>IF(AND(VLOOKUP(E$1,test!$A$3:$F$32,5,FALSE) - VLOOKUP($B48,test!$A$3:$G$32,6,FALSE) &gt;= (test!$B$34)/1440),1,0)</f>
        <v>0</v>
      </c>
      <c r="F48" s="2">
        <f>IF(AND(VLOOKUP(F$1,test!$A$3:$F$32,5,FALSE) - VLOOKUP($B48,test!$A$3:$G$32,6,FALSE) &gt;= (test!$B$34)/1440),1,0)</f>
        <v>1</v>
      </c>
      <c r="G48" s="2">
        <f>IF(AND(VLOOKUP(G$1,test!$A$3:$F$32,5,FALSE) - VLOOKUP($B48,test!$A$3:$G$32,6,FALSE) &gt;= (test!$B$34)/1440),1,0)</f>
        <v>1</v>
      </c>
      <c r="H48" s="2">
        <f>IF(AND(VLOOKUP(H$1,test!$A$3:$F$32,5,FALSE) - VLOOKUP($B48,test!$A$3:$G$32,6,FALSE) &gt;= (test!$B$34)/1440),1,0)</f>
        <v>1</v>
      </c>
      <c r="I48" s="2">
        <f>IF(AND(VLOOKUP(I$1,test!$A$3:$F$32,5,FALSE) - VLOOKUP($B48,test!$A$3:$G$32,6,FALSE) &gt;= (test!$B$34)/1440),1,0)</f>
        <v>1</v>
      </c>
      <c r="J48" s="2">
        <f>IF(AND(VLOOKUP(J$1,test!$A$3:$F$32,5,FALSE) - VLOOKUP($B48,test!$A$3:$G$32,6,FALSE) &gt;= (test!$B$34)/1440),1,0)</f>
        <v>1</v>
      </c>
      <c r="K48" s="2">
        <f>IF(AND(VLOOKUP(K$1,test!$A$3:$F$32,5,FALSE) - VLOOKUP($B48,test!$A$3:$G$32,6,FALSE) &gt;= (test!$B$34)/1440),1,0)</f>
        <v>1</v>
      </c>
      <c r="L48" s="2">
        <f>IF(AND(VLOOKUP(L$1,test!$A$3:$F$32,5,FALSE) - VLOOKUP($B48,test!$A$3:$G$32,6,FALSE) &gt;= (test!$B$34)/1440),1,0)</f>
        <v>0</v>
      </c>
      <c r="M48" s="2">
        <f>IF(AND(VLOOKUP(M$1,test!$A$3:$F$32,5,FALSE) - VLOOKUP($B48,test!$A$3:$G$32,6,FALSE) &gt;= (test!$B$34)/1440),1,0)</f>
        <v>0</v>
      </c>
      <c r="N48" s="2">
        <f>IF(AND(VLOOKUP(N$1,test!$A$3:$F$32,5,FALSE) - VLOOKUP($B48,test!$A$3:$G$32,6,FALSE) &gt;= (test!$B$34)/1440),1,0)</f>
        <v>1</v>
      </c>
      <c r="O48" s="2">
        <f>IF(AND(VLOOKUP(O$1,test!$A$3:$F$32,5,FALSE) - VLOOKUP($B48,test!$A$3:$G$32,6,FALSE) &gt;= (test!$B$34)/1440),1,0)</f>
        <v>1</v>
      </c>
      <c r="P48" s="2">
        <f>IF(AND(VLOOKUP(P$1,test!$A$3:$F$32,5,FALSE) - VLOOKUP($B48,test!$A$3:$G$32,6,FALSE) &gt;= (test!$B$34)/1440),1,0)</f>
        <v>1</v>
      </c>
      <c r="Q48" s="2">
        <f>IF(AND(VLOOKUP(Q$1,test!$A$3:$F$32,5,FALSE) - VLOOKUP($B48,test!$A$3:$G$32,6,FALSE) &gt;= (test!$B$34)/1440),1,0)</f>
        <v>0</v>
      </c>
      <c r="R48" s="2">
        <f>IF(AND(VLOOKUP(R$1,test!$A$3:$F$32,5,FALSE) - VLOOKUP($B48,test!$A$3:$G$32,6,FALSE) &gt;= (test!$B$34)/1440),1,0)</f>
        <v>0</v>
      </c>
      <c r="S48" s="2">
        <f>IF(AND(VLOOKUP(S$1,test!$A$3:$F$32,5,FALSE) - VLOOKUP($B48,test!$A$3:$G$32,6,FALSE) &gt;= (test!$B$34)/1440),1,0)</f>
        <v>0</v>
      </c>
      <c r="T48" s="2">
        <f>IF(AND(VLOOKUP(T$1,test!$A$3:$F$32,5,FALSE) - VLOOKUP($B48,test!$A$3:$G$32,6,FALSE) &gt;= (test!$B$34)/1440),1,0)</f>
        <v>0</v>
      </c>
      <c r="U48" s="2">
        <f>IF(AND(VLOOKUP(U$1,test!$A$3:$F$32,5,FALSE) - VLOOKUP($B48,test!$A$3:$G$32,6,FALSE) &gt;= (test!$B$34)/1440),1,0)</f>
        <v>1</v>
      </c>
      <c r="V48" s="2">
        <f>IF(AND(VLOOKUP(V$1,test!$A$3:$F$32,5,FALSE) - VLOOKUP($B48,test!$A$3:$G$32,6,FALSE) &gt;= (test!$B$34)/1440),1,0)</f>
        <v>1</v>
      </c>
      <c r="W48" s="2">
        <f>IF(AND(VLOOKUP(W$1,test!$A$3:$F$32,5,FALSE) - VLOOKUP($B48,test!$A$3:$G$32,6,FALSE) &gt;= (test!$B$34)/1440),1,0)</f>
        <v>1</v>
      </c>
      <c r="X48" s="2">
        <f>IF(AND(VLOOKUP(X$1,test!$A$3:$F$32,5,FALSE) - VLOOKUP($B48,test!$A$3:$G$32,6,FALSE) &gt;= (test!$B$34)/1440),1,0)</f>
        <v>1</v>
      </c>
      <c r="Y48" s="2">
        <f>IF(AND(VLOOKUP(Y$1,test!$A$3:$F$32,5,FALSE) - VLOOKUP($B48,test!$A$3:$G$32,6,FALSE) &gt;= (test!$B$34)/1440),1,0)</f>
        <v>1</v>
      </c>
      <c r="Z48" s="2">
        <f>IF(AND(VLOOKUP(Z$1,test!$A$3:$F$32,5,FALSE) - VLOOKUP($B48,test!$A$3:$G$32,6,FALSE) &gt;= (test!$B$34)/1440),1,0)</f>
        <v>0</v>
      </c>
      <c r="AA48" s="2">
        <f>IF(AND(VLOOKUP(AA$1,test!$A$3:$F$32,5,FALSE) - VLOOKUP($B48,test!$A$3:$G$32,6,FALSE) &gt;= (test!$B$34)/1440),1,0)</f>
        <v>0</v>
      </c>
      <c r="AB48" s="2">
        <f>IF(AND(VLOOKUP(AB$1,test!$A$3:$F$32,5,FALSE) - VLOOKUP($B48,test!$A$3:$G$32,6,FALSE) &gt;= (test!$B$34)/1440),1,0)</f>
        <v>1</v>
      </c>
      <c r="AC48" s="2">
        <f>IF(AND(VLOOKUP(AC$1,test!$A$3:$F$32,5,FALSE) - VLOOKUP($B48,test!$A$3:$G$32,6,FALSE) &gt;= (test!$B$34)/1440),1,0)</f>
        <v>1</v>
      </c>
      <c r="AD48" s="2">
        <f>IF(AND(VLOOKUP(AD$1,test!$A$3:$F$32,5,FALSE) - VLOOKUP($B48,test!$A$3:$G$32,6,FALSE) &gt;= (test!$B$34)/1440),1,0)</f>
        <v>1</v>
      </c>
      <c r="AE48" s="2">
        <f>IF(AND(VLOOKUP(AE$1,test!$A$3:$F$32,5,FALSE) - VLOOKUP($B48,test!$A$3:$G$32,6,FALSE) &gt;= (test!$B$34)/1440),1,0)</f>
        <v>0</v>
      </c>
      <c r="AF48" s="2">
        <f>IF(AND(VLOOKUP(AF$1,test!$A$3:$F$32,5,FALSE) - VLOOKUP($B48,test!$A$3:$G$32,6,FALSE) &gt;= (test!$B$34)/1440),1,0)</f>
        <v>1</v>
      </c>
      <c r="AG48" s="2">
        <f>IF(AND(VLOOKUP(AG$1,test!$A$3:$F$32,5,FALSE) - VLOOKUP($B48,test!$A$3:$G$32,6,FALSE) &gt;= (test!$B$34)/1440),1,0)</f>
        <v>1</v>
      </c>
    </row>
    <row r="49" spans="1:33" x14ac:dyDescent="0.25">
      <c r="A49" t="s">
        <v>59</v>
      </c>
      <c r="B49" t="s">
        <v>27</v>
      </c>
      <c r="C49">
        <v>0</v>
      </c>
      <c r="D49" s="2">
        <f>IF(AND(VLOOKUP(D$1,test!$A$3:$F$32,5,FALSE) - VLOOKUP($B49,test!$A$3:$G$32,6,FALSE) &gt;= (test!$B$34)/1440),1,0)</f>
        <v>0</v>
      </c>
      <c r="E49" s="2">
        <f>IF(AND(VLOOKUP(E$1,test!$A$3:$F$32,5,FALSE) - VLOOKUP($B49,test!$A$3:$G$32,6,FALSE) &gt;= (test!$B$34)/1440),1,0)</f>
        <v>0</v>
      </c>
      <c r="F49" s="2">
        <f>IF(AND(VLOOKUP(F$1,test!$A$3:$F$32,5,FALSE) - VLOOKUP($B49,test!$A$3:$G$32,6,FALSE) &gt;= (test!$B$34)/1440),1,0)</f>
        <v>0</v>
      </c>
      <c r="G49" s="2">
        <f>IF(AND(VLOOKUP(G$1,test!$A$3:$F$32,5,FALSE) - VLOOKUP($B49,test!$A$3:$G$32,6,FALSE) &gt;= (test!$B$34)/1440),1,0)</f>
        <v>1</v>
      </c>
      <c r="H49" s="2">
        <f>IF(AND(VLOOKUP(H$1,test!$A$3:$F$32,5,FALSE) - VLOOKUP($B49,test!$A$3:$G$32,6,FALSE) &gt;= (test!$B$34)/1440),1,0)</f>
        <v>1</v>
      </c>
      <c r="I49" s="2">
        <f>IF(AND(VLOOKUP(I$1,test!$A$3:$F$32,5,FALSE) - VLOOKUP($B49,test!$A$3:$G$32,6,FALSE) &gt;= (test!$B$34)/1440),1,0)</f>
        <v>1</v>
      </c>
      <c r="J49" s="2">
        <f>IF(AND(VLOOKUP(J$1,test!$A$3:$F$32,5,FALSE) - VLOOKUP($B49,test!$A$3:$G$32,6,FALSE) &gt;= (test!$B$34)/1440),1,0)</f>
        <v>1</v>
      </c>
      <c r="K49" s="2">
        <f>IF(AND(VLOOKUP(K$1,test!$A$3:$F$32,5,FALSE) - VLOOKUP($B49,test!$A$3:$G$32,6,FALSE) &gt;= (test!$B$34)/1440),1,0)</f>
        <v>1</v>
      </c>
      <c r="L49" s="2">
        <f>IF(AND(VLOOKUP(L$1,test!$A$3:$F$32,5,FALSE) - VLOOKUP($B49,test!$A$3:$G$32,6,FALSE) &gt;= (test!$B$34)/1440),1,0)</f>
        <v>0</v>
      </c>
      <c r="M49" s="2">
        <f>IF(AND(VLOOKUP(M$1,test!$A$3:$F$32,5,FALSE) - VLOOKUP($B49,test!$A$3:$G$32,6,FALSE) &gt;= (test!$B$34)/1440),1,0)</f>
        <v>0</v>
      </c>
      <c r="N49" s="2">
        <f>IF(AND(VLOOKUP(N$1,test!$A$3:$F$32,5,FALSE) - VLOOKUP($B49,test!$A$3:$G$32,6,FALSE) &gt;= (test!$B$34)/1440),1,0)</f>
        <v>0</v>
      </c>
      <c r="O49" s="2">
        <f>IF(AND(VLOOKUP(O$1,test!$A$3:$F$32,5,FALSE) - VLOOKUP($B49,test!$A$3:$G$32,6,FALSE) &gt;= (test!$B$34)/1440),1,0)</f>
        <v>1</v>
      </c>
      <c r="P49" s="2">
        <f>IF(AND(VLOOKUP(P$1,test!$A$3:$F$32,5,FALSE) - VLOOKUP($B49,test!$A$3:$G$32,6,FALSE) &gt;= (test!$B$34)/1440),1,0)</f>
        <v>1</v>
      </c>
      <c r="Q49" s="2">
        <f>IF(AND(VLOOKUP(Q$1,test!$A$3:$F$32,5,FALSE) - VLOOKUP($B49,test!$A$3:$G$32,6,FALSE) &gt;= (test!$B$34)/1440),1,0)</f>
        <v>0</v>
      </c>
      <c r="R49" s="2">
        <f>IF(AND(VLOOKUP(R$1,test!$A$3:$F$32,5,FALSE) - VLOOKUP($B49,test!$A$3:$G$32,6,FALSE) &gt;= (test!$B$34)/1440),1,0)</f>
        <v>0</v>
      </c>
      <c r="S49" s="2">
        <f>IF(AND(VLOOKUP(S$1,test!$A$3:$F$32,5,FALSE) - VLOOKUP($B49,test!$A$3:$G$32,6,FALSE) &gt;= (test!$B$34)/1440),1,0)</f>
        <v>0</v>
      </c>
      <c r="T49" s="2">
        <f>IF(AND(VLOOKUP(T$1,test!$A$3:$F$32,5,FALSE) - VLOOKUP($B49,test!$A$3:$G$32,6,FALSE) &gt;= (test!$B$34)/1440),1,0)</f>
        <v>0</v>
      </c>
      <c r="U49" s="2">
        <f>IF(AND(VLOOKUP(U$1,test!$A$3:$F$32,5,FALSE) - VLOOKUP($B49,test!$A$3:$G$32,6,FALSE) &gt;= (test!$B$34)/1440),1,0)</f>
        <v>0</v>
      </c>
      <c r="V49" s="2">
        <f>IF(AND(VLOOKUP(V$1,test!$A$3:$F$32,5,FALSE) - VLOOKUP($B49,test!$A$3:$G$32,6,FALSE) &gt;= (test!$B$34)/1440),1,0)</f>
        <v>1</v>
      </c>
      <c r="W49" s="2">
        <f>IF(AND(VLOOKUP(W$1,test!$A$3:$F$32,5,FALSE) - VLOOKUP($B49,test!$A$3:$G$32,6,FALSE) &gt;= (test!$B$34)/1440),1,0)</f>
        <v>1</v>
      </c>
      <c r="X49" s="2">
        <f>IF(AND(VLOOKUP(X$1,test!$A$3:$F$32,5,FALSE) - VLOOKUP($B49,test!$A$3:$G$32,6,FALSE) &gt;= (test!$B$34)/1440),1,0)</f>
        <v>1</v>
      </c>
      <c r="Y49" s="2">
        <f>IF(AND(VLOOKUP(Y$1,test!$A$3:$F$32,5,FALSE) - VLOOKUP($B49,test!$A$3:$G$32,6,FALSE) &gt;= (test!$B$34)/1440),1,0)</f>
        <v>1</v>
      </c>
      <c r="Z49" s="2">
        <f>IF(AND(VLOOKUP(Z$1,test!$A$3:$F$32,5,FALSE) - VLOOKUP($B49,test!$A$3:$G$32,6,FALSE) &gt;= (test!$B$34)/1440),1,0)</f>
        <v>0</v>
      </c>
      <c r="AA49" s="2">
        <f>IF(AND(VLOOKUP(AA$1,test!$A$3:$F$32,5,FALSE) - VLOOKUP($B49,test!$A$3:$G$32,6,FALSE) &gt;= (test!$B$34)/1440),1,0)</f>
        <v>0</v>
      </c>
      <c r="AB49" s="2">
        <f>IF(AND(VLOOKUP(AB$1,test!$A$3:$F$32,5,FALSE) - VLOOKUP($B49,test!$A$3:$G$32,6,FALSE) &gt;= (test!$B$34)/1440),1,0)</f>
        <v>1</v>
      </c>
      <c r="AC49" s="2">
        <f>IF(AND(VLOOKUP(AC$1,test!$A$3:$F$32,5,FALSE) - VLOOKUP($B49,test!$A$3:$G$32,6,FALSE) &gt;= (test!$B$34)/1440),1,0)</f>
        <v>1</v>
      </c>
      <c r="AD49" s="2">
        <f>IF(AND(VLOOKUP(AD$1,test!$A$3:$F$32,5,FALSE) - VLOOKUP($B49,test!$A$3:$G$32,6,FALSE) &gt;= (test!$B$34)/1440),1,0)</f>
        <v>1</v>
      </c>
      <c r="AE49" s="2">
        <f>IF(AND(VLOOKUP(AE$1,test!$A$3:$F$32,5,FALSE) - VLOOKUP($B49,test!$A$3:$G$32,6,FALSE) &gt;= (test!$B$34)/1440),1,0)</f>
        <v>0</v>
      </c>
      <c r="AF49" s="2">
        <f>IF(AND(VLOOKUP(AF$1,test!$A$3:$F$32,5,FALSE) - VLOOKUP($B49,test!$A$3:$G$32,6,FALSE) &gt;= (test!$B$34)/1440),1,0)</f>
        <v>1</v>
      </c>
      <c r="AG49" s="2">
        <f>IF(AND(VLOOKUP(AG$1,test!$A$3:$F$32,5,FALSE) - VLOOKUP($B49,test!$A$3:$G$32,6,FALSE) &gt;= (test!$B$34)/1440),1,0)</f>
        <v>0</v>
      </c>
    </row>
    <row r="50" spans="1:33" x14ac:dyDescent="0.25">
      <c r="A50" t="s">
        <v>59</v>
      </c>
      <c r="B50" t="s">
        <v>28</v>
      </c>
      <c r="C50">
        <v>0</v>
      </c>
      <c r="D50" s="2">
        <f>IF(AND(VLOOKUP(D$1,test!$A$3:$F$32,5,FALSE) - VLOOKUP($B50,test!$A$3:$G$32,6,FALSE) &gt;= (test!$B$34)/1440),1,0)</f>
        <v>0</v>
      </c>
      <c r="E50" s="2">
        <f>IF(AND(VLOOKUP(E$1,test!$A$3:$F$32,5,FALSE) - VLOOKUP($B50,test!$A$3:$G$32,6,FALSE) &gt;= (test!$B$34)/1440),1,0)</f>
        <v>0</v>
      </c>
      <c r="F50" s="2">
        <f>IF(AND(VLOOKUP(F$1,test!$A$3:$F$32,5,FALSE) - VLOOKUP($B50,test!$A$3:$G$32,6,FALSE) &gt;= (test!$B$34)/1440),1,0)</f>
        <v>0</v>
      </c>
      <c r="G50" s="2">
        <f>IF(AND(VLOOKUP(G$1,test!$A$3:$F$32,5,FALSE) - VLOOKUP($B50,test!$A$3:$G$32,6,FALSE) &gt;= (test!$B$34)/1440),1,0)</f>
        <v>0</v>
      </c>
      <c r="H50" s="2">
        <f>IF(AND(VLOOKUP(H$1,test!$A$3:$F$32,5,FALSE) - VLOOKUP($B50,test!$A$3:$G$32,6,FALSE) &gt;= (test!$B$34)/1440),1,0)</f>
        <v>1</v>
      </c>
      <c r="I50" s="2">
        <f>IF(AND(VLOOKUP(I$1,test!$A$3:$F$32,5,FALSE) - VLOOKUP($B50,test!$A$3:$G$32,6,FALSE) &gt;= (test!$B$34)/1440),1,0)</f>
        <v>1</v>
      </c>
      <c r="J50" s="2">
        <f>IF(AND(VLOOKUP(J$1,test!$A$3:$F$32,5,FALSE) - VLOOKUP($B50,test!$A$3:$G$32,6,FALSE) &gt;= (test!$B$34)/1440),1,0)</f>
        <v>1</v>
      </c>
      <c r="K50" s="2">
        <f>IF(AND(VLOOKUP(K$1,test!$A$3:$F$32,5,FALSE) - VLOOKUP($B50,test!$A$3:$G$32,6,FALSE) &gt;= (test!$B$34)/1440),1,0)</f>
        <v>1</v>
      </c>
      <c r="L50" s="2">
        <f>IF(AND(VLOOKUP(L$1,test!$A$3:$F$32,5,FALSE) - VLOOKUP($B50,test!$A$3:$G$32,6,FALSE) &gt;= (test!$B$34)/1440),1,0)</f>
        <v>0</v>
      </c>
      <c r="M50" s="2">
        <f>IF(AND(VLOOKUP(M$1,test!$A$3:$F$32,5,FALSE) - VLOOKUP($B50,test!$A$3:$G$32,6,FALSE) &gt;= (test!$B$34)/1440),1,0)</f>
        <v>0</v>
      </c>
      <c r="N50" s="2">
        <f>IF(AND(VLOOKUP(N$1,test!$A$3:$F$32,5,FALSE) - VLOOKUP($B50,test!$A$3:$G$32,6,FALSE) &gt;= (test!$B$34)/1440),1,0)</f>
        <v>0</v>
      </c>
      <c r="O50" s="2">
        <f>IF(AND(VLOOKUP(O$1,test!$A$3:$F$32,5,FALSE) - VLOOKUP($B50,test!$A$3:$G$32,6,FALSE) &gt;= (test!$B$34)/1440),1,0)</f>
        <v>1</v>
      </c>
      <c r="P50" s="2">
        <f>IF(AND(VLOOKUP(P$1,test!$A$3:$F$32,5,FALSE) - VLOOKUP($B50,test!$A$3:$G$32,6,FALSE) &gt;= (test!$B$34)/1440),1,0)</f>
        <v>1</v>
      </c>
      <c r="Q50" s="2">
        <f>IF(AND(VLOOKUP(Q$1,test!$A$3:$F$32,5,FALSE) - VLOOKUP($B50,test!$A$3:$G$32,6,FALSE) &gt;= (test!$B$34)/1440),1,0)</f>
        <v>0</v>
      </c>
      <c r="R50" s="2">
        <f>IF(AND(VLOOKUP(R$1,test!$A$3:$F$32,5,FALSE) - VLOOKUP($B50,test!$A$3:$G$32,6,FALSE) &gt;= (test!$B$34)/1440),1,0)</f>
        <v>0</v>
      </c>
      <c r="S50" s="2">
        <f>IF(AND(VLOOKUP(S$1,test!$A$3:$F$32,5,FALSE) - VLOOKUP($B50,test!$A$3:$G$32,6,FALSE) &gt;= (test!$B$34)/1440),1,0)</f>
        <v>0</v>
      </c>
      <c r="T50" s="2">
        <f>IF(AND(VLOOKUP(T$1,test!$A$3:$F$32,5,FALSE) - VLOOKUP($B50,test!$A$3:$G$32,6,FALSE) &gt;= (test!$B$34)/1440),1,0)</f>
        <v>0</v>
      </c>
      <c r="U50" s="2">
        <f>IF(AND(VLOOKUP(U$1,test!$A$3:$F$32,5,FALSE) - VLOOKUP($B50,test!$A$3:$G$32,6,FALSE) &gt;= (test!$B$34)/1440),1,0)</f>
        <v>0</v>
      </c>
      <c r="V50" s="2">
        <f>IF(AND(VLOOKUP(V$1,test!$A$3:$F$32,5,FALSE) - VLOOKUP($B50,test!$A$3:$G$32,6,FALSE) &gt;= (test!$B$34)/1440),1,0)</f>
        <v>0</v>
      </c>
      <c r="W50" s="2">
        <f>IF(AND(VLOOKUP(W$1,test!$A$3:$F$32,5,FALSE) - VLOOKUP($B50,test!$A$3:$G$32,6,FALSE) &gt;= (test!$B$34)/1440),1,0)</f>
        <v>1</v>
      </c>
      <c r="X50" s="2">
        <f>IF(AND(VLOOKUP(X$1,test!$A$3:$F$32,5,FALSE) - VLOOKUP($B50,test!$A$3:$G$32,6,FALSE) &gt;= (test!$B$34)/1440),1,0)</f>
        <v>1</v>
      </c>
      <c r="Y50" s="2">
        <f>IF(AND(VLOOKUP(Y$1,test!$A$3:$F$32,5,FALSE) - VLOOKUP($B50,test!$A$3:$G$32,6,FALSE) &gt;= (test!$B$34)/1440),1,0)</f>
        <v>1</v>
      </c>
      <c r="Z50" s="2">
        <f>IF(AND(VLOOKUP(Z$1,test!$A$3:$F$32,5,FALSE) - VLOOKUP($B50,test!$A$3:$G$32,6,FALSE) &gt;= (test!$B$34)/1440),1,0)</f>
        <v>0</v>
      </c>
      <c r="AA50" s="2">
        <f>IF(AND(VLOOKUP(AA$1,test!$A$3:$F$32,5,FALSE) - VLOOKUP($B50,test!$A$3:$G$32,6,FALSE) &gt;= (test!$B$34)/1440),1,0)</f>
        <v>0</v>
      </c>
      <c r="AB50" s="2">
        <f>IF(AND(VLOOKUP(AB$1,test!$A$3:$F$32,5,FALSE) - VLOOKUP($B50,test!$A$3:$G$32,6,FALSE) &gt;= (test!$B$34)/1440),1,0)</f>
        <v>0</v>
      </c>
      <c r="AC50" s="2">
        <f>IF(AND(VLOOKUP(AC$1,test!$A$3:$F$32,5,FALSE) - VLOOKUP($B50,test!$A$3:$G$32,6,FALSE) &gt;= (test!$B$34)/1440),1,0)</f>
        <v>0</v>
      </c>
      <c r="AD50" s="2">
        <f>IF(AND(VLOOKUP(AD$1,test!$A$3:$F$32,5,FALSE) - VLOOKUP($B50,test!$A$3:$G$32,6,FALSE) &gt;= (test!$B$34)/1440),1,0)</f>
        <v>1</v>
      </c>
      <c r="AE50" s="2">
        <f>IF(AND(VLOOKUP(AE$1,test!$A$3:$F$32,5,FALSE) - VLOOKUP($B50,test!$A$3:$G$32,6,FALSE) &gt;= (test!$B$34)/1440),1,0)</f>
        <v>0</v>
      </c>
      <c r="AF50" s="2">
        <f>IF(AND(VLOOKUP(AF$1,test!$A$3:$F$32,5,FALSE) - VLOOKUP($B50,test!$A$3:$G$32,6,FALSE) &gt;= (test!$B$34)/1440),1,0)</f>
        <v>0</v>
      </c>
      <c r="AG50" s="2">
        <f>IF(AND(VLOOKUP(AG$1,test!$A$3:$F$32,5,FALSE) - VLOOKUP($B50,test!$A$3:$G$32,6,FALSE) &gt;= (test!$B$34)/1440),1,0)</f>
        <v>0</v>
      </c>
    </row>
    <row r="51" spans="1:33" x14ac:dyDescent="0.25">
      <c r="A51" t="s">
        <v>59</v>
      </c>
      <c r="B51" t="s">
        <v>29</v>
      </c>
      <c r="C51">
        <v>0</v>
      </c>
      <c r="D51" s="2">
        <f>IF(AND(VLOOKUP(D$1,test!$A$3:$F$32,5,FALSE) - VLOOKUP($B51,test!$A$3:$G$32,6,FALSE) &gt;= (test!$B$34)/1440),1,0)</f>
        <v>0</v>
      </c>
      <c r="E51" s="2">
        <f>IF(AND(VLOOKUP(E$1,test!$A$3:$F$32,5,FALSE) - VLOOKUP($B51,test!$A$3:$G$32,6,FALSE) &gt;= (test!$B$34)/1440),1,0)</f>
        <v>0</v>
      </c>
      <c r="F51" s="2">
        <f>IF(AND(VLOOKUP(F$1,test!$A$3:$F$32,5,FALSE) - VLOOKUP($B51,test!$A$3:$G$32,6,FALSE) &gt;= (test!$B$34)/1440),1,0)</f>
        <v>0</v>
      </c>
      <c r="G51" s="2">
        <f>IF(AND(VLOOKUP(G$1,test!$A$3:$F$32,5,FALSE) - VLOOKUP($B51,test!$A$3:$G$32,6,FALSE) &gt;= (test!$B$34)/1440),1,0)</f>
        <v>0</v>
      </c>
      <c r="H51" s="2">
        <f>IF(AND(VLOOKUP(H$1,test!$A$3:$F$32,5,FALSE) - VLOOKUP($B51,test!$A$3:$G$32,6,FALSE) &gt;= (test!$B$34)/1440),1,0)</f>
        <v>0</v>
      </c>
      <c r="I51" s="2">
        <f>IF(AND(VLOOKUP(I$1,test!$A$3:$F$32,5,FALSE) - VLOOKUP($B51,test!$A$3:$G$32,6,FALSE) &gt;= (test!$B$34)/1440),1,0)</f>
        <v>1</v>
      </c>
      <c r="J51" s="2">
        <f>IF(AND(VLOOKUP(J$1,test!$A$3:$F$32,5,FALSE) - VLOOKUP($B51,test!$A$3:$G$32,6,FALSE) &gt;= (test!$B$34)/1440),1,0)</f>
        <v>1</v>
      </c>
      <c r="K51" s="2">
        <f>IF(AND(VLOOKUP(K$1,test!$A$3:$F$32,5,FALSE) - VLOOKUP($B51,test!$A$3:$G$32,6,FALSE) &gt;= (test!$B$34)/1440),1,0)</f>
        <v>1</v>
      </c>
      <c r="L51" s="2">
        <f>IF(AND(VLOOKUP(L$1,test!$A$3:$F$32,5,FALSE) - VLOOKUP($B51,test!$A$3:$G$32,6,FALSE) &gt;= (test!$B$34)/1440),1,0)</f>
        <v>0</v>
      </c>
      <c r="M51" s="2">
        <f>IF(AND(VLOOKUP(M$1,test!$A$3:$F$32,5,FALSE) - VLOOKUP($B51,test!$A$3:$G$32,6,FALSE) &gt;= (test!$B$34)/1440),1,0)</f>
        <v>0</v>
      </c>
      <c r="N51" s="2">
        <f>IF(AND(VLOOKUP(N$1,test!$A$3:$F$32,5,FALSE) - VLOOKUP($B51,test!$A$3:$G$32,6,FALSE) &gt;= (test!$B$34)/1440),1,0)</f>
        <v>0</v>
      </c>
      <c r="O51" s="2">
        <f>IF(AND(VLOOKUP(O$1,test!$A$3:$F$32,5,FALSE) - VLOOKUP($B51,test!$A$3:$G$32,6,FALSE) &gt;= (test!$B$34)/1440),1,0)</f>
        <v>1</v>
      </c>
      <c r="P51" s="2">
        <f>IF(AND(VLOOKUP(P$1,test!$A$3:$F$32,5,FALSE) - VLOOKUP($B51,test!$A$3:$G$32,6,FALSE) &gt;= (test!$B$34)/1440),1,0)</f>
        <v>1</v>
      </c>
      <c r="Q51" s="2">
        <f>IF(AND(VLOOKUP(Q$1,test!$A$3:$F$32,5,FALSE) - VLOOKUP($B51,test!$A$3:$G$32,6,FALSE) &gt;= (test!$B$34)/1440),1,0)</f>
        <v>0</v>
      </c>
      <c r="R51" s="2">
        <f>IF(AND(VLOOKUP(R$1,test!$A$3:$F$32,5,FALSE) - VLOOKUP($B51,test!$A$3:$G$32,6,FALSE) &gt;= (test!$B$34)/1440),1,0)</f>
        <v>0</v>
      </c>
      <c r="S51" s="2">
        <f>IF(AND(VLOOKUP(S$1,test!$A$3:$F$32,5,FALSE) - VLOOKUP($B51,test!$A$3:$G$32,6,FALSE) &gt;= (test!$B$34)/1440),1,0)</f>
        <v>0</v>
      </c>
      <c r="T51" s="2">
        <f>IF(AND(VLOOKUP(T$1,test!$A$3:$F$32,5,FALSE) - VLOOKUP($B51,test!$A$3:$G$32,6,FALSE) &gt;= (test!$B$34)/1440),1,0)</f>
        <v>0</v>
      </c>
      <c r="U51" s="2">
        <f>IF(AND(VLOOKUP(U$1,test!$A$3:$F$32,5,FALSE) - VLOOKUP($B51,test!$A$3:$G$32,6,FALSE) &gt;= (test!$B$34)/1440),1,0)</f>
        <v>0</v>
      </c>
      <c r="V51" s="2">
        <f>IF(AND(VLOOKUP(V$1,test!$A$3:$F$32,5,FALSE) - VLOOKUP($B51,test!$A$3:$G$32,6,FALSE) &gt;= (test!$B$34)/1440),1,0)</f>
        <v>0</v>
      </c>
      <c r="W51" s="2">
        <f>IF(AND(VLOOKUP(W$1,test!$A$3:$F$32,5,FALSE) - VLOOKUP($B51,test!$A$3:$G$32,6,FALSE) &gt;= (test!$B$34)/1440),1,0)</f>
        <v>0</v>
      </c>
      <c r="X51" s="2">
        <f>IF(AND(VLOOKUP(X$1,test!$A$3:$F$32,5,FALSE) - VLOOKUP($B51,test!$A$3:$G$32,6,FALSE) &gt;= (test!$B$34)/1440),1,0)</f>
        <v>1</v>
      </c>
      <c r="Y51" s="2">
        <f>IF(AND(VLOOKUP(Y$1,test!$A$3:$F$32,5,FALSE) - VLOOKUP($B51,test!$A$3:$G$32,6,FALSE) &gt;= (test!$B$34)/1440),1,0)</f>
        <v>1</v>
      </c>
      <c r="Z51" s="2">
        <f>IF(AND(VLOOKUP(Z$1,test!$A$3:$F$32,5,FALSE) - VLOOKUP($B51,test!$A$3:$G$32,6,FALSE) &gt;= (test!$B$34)/1440),1,0)</f>
        <v>0</v>
      </c>
      <c r="AA51" s="2">
        <f>IF(AND(VLOOKUP(AA$1,test!$A$3:$F$32,5,FALSE) - VLOOKUP($B51,test!$A$3:$G$32,6,FALSE) &gt;= (test!$B$34)/1440),1,0)</f>
        <v>0</v>
      </c>
      <c r="AB51" s="2">
        <f>IF(AND(VLOOKUP(AB$1,test!$A$3:$F$32,5,FALSE) - VLOOKUP($B51,test!$A$3:$G$32,6,FALSE) &gt;= (test!$B$34)/1440),1,0)</f>
        <v>0</v>
      </c>
      <c r="AC51" s="2">
        <f>IF(AND(VLOOKUP(AC$1,test!$A$3:$F$32,5,FALSE) - VLOOKUP($B51,test!$A$3:$G$32,6,FALSE) &gt;= (test!$B$34)/1440),1,0)</f>
        <v>0</v>
      </c>
      <c r="AD51" s="2">
        <f>IF(AND(VLOOKUP(AD$1,test!$A$3:$F$32,5,FALSE) - VLOOKUP($B51,test!$A$3:$G$32,6,FALSE) &gt;= (test!$B$34)/1440),1,0)</f>
        <v>1</v>
      </c>
      <c r="AE51" s="2">
        <f>IF(AND(VLOOKUP(AE$1,test!$A$3:$F$32,5,FALSE) - VLOOKUP($B51,test!$A$3:$G$32,6,FALSE) &gt;= (test!$B$34)/1440),1,0)</f>
        <v>0</v>
      </c>
      <c r="AF51" s="2">
        <f>IF(AND(VLOOKUP(AF$1,test!$A$3:$F$32,5,FALSE) - VLOOKUP($B51,test!$A$3:$G$32,6,FALSE) &gt;= (test!$B$34)/1440),1,0)</f>
        <v>0</v>
      </c>
      <c r="AG51" s="2">
        <f>IF(AND(VLOOKUP(AG$1,test!$A$3:$F$32,5,FALSE) - VLOOKUP($B51,test!$A$3:$G$32,6,FALSE) &gt;= (test!$B$34)/1440),1,0)</f>
        <v>0</v>
      </c>
    </row>
    <row r="52" spans="1:33" x14ac:dyDescent="0.25">
      <c r="A52" t="s">
        <v>59</v>
      </c>
      <c r="B52" t="s">
        <v>30</v>
      </c>
      <c r="C52">
        <v>0</v>
      </c>
      <c r="D52" s="2">
        <f>IF(AND(VLOOKUP(D$1,test!$A$3:$F$32,5,FALSE) - VLOOKUP($B52,test!$A$3:$G$32,6,FALSE) &gt;= (test!$B$34)/1440),1,0)</f>
        <v>0</v>
      </c>
      <c r="E52" s="2">
        <f>IF(AND(VLOOKUP(E$1,test!$A$3:$F$32,5,FALSE) - VLOOKUP($B52,test!$A$3:$G$32,6,FALSE) &gt;= (test!$B$34)/1440),1,0)</f>
        <v>0</v>
      </c>
      <c r="F52" s="2">
        <f>IF(AND(VLOOKUP(F$1,test!$A$3:$F$32,5,FALSE) - VLOOKUP($B52,test!$A$3:$G$32,6,FALSE) &gt;= (test!$B$34)/1440),1,0)</f>
        <v>0</v>
      </c>
      <c r="G52" s="2">
        <f>IF(AND(VLOOKUP(G$1,test!$A$3:$F$32,5,FALSE) - VLOOKUP($B52,test!$A$3:$G$32,6,FALSE) &gt;= (test!$B$34)/1440),1,0)</f>
        <v>0</v>
      </c>
      <c r="H52" s="2">
        <f>IF(AND(VLOOKUP(H$1,test!$A$3:$F$32,5,FALSE) - VLOOKUP($B52,test!$A$3:$G$32,6,FALSE) &gt;= (test!$B$34)/1440),1,0)</f>
        <v>0</v>
      </c>
      <c r="I52" s="2">
        <f>IF(AND(VLOOKUP(I$1,test!$A$3:$F$32,5,FALSE) - VLOOKUP($B52,test!$A$3:$G$32,6,FALSE) &gt;= (test!$B$34)/1440),1,0)</f>
        <v>0</v>
      </c>
      <c r="J52" s="2">
        <f>IF(AND(VLOOKUP(J$1,test!$A$3:$F$32,5,FALSE) - VLOOKUP($B52,test!$A$3:$G$32,6,FALSE) &gt;= (test!$B$34)/1440),1,0)</f>
        <v>0</v>
      </c>
      <c r="K52" s="2">
        <f>IF(AND(VLOOKUP(K$1,test!$A$3:$F$32,5,FALSE) - VLOOKUP($B52,test!$A$3:$G$32,6,FALSE) &gt;= (test!$B$34)/1440),1,0)</f>
        <v>1</v>
      </c>
      <c r="L52" s="2">
        <f>IF(AND(VLOOKUP(L$1,test!$A$3:$F$32,5,FALSE) - VLOOKUP($B52,test!$A$3:$G$32,6,FALSE) &gt;= (test!$B$34)/1440),1,0)</f>
        <v>0</v>
      </c>
      <c r="M52" s="2">
        <f>IF(AND(VLOOKUP(M$1,test!$A$3:$F$32,5,FALSE) - VLOOKUP($B52,test!$A$3:$G$32,6,FALSE) &gt;= (test!$B$34)/1440),1,0)</f>
        <v>0</v>
      </c>
      <c r="N52" s="2">
        <f>IF(AND(VLOOKUP(N$1,test!$A$3:$F$32,5,FALSE) - VLOOKUP($B52,test!$A$3:$G$32,6,FALSE) &gt;= (test!$B$34)/1440),1,0)</f>
        <v>0</v>
      </c>
      <c r="O52" s="2">
        <f>IF(AND(VLOOKUP(O$1,test!$A$3:$F$32,5,FALSE) - VLOOKUP($B52,test!$A$3:$G$32,6,FALSE) &gt;= (test!$B$34)/1440),1,0)</f>
        <v>1</v>
      </c>
      <c r="P52" s="2">
        <f>IF(AND(VLOOKUP(P$1,test!$A$3:$F$32,5,FALSE) - VLOOKUP($B52,test!$A$3:$G$32,6,FALSE) &gt;= (test!$B$34)/1440),1,0)</f>
        <v>1</v>
      </c>
      <c r="Q52" s="2">
        <f>IF(AND(VLOOKUP(Q$1,test!$A$3:$F$32,5,FALSE) - VLOOKUP($B52,test!$A$3:$G$32,6,FALSE) &gt;= (test!$B$34)/1440),1,0)</f>
        <v>0</v>
      </c>
      <c r="R52" s="2">
        <f>IF(AND(VLOOKUP(R$1,test!$A$3:$F$32,5,FALSE) - VLOOKUP($B52,test!$A$3:$G$32,6,FALSE) &gt;= (test!$B$34)/1440),1,0)</f>
        <v>0</v>
      </c>
      <c r="S52" s="2">
        <f>IF(AND(VLOOKUP(S$1,test!$A$3:$F$32,5,FALSE) - VLOOKUP($B52,test!$A$3:$G$32,6,FALSE) &gt;= (test!$B$34)/1440),1,0)</f>
        <v>0</v>
      </c>
      <c r="T52" s="2">
        <f>IF(AND(VLOOKUP(T$1,test!$A$3:$F$32,5,FALSE) - VLOOKUP($B52,test!$A$3:$G$32,6,FALSE) &gt;= (test!$B$34)/1440),1,0)</f>
        <v>0</v>
      </c>
      <c r="U52" s="2">
        <f>IF(AND(VLOOKUP(U$1,test!$A$3:$F$32,5,FALSE) - VLOOKUP($B52,test!$A$3:$G$32,6,FALSE) &gt;= (test!$B$34)/1440),1,0)</f>
        <v>0</v>
      </c>
      <c r="V52" s="2">
        <f>IF(AND(VLOOKUP(V$1,test!$A$3:$F$32,5,FALSE) - VLOOKUP($B52,test!$A$3:$G$32,6,FALSE) &gt;= (test!$B$34)/1440),1,0)</f>
        <v>0</v>
      </c>
      <c r="W52" s="2">
        <f>IF(AND(VLOOKUP(W$1,test!$A$3:$F$32,5,FALSE) - VLOOKUP($B52,test!$A$3:$G$32,6,FALSE) &gt;= (test!$B$34)/1440),1,0)</f>
        <v>0</v>
      </c>
      <c r="X52" s="2">
        <f>IF(AND(VLOOKUP(X$1,test!$A$3:$F$32,5,FALSE) - VLOOKUP($B52,test!$A$3:$G$32,6,FALSE) &gt;= (test!$B$34)/1440),1,0)</f>
        <v>0</v>
      </c>
      <c r="Y52" s="2">
        <f>IF(AND(VLOOKUP(Y$1,test!$A$3:$F$32,5,FALSE) - VLOOKUP($B52,test!$A$3:$G$32,6,FALSE) &gt;= (test!$B$34)/1440),1,0)</f>
        <v>1</v>
      </c>
      <c r="Z52" s="2">
        <f>IF(AND(VLOOKUP(Z$1,test!$A$3:$F$32,5,FALSE) - VLOOKUP($B52,test!$A$3:$G$32,6,FALSE) &gt;= (test!$B$34)/1440),1,0)</f>
        <v>0</v>
      </c>
      <c r="AA52" s="2">
        <f>IF(AND(VLOOKUP(AA$1,test!$A$3:$F$32,5,FALSE) - VLOOKUP($B52,test!$A$3:$G$32,6,FALSE) &gt;= (test!$B$34)/1440),1,0)</f>
        <v>0</v>
      </c>
      <c r="AB52" s="2">
        <f>IF(AND(VLOOKUP(AB$1,test!$A$3:$F$32,5,FALSE) - VLOOKUP($B52,test!$A$3:$G$32,6,FALSE) &gt;= (test!$B$34)/1440),1,0)</f>
        <v>0</v>
      </c>
      <c r="AC52" s="2">
        <f>IF(AND(VLOOKUP(AC$1,test!$A$3:$F$32,5,FALSE) - VLOOKUP($B52,test!$A$3:$G$32,6,FALSE) &gt;= (test!$B$34)/1440),1,0)</f>
        <v>0</v>
      </c>
      <c r="AD52" s="2">
        <f>IF(AND(VLOOKUP(AD$1,test!$A$3:$F$32,5,FALSE) - VLOOKUP($B52,test!$A$3:$G$32,6,FALSE) &gt;= (test!$B$34)/1440),1,0)</f>
        <v>0</v>
      </c>
      <c r="AE52" s="2">
        <f>IF(AND(VLOOKUP(AE$1,test!$A$3:$F$32,5,FALSE) - VLOOKUP($B52,test!$A$3:$G$32,6,FALSE) &gt;= (test!$B$34)/1440),1,0)</f>
        <v>0</v>
      </c>
      <c r="AF52" s="2">
        <f>IF(AND(VLOOKUP(AF$1,test!$A$3:$F$32,5,FALSE) - VLOOKUP($B52,test!$A$3:$G$32,6,FALSE) &gt;= (test!$B$34)/1440),1,0)</f>
        <v>0</v>
      </c>
      <c r="AG52" s="2">
        <f>IF(AND(VLOOKUP(AG$1,test!$A$3:$F$32,5,FALSE) - VLOOKUP($B52,test!$A$3:$G$32,6,FALSE) &gt;= (test!$B$34)/1440),1,0)</f>
        <v>0</v>
      </c>
    </row>
    <row r="53" spans="1:33" x14ac:dyDescent="0.25">
      <c r="A53" t="s">
        <v>59</v>
      </c>
      <c r="B53" t="s">
        <v>31</v>
      </c>
      <c r="C53">
        <v>0</v>
      </c>
      <c r="D53" s="2">
        <f>IF(AND(VLOOKUP(D$1,test!$A$3:$F$32,5,FALSE) - VLOOKUP($B53,test!$A$3:$G$32,6,FALSE) &gt;= (test!$B$34)/1440),1,0)</f>
        <v>0</v>
      </c>
      <c r="E53" s="2">
        <f>IF(AND(VLOOKUP(E$1,test!$A$3:$F$32,5,FALSE) - VLOOKUP($B53,test!$A$3:$G$32,6,FALSE) &gt;= (test!$B$34)/1440),1,0)</f>
        <v>0</v>
      </c>
      <c r="F53" s="2">
        <f>IF(AND(VLOOKUP(F$1,test!$A$3:$F$32,5,FALSE) - VLOOKUP($B53,test!$A$3:$G$32,6,FALSE) &gt;= (test!$B$34)/1440),1,0)</f>
        <v>0</v>
      </c>
      <c r="G53" s="2">
        <f>IF(AND(VLOOKUP(G$1,test!$A$3:$F$32,5,FALSE) - VLOOKUP($B53,test!$A$3:$G$32,6,FALSE) &gt;= (test!$B$34)/1440),1,0)</f>
        <v>0</v>
      </c>
      <c r="H53" s="2">
        <f>IF(AND(VLOOKUP(H$1,test!$A$3:$F$32,5,FALSE) - VLOOKUP($B53,test!$A$3:$G$32,6,FALSE) &gt;= (test!$B$34)/1440),1,0)</f>
        <v>0</v>
      </c>
      <c r="I53" s="2">
        <f>IF(AND(VLOOKUP(I$1,test!$A$3:$F$32,5,FALSE) - VLOOKUP($B53,test!$A$3:$G$32,6,FALSE) &gt;= (test!$B$34)/1440),1,0)</f>
        <v>0</v>
      </c>
      <c r="J53" s="2">
        <f>IF(AND(VLOOKUP(J$1,test!$A$3:$F$32,5,FALSE) - VLOOKUP($B53,test!$A$3:$G$32,6,FALSE) &gt;= (test!$B$34)/1440),1,0)</f>
        <v>0</v>
      </c>
      <c r="K53" s="2">
        <f>IF(AND(VLOOKUP(K$1,test!$A$3:$F$32,5,FALSE) - VLOOKUP($B53,test!$A$3:$G$32,6,FALSE) &gt;= (test!$B$34)/1440),1,0)</f>
        <v>0</v>
      </c>
      <c r="L53" s="2">
        <f>IF(AND(VLOOKUP(L$1,test!$A$3:$F$32,5,FALSE) - VLOOKUP($B53,test!$A$3:$G$32,6,FALSE) &gt;= (test!$B$34)/1440),1,0)</f>
        <v>0</v>
      </c>
      <c r="M53" s="2">
        <f>IF(AND(VLOOKUP(M$1,test!$A$3:$F$32,5,FALSE) - VLOOKUP($B53,test!$A$3:$G$32,6,FALSE) &gt;= (test!$B$34)/1440),1,0)</f>
        <v>0</v>
      </c>
      <c r="N53" s="2">
        <f>IF(AND(VLOOKUP(N$1,test!$A$3:$F$32,5,FALSE) - VLOOKUP($B53,test!$A$3:$G$32,6,FALSE) &gt;= (test!$B$34)/1440),1,0)</f>
        <v>0</v>
      </c>
      <c r="O53" s="2">
        <f>IF(AND(VLOOKUP(O$1,test!$A$3:$F$32,5,FALSE) - VLOOKUP($B53,test!$A$3:$G$32,6,FALSE) &gt;= (test!$B$34)/1440),1,0)</f>
        <v>0</v>
      </c>
      <c r="P53" s="2">
        <f>IF(AND(VLOOKUP(P$1,test!$A$3:$F$32,5,FALSE) - VLOOKUP($B53,test!$A$3:$G$32,6,FALSE) &gt;= (test!$B$34)/1440),1,0)</f>
        <v>1</v>
      </c>
      <c r="Q53" s="2">
        <f>IF(AND(VLOOKUP(Q$1,test!$A$3:$F$32,5,FALSE) - VLOOKUP($B53,test!$A$3:$G$32,6,FALSE) &gt;= (test!$B$34)/1440),1,0)</f>
        <v>0</v>
      </c>
      <c r="R53" s="2">
        <f>IF(AND(VLOOKUP(R$1,test!$A$3:$F$32,5,FALSE) - VLOOKUP($B53,test!$A$3:$G$32,6,FALSE) &gt;= (test!$B$34)/1440),1,0)</f>
        <v>0</v>
      </c>
      <c r="S53" s="2">
        <f>IF(AND(VLOOKUP(S$1,test!$A$3:$F$32,5,FALSE) - VLOOKUP($B53,test!$A$3:$G$32,6,FALSE) &gt;= (test!$B$34)/1440),1,0)</f>
        <v>0</v>
      </c>
      <c r="T53" s="2">
        <f>IF(AND(VLOOKUP(T$1,test!$A$3:$F$32,5,FALSE) - VLOOKUP($B53,test!$A$3:$G$32,6,FALSE) &gt;= (test!$B$34)/1440),1,0)</f>
        <v>0</v>
      </c>
      <c r="U53" s="2">
        <f>IF(AND(VLOOKUP(U$1,test!$A$3:$F$32,5,FALSE) - VLOOKUP($B53,test!$A$3:$G$32,6,FALSE) &gt;= (test!$B$34)/1440),1,0)</f>
        <v>0</v>
      </c>
      <c r="V53" s="2">
        <f>IF(AND(VLOOKUP(V$1,test!$A$3:$F$32,5,FALSE) - VLOOKUP($B53,test!$A$3:$G$32,6,FALSE) &gt;= (test!$B$34)/1440),1,0)</f>
        <v>0</v>
      </c>
      <c r="W53" s="2">
        <f>IF(AND(VLOOKUP(W$1,test!$A$3:$F$32,5,FALSE) - VLOOKUP($B53,test!$A$3:$G$32,6,FALSE) &gt;= (test!$B$34)/1440),1,0)</f>
        <v>0</v>
      </c>
      <c r="X53" s="2">
        <f>IF(AND(VLOOKUP(X$1,test!$A$3:$F$32,5,FALSE) - VLOOKUP($B53,test!$A$3:$G$32,6,FALSE) &gt;= (test!$B$34)/1440),1,0)</f>
        <v>0</v>
      </c>
      <c r="Y53" s="2">
        <f>IF(AND(VLOOKUP(Y$1,test!$A$3:$F$32,5,FALSE) - VLOOKUP($B53,test!$A$3:$G$32,6,FALSE) &gt;= (test!$B$34)/1440),1,0)</f>
        <v>0</v>
      </c>
      <c r="Z53" s="2">
        <f>IF(AND(VLOOKUP(Z$1,test!$A$3:$F$32,5,FALSE) - VLOOKUP($B53,test!$A$3:$G$32,6,FALSE) &gt;= (test!$B$34)/1440),1,0)</f>
        <v>0</v>
      </c>
      <c r="AA53" s="2">
        <f>IF(AND(VLOOKUP(AA$1,test!$A$3:$F$32,5,FALSE) - VLOOKUP($B53,test!$A$3:$G$32,6,FALSE) &gt;= (test!$B$34)/1440),1,0)</f>
        <v>0</v>
      </c>
      <c r="AB53" s="2">
        <f>IF(AND(VLOOKUP(AB$1,test!$A$3:$F$32,5,FALSE) - VLOOKUP($B53,test!$A$3:$G$32,6,FALSE) &gt;= (test!$B$34)/1440),1,0)</f>
        <v>0</v>
      </c>
      <c r="AC53" s="2">
        <f>IF(AND(VLOOKUP(AC$1,test!$A$3:$F$32,5,FALSE) - VLOOKUP($B53,test!$A$3:$G$32,6,FALSE) &gt;= (test!$B$34)/1440),1,0)</f>
        <v>0</v>
      </c>
      <c r="AD53" s="2">
        <f>IF(AND(VLOOKUP(AD$1,test!$A$3:$F$32,5,FALSE) - VLOOKUP($B53,test!$A$3:$G$32,6,FALSE) &gt;= (test!$B$34)/1440),1,0)</f>
        <v>0</v>
      </c>
      <c r="AE53" s="2">
        <f>IF(AND(VLOOKUP(AE$1,test!$A$3:$F$32,5,FALSE) - VLOOKUP($B53,test!$A$3:$G$32,6,FALSE) &gt;= (test!$B$34)/1440),1,0)</f>
        <v>0</v>
      </c>
      <c r="AF53" s="2">
        <f>IF(AND(VLOOKUP(AF$1,test!$A$3:$F$32,5,FALSE) - VLOOKUP($B53,test!$A$3:$G$32,6,FALSE) &gt;= (test!$B$34)/1440),1,0)</f>
        <v>0</v>
      </c>
      <c r="AG53" s="2">
        <f>IF(AND(VLOOKUP(AG$1,test!$A$3:$F$32,5,FALSE) - VLOOKUP($B53,test!$A$3:$G$32,6,FALSE) &gt;= (test!$B$34)/1440),1,0)</f>
        <v>0</v>
      </c>
    </row>
    <row r="54" spans="1:33" x14ac:dyDescent="0.25">
      <c r="A54" t="s">
        <v>59</v>
      </c>
      <c r="B54" t="s">
        <v>32</v>
      </c>
      <c r="C54">
        <v>0</v>
      </c>
      <c r="D54" s="2">
        <f>IF(AND(VLOOKUP(D$1,test!$A$3:$F$32,5,FALSE) - VLOOKUP($B54,test!$A$3:$G$32,6,FALSE) &gt;= (test!$B$34)/1440),1,0)</f>
        <v>0</v>
      </c>
      <c r="E54" s="2">
        <f>IF(AND(VLOOKUP(E$1,test!$A$3:$F$32,5,FALSE) - VLOOKUP($B54,test!$A$3:$G$32,6,FALSE) &gt;= (test!$B$34)/1440),1,0)</f>
        <v>0</v>
      </c>
      <c r="F54" s="2">
        <f>IF(AND(VLOOKUP(F$1,test!$A$3:$F$32,5,FALSE) - VLOOKUP($B54,test!$A$3:$G$32,6,FALSE) &gt;= (test!$B$34)/1440),1,0)</f>
        <v>0</v>
      </c>
      <c r="G54" s="2">
        <f>IF(AND(VLOOKUP(G$1,test!$A$3:$F$32,5,FALSE) - VLOOKUP($B54,test!$A$3:$G$32,6,FALSE) &gt;= (test!$B$34)/1440),1,0)</f>
        <v>0</v>
      </c>
      <c r="H54" s="2">
        <f>IF(AND(VLOOKUP(H$1,test!$A$3:$F$32,5,FALSE) - VLOOKUP($B54,test!$A$3:$G$32,6,FALSE) &gt;= (test!$B$34)/1440),1,0)</f>
        <v>0</v>
      </c>
      <c r="I54" s="2">
        <f>IF(AND(VLOOKUP(I$1,test!$A$3:$F$32,5,FALSE) - VLOOKUP($B54,test!$A$3:$G$32,6,FALSE) &gt;= (test!$B$34)/1440),1,0)</f>
        <v>0</v>
      </c>
      <c r="J54" s="2">
        <f>IF(AND(VLOOKUP(J$1,test!$A$3:$F$32,5,FALSE) - VLOOKUP($B54,test!$A$3:$G$32,6,FALSE) &gt;= (test!$B$34)/1440),1,0)</f>
        <v>0</v>
      </c>
      <c r="K54" s="2">
        <f>IF(AND(VLOOKUP(K$1,test!$A$3:$F$32,5,FALSE) - VLOOKUP($B54,test!$A$3:$G$32,6,FALSE) &gt;= (test!$B$34)/1440),1,0)</f>
        <v>0</v>
      </c>
      <c r="L54" s="2">
        <f>IF(AND(VLOOKUP(L$1,test!$A$3:$F$32,5,FALSE) - VLOOKUP($B54,test!$A$3:$G$32,6,FALSE) &gt;= (test!$B$34)/1440),1,0)</f>
        <v>0</v>
      </c>
      <c r="M54" s="2">
        <f>IF(AND(VLOOKUP(M$1,test!$A$3:$F$32,5,FALSE) - VLOOKUP($B54,test!$A$3:$G$32,6,FALSE) &gt;= (test!$B$34)/1440),1,0)</f>
        <v>0</v>
      </c>
      <c r="N54" s="2">
        <f>IF(AND(VLOOKUP(N$1,test!$A$3:$F$32,5,FALSE) - VLOOKUP($B54,test!$A$3:$G$32,6,FALSE) &gt;= (test!$B$34)/1440),1,0)</f>
        <v>0</v>
      </c>
      <c r="O54" s="2">
        <f>IF(AND(VLOOKUP(O$1,test!$A$3:$F$32,5,FALSE) - VLOOKUP($B54,test!$A$3:$G$32,6,FALSE) &gt;= (test!$B$34)/1440),1,0)</f>
        <v>0</v>
      </c>
      <c r="P54" s="2">
        <f>IF(AND(VLOOKUP(P$1,test!$A$3:$F$32,5,FALSE) - VLOOKUP($B54,test!$A$3:$G$32,6,FALSE) &gt;= (test!$B$34)/1440),1,0)</f>
        <v>0</v>
      </c>
      <c r="Q54" s="2">
        <f>IF(AND(VLOOKUP(Q$1,test!$A$3:$F$32,5,FALSE) - VLOOKUP($B54,test!$A$3:$G$32,6,FALSE) &gt;= (test!$B$34)/1440),1,0)</f>
        <v>0</v>
      </c>
      <c r="R54" s="2">
        <f>IF(AND(VLOOKUP(R$1,test!$A$3:$F$32,5,FALSE) - VLOOKUP($B54,test!$A$3:$G$32,6,FALSE) &gt;= (test!$B$34)/1440),1,0)</f>
        <v>0</v>
      </c>
      <c r="S54" s="2">
        <f>IF(AND(VLOOKUP(S$1,test!$A$3:$F$32,5,FALSE) - VLOOKUP($B54,test!$A$3:$G$32,6,FALSE) &gt;= (test!$B$34)/1440),1,0)</f>
        <v>0</v>
      </c>
      <c r="T54" s="2">
        <f>IF(AND(VLOOKUP(T$1,test!$A$3:$F$32,5,FALSE) - VLOOKUP($B54,test!$A$3:$G$32,6,FALSE) &gt;= (test!$B$34)/1440),1,0)</f>
        <v>0</v>
      </c>
      <c r="U54" s="2">
        <f>IF(AND(VLOOKUP(U$1,test!$A$3:$F$32,5,FALSE) - VLOOKUP($B54,test!$A$3:$G$32,6,FALSE) &gt;= (test!$B$34)/1440),1,0)</f>
        <v>0</v>
      </c>
      <c r="V54" s="2">
        <f>IF(AND(VLOOKUP(V$1,test!$A$3:$F$32,5,FALSE) - VLOOKUP($B54,test!$A$3:$G$32,6,FALSE) &gt;= (test!$B$34)/1440),1,0)</f>
        <v>0</v>
      </c>
      <c r="W54" s="2">
        <f>IF(AND(VLOOKUP(W$1,test!$A$3:$F$32,5,FALSE) - VLOOKUP($B54,test!$A$3:$G$32,6,FALSE) &gt;= (test!$B$34)/1440),1,0)</f>
        <v>0</v>
      </c>
      <c r="X54" s="2">
        <f>IF(AND(VLOOKUP(X$1,test!$A$3:$F$32,5,FALSE) - VLOOKUP($B54,test!$A$3:$G$32,6,FALSE) &gt;= (test!$B$34)/1440),1,0)</f>
        <v>0</v>
      </c>
      <c r="Y54" s="2">
        <f>IF(AND(VLOOKUP(Y$1,test!$A$3:$F$32,5,FALSE) - VLOOKUP($B54,test!$A$3:$G$32,6,FALSE) &gt;= (test!$B$34)/1440),1,0)</f>
        <v>0</v>
      </c>
      <c r="Z54" s="2">
        <f>IF(AND(VLOOKUP(Z$1,test!$A$3:$F$32,5,FALSE) - VLOOKUP($B54,test!$A$3:$G$32,6,FALSE) &gt;= (test!$B$34)/1440),1,0)</f>
        <v>0</v>
      </c>
      <c r="AA54" s="2">
        <f>IF(AND(VLOOKUP(AA$1,test!$A$3:$F$32,5,FALSE) - VLOOKUP($B54,test!$A$3:$G$32,6,FALSE) &gt;= (test!$B$34)/1440),1,0)</f>
        <v>0</v>
      </c>
      <c r="AB54" s="2">
        <f>IF(AND(VLOOKUP(AB$1,test!$A$3:$F$32,5,FALSE) - VLOOKUP($B54,test!$A$3:$G$32,6,FALSE) &gt;= (test!$B$34)/1440),1,0)</f>
        <v>0</v>
      </c>
      <c r="AC54" s="2">
        <f>IF(AND(VLOOKUP(AC$1,test!$A$3:$F$32,5,FALSE) - VLOOKUP($B54,test!$A$3:$G$32,6,FALSE) &gt;= (test!$B$34)/1440),1,0)</f>
        <v>0</v>
      </c>
      <c r="AD54" s="2">
        <f>IF(AND(VLOOKUP(AD$1,test!$A$3:$F$32,5,FALSE) - VLOOKUP($B54,test!$A$3:$G$32,6,FALSE) &gt;= (test!$B$34)/1440),1,0)</f>
        <v>0</v>
      </c>
      <c r="AE54" s="2">
        <f>IF(AND(VLOOKUP(AE$1,test!$A$3:$F$32,5,FALSE) - VLOOKUP($B54,test!$A$3:$G$32,6,FALSE) &gt;= (test!$B$34)/1440),1,0)</f>
        <v>0</v>
      </c>
      <c r="AF54" s="2">
        <f>IF(AND(VLOOKUP(AF$1,test!$A$3:$F$32,5,FALSE) - VLOOKUP($B54,test!$A$3:$G$32,6,FALSE) &gt;= (test!$B$34)/1440),1,0)</f>
        <v>0</v>
      </c>
      <c r="AG54" s="2">
        <f>IF(AND(VLOOKUP(AG$1,test!$A$3:$F$32,5,FALSE) - VLOOKUP($B54,test!$A$3:$G$32,6,FALSE) &gt;= (test!$B$34)/1440),1,0)</f>
        <v>0</v>
      </c>
    </row>
    <row r="55" spans="1:33" x14ac:dyDescent="0.25">
      <c r="A55" t="s">
        <v>59</v>
      </c>
      <c r="B55" t="s">
        <v>33</v>
      </c>
      <c r="C55">
        <v>0</v>
      </c>
      <c r="D55" s="2">
        <f>IF(AND(VLOOKUP(D$1,test!$A$3:$F$32,5,FALSE) - VLOOKUP($B55,test!$A$3:$G$32,6,FALSE) &gt;= (test!$B$34)/1440),1,0)</f>
        <v>0</v>
      </c>
      <c r="E55" s="2">
        <f>IF(AND(VLOOKUP(E$1,test!$A$3:$F$32,5,FALSE) - VLOOKUP($B55,test!$A$3:$G$32,6,FALSE) &gt;= (test!$B$34)/1440),1,0)</f>
        <v>0</v>
      </c>
      <c r="F55" s="2">
        <f>IF(AND(VLOOKUP(F$1,test!$A$3:$F$32,5,FALSE) - VLOOKUP($B55,test!$A$3:$G$32,6,FALSE) &gt;= (test!$B$34)/1440),1,0)</f>
        <v>0</v>
      </c>
      <c r="G55" s="2">
        <f>IF(AND(VLOOKUP(G$1,test!$A$3:$F$32,5,FALSE) - VLOOKUP($B55,test!$A$3:$G$32,6,FALSE) &gt;= (test!$B$34)/1440),1,0)</f>
        <v>0</v>
      </c>
      <c r="H55" s="2">
        <f>IF(AND(VLOOKUP(H$1,test!$A$3:$F$32,5,FALSE) - VLOOKUP($B55,test!$A$3:$G$32,6,FALSE) &gt;= (test!$B$34)/1440),1,0)</f>
        <v>0</v>
      </c>
      <c r="I55" s="2">
        <f>IF(AND(VLOOKUP(I$1,test!$A$3:$F$32,5,FALSE) - VLOOKUP($B55,test!$A$3:$G$32,6,FALSE) &gt;= (test!$B$34)/1440),1,0)</f>
        <v>0</v>
      </c>
      <c r="J55" s="2">
        <f>IF(AND(VLOOKUP(J$1,test!$A$3:$F$32,5,FALSE) - VLOOKUP($B55,test!$A$3:$G$32,6,FALSE) &gt;= (test!$B$34)/1440),1,0)</f>
        <v>0</v>
      </c>
      <c r="K55" s="2">
        <f>IF(AND(VLOOKUP(K$1,test!$A$3:$F$32,5,FALSE) - VLOOKUP($B55,test!$A$3:$G$32,6,FALSE) &gt;= (test!$B$34)/1440),1,0)</f>
        <v>0</v>
      </c>
      <c r="L55" s="2">
        <f>IF(AND(VLOOKUP(L$1,test!$A$3:$F$32,5,FALSE) - VLOOKUP($B55,test!$A$3:$G$32,6,FALSE) &gt;= (test!$B$34)/1440),1,0)</f>
        <v>0</v>
      </c>
      <c r="M55" s="2">
        <f>IF(AND(VLOOKUP(M$1,test!$A$3:$F$32,5,FALSE) - VLOOKUP($B55,test!$A$3:$G$32,6,FALSE) &gt;= (test!$B$34)/1440),1,0)</f>
        <v>0</v>
      </c>
      <c r="N55" s="2">
        <f>IF(AND(VLOOKUP(N$1,test!$A$3:$F$32,5,FALSE) - VLOOKUP($B55,test!$A$3:$G$32,6,FALSE) &gt;= (test!$B$34)/1440),1,0)</f>
        <v>0</v>
      </c>
      <c r="O55" s="2">
        <f>IF(AND(VLOOKUP(O$1,test!$A$3:$F$32,5,FALSE) - VLOOKUP($B55,test!$A$3:$G$32,6,FALSE) &gt;= (test!$B$34)/1440),1,0)</f>
        <v>0</v>
      </c>
      <c r="P55" s="2">
        <f>IF(AND(VLOOKUP(P$1,test!$A$3:$F$32,5,FALSE) - VLOOKUP($B55,test!$A$3:$G$32,6,FALSE) &gt;= (test!$B$34)/1440),1,0)</f>
        <v>0</v>
      </c>
      <c r="Q55" s="2">
        <f>IF(AND(VLOOKUP(Q$1,test!$A$3:$F$32,5,FALSE) - VLOOKUP($B55,test!$A$3:$G$32,6,FALSE) &gt;= (test!$B$34)/1440),1,0)</f>
        <v>0</v>
      </c>
      <c r="R55" s="2">
        <f>IF(AND(VLOOKUP(R$1,test!$A$3:$F$32,5,FALSE) - VLOOKUP($B55,test!$A$3:$G$32,6,FALSE) &gt;= (test!$B$34)/1440),1,0)</f>
        <v>0</v>
      </c>
      <c r="S55" s="2">
        <f>IF(AND(VLOOKUP(S$1,test!$A$3:$F$32,5,FALSE) - VLOOKUP($B55,test!$A$3:$G$32,6,FALSE) &gt;= (test!$B$34)/1440),1,0)</f>
        <v>0</v>
      </c>
      <c r="T55" s="2">
        <f>IF(AND(VLOOKUP(T$1,test!$A$3:$F$32,5,FALSE) - VLOOKUP($B55,test!$A$3:$G$32,6,FALSE) &gt;= (test!$B$34)/1440),1,0)</f>
        <v>0</v>
      </c>
      <c r="U55" s="2">
        <f>IF(AND(VLOOKUP(U$1,test!$A$3:$F$32,5,FALSE) - VLOOKUP($B55,test!$A$3:$G$32,6,FALSE) &gt;= (test!$B$34)/1440),1,0)</f>
        <v>0</v>
      </c>
      <c r="V55" s="2">
        <f>IF(AND(VLOOKUP(V$1,test!$A$3:$F$32,5,FALSE) - VLOOKUP($B55,test!$A$3:$G$32,6,FALSE) &gt;= (test!$B$34)/1440),1,0)</f>
        <v>0</v>
      </c>
      <c r="W55" s="2">
        <f>IF(AND(VLOOKUP(W$1,test!$A$3:$F$32,5,FALSE) - VLOOKUP($B55,test!$A$3:$G$32,6,FALSE) &gt;= (test!$B$34)/1440),1,0)</f>
        <v>0</v>
      </c>
      <c r="X55" s="2">
        <f>IF(AND(VLOOKUP(X$1,test!$A$3:$F$32,5,FALSE) - VLOOKUP($B55,test!$A$3:$G$32,6,FALSE) &gt;= (test!$B$34)/1440),1,0)</f>
        <v>0</v>
      </c>
      <c r="Y55" s="2">
        <f>IF(AND(VLOOKUP(Y$1,test!$A$3:$F$32,5,FALSE) - VLOOKUP($B55,test!$A$3:$G$32,6,FALSE) &gt;= (test!$B$34)/1440),1,0)</f>
        <v>0</v>
      </c>
      <c r="Z55" s="2">
        <f>IF(AND(VLOOKUP(Z$1,test!$A$3:$F$32,5,FALSE) - VLOOKUP($B55,test!$A$3:$G$32,6,FALSE) &gt;= (test!$B$34)/1440),1,0)</f>
        <v>0</v>
      </c>
      <c r="AA55" s="2">
        <f>IF(AND(VLOOKUP(AA$1,test!$A$3:$F$32,5,FALSE) - VLOOKUP($B55,test!$A$3:$G$32,6,FALSE) &gt;= (test!$B$34)/1440),1,0)</f>
        <v>0</v>
      </c>
      <c r="AB55" s="2">
        <f>IF(AND(VLOOKUP(AB$1,test!$A$3:$F$32,5,FALSE) - VLOOKUP($B55,test!$A$3:$G$32,6,FALSE) &gt;= (test!$B$34)/1440),1,0)</f>
        <v>0</v>
      </c>
      <c r="AC55" s="2">
        <f>IF(AND(VLOOKUP(AC$1,test!$A$3:$F$32,5,FALSE) - VLOOKUP($B55,test!$A$3:$G$32,6,FALSE) &gt;= (test!$B$34)/1440),1,0)</f>
        <v>0</v>
      </c>
      <c r="AD55" s="2">
        <f>IF(AND(VLOOKUP(AD$1,test!$A$3:$F$32,5,FALSE) - VLOOKUP($B55,test!$A$3:$G$32,6,FALSE) &gt;= (test!$B$34)/1440),1,0)</f>
        <v>0</v>
      </c>
      <c r="AE55" s="2">
        <f>IF(AND(VLOOKUP(AE$1,test!$A$3:$F$32,5,FALSE) - VLOOKUP($B55,test!$A$3:$G$32,6,FALSE) &gt;= (test!$B$34)/1440),1,0)</f>
        <v>0</v>
      </c>
      <c r="AF55" s="2">
        <f>IF(AND(VLOOKUP(AF$1,test!$A$3:$F$32,5,FALSE) - VLOOKUP($B55,test!$A$3:$G$32,6,FALSE) &gt;= (test!$B$34)/1440),1,0)</f>
        <v>0</v>
      </c>
      <c r="AG55" s="2">
        <f>IF(AND(VLOOKUP(AG$1,test!$A$3:$F$32,5,FALSE) - VLOOKUP($B55,test!$A$3:$G$32,6,FALSE) &gt;= (test!$B$34)/1440),1,0)</f>
        <v>0</v>
      </c>
    </row>
    <row r="56" spans="1:33" x14ac:dyDescent="0.25">
      <c r="A56" t="s">
        <v>59</v>
      </c>
      <c r="B56" t="s">
        <v>34</v>
      </c>
      <c r="C56">
        <v>0</v>
      </c>
      <c r="D56" s="2">
        <f>IF(AND(VLOOKUP(D$1,test!$A$3:$F$32,5,FALSE) - VLOOKUP($B56,test!$A$3:$G$32,6,FALSE) &gt;= (test!$B$34)/1440),1,0)</f>
        <v>0</v>
      </c>
      <c r="E56" s="2">
        <f>IF(AND(VLOOKUP(E$1,test!$A$3:$F$32,5,FALSE) - VLOOKUP($B56,test!$A$3:$G$32,6,FALSE) &gt;= (test!$B$34)/1440),1,0)</f>
        <v>0</v>
      </c>
      <c r="F56" s="2">
        <f>IF(AND(VLOOKUP(F$1,test!$A$3:$F$32,5,FALSE) - VLOOKUP($B56,test!$A$3:$G$32,6,FALSE) &gt;= (test!$B$34)/1440),1,0)</f>
        <v>1</v>
      </c>
      <c r="G56" s="2">
        <f>IF(AND(VLOOKUP(G$1,test!$A$3:$F$32,5,FALSE) - VLOOKUP($B56,test!$A$3:$G$32,6,FALSE) &gt;= (test!$B$34)/1440),1,0)</f>
        <v>1</v>
      </c>
      <c r="H56" s="2">
        <f>IF(AND(VLOOKUP(H$1,test!$A$3:$F$32,5,FALSE) - VLOOKUP($B56,test!$A$3:$G$32,6,FALSE) &gt;= (test!$B$34)/1440),1,0)</f>
        <v>1</v>
      </c>
      <c r="I56" s="2">
        <f>IF(AND(VLOOKUP(I$1,test!$A$3:$F$32,5,FALSE) - VLOOKUP($B56,test!$A$3:$G$32,6,FALSE) &gt;= (test!$B$34)/1440),1,0)</f>
        <v>1</v>
      </c>
      <c r="J56" s="2">
        <f>IF(AND(VLOOKUP(J$1,test!$A$3:$F$32,5,FALSE) - VLOOKUP($B56,test!$A$3:$G$32,6,FALSE) &gt;= (test!$B$34)/1440),1,0)</f>
        <v>1</v>
      </c>
      <c r="K56" s="2">
        <f>IF(AND(VLOOKUP(K$1,test!$A$3:$F$32,5,FALSE) - VLOOKUP($B56,test!$A$3:$G$32,6,FALSE) &gt;= (test!$B$34)/1440),1,0)</f>
        <v>1</v>
      </c>
      <c r="L56" s="2">
        <f>IF(AND(VLOOKUP(L$1,test!$A$3:$F$32,5,FALSE) - VLOOKUP($B56,test!$A$3:$G$32,6,FALSE) &gt;= (test!$B$34)/1440),1,0)</f>
        <v>0</v>
      </c>
      <c r="M56" s="2">
        <f>IF(AND(VLOOKUP(M$1,test!$A$3:$F$32,5,FALSE) - VLOOKUP($B56,test!$A$3:$G$32,6,FALSE) &gt;= (test!$B$34)/1440),1,0)</f>
        <v>0</v>
      </c>
      <c r="N56" s="2">
        <f>IF(AND(VLOOKUP(N$1,test!$A$3:$F$32,5,FALSE) - VLOOKUP($B56,test!$A$3:$G$32,6,FALSE) &gt;= (test!$B$34)/1440),1,0)</f>
        <v>1</v>
      </c>
      <c r="O56" s="2">
        <f>IF(AND(VLOOKUP(O$1,test!$A$3:$F$32,5,FALSE) - VLOOKUP($B56,test!$A$3:$G$32,6,FALSE) &gt;= (test!$B$34)/1440),1,0)</f>
        <v>1</v>
      </c>
      <c r="P56" s="2">
        <f>IF(AND(VLOOKUP(P$1,test!$A$3:$F$32,5,FALSE) - VLOOKUP($B56,test!$A$3:$G$32,6,FALSE) &gt;= (test!$B$34)/1440),1,0)</f>
        <v>1</v>
      </c>
      <c r="Q56" s="2">
        <f>IF(AND(VLOOKUP(Q$1,test!$A$3:$F$32,5,FALSE) - VLOOKUP($B56,test!$A$3:$G$32,6,FALSE) &gt;= (test!$B$34)/1440),1,0)</f>
        <v>0</v>
      </c>
      <c r="R56" s="2">
        <f>IF(AND(VLOOKUP(R$1,test!$A$3:$F$32,5,FALSE) - VLOOKUP($B56,test!$A$3:$G$32,6,FALSE) &gt;= (test!$B$34)/1440),1,0)</f>
        <v>0</v>
      </c>
      <c r="S56" s="2">
        <f>IF(AND(VLOOKUP(S$1,test!$A$3:$F$32,5,FALSE) - VLOOKUP($B56,test!$A$3:$G$32,6,FALSE) &gt;= (test!$B$34)/1440),1,0)</f>
        <v>0</v>
      </c>
      <c r="T56" s="2">
        <f>IF(AND(VLOOKUP(T$1,test!$A$3:$F$32,5,FALSE) - VLOOKUP($B56,test!$A$3:$G$32,6,FALSE) &gt;= (test!$B$34)/1440),1,0)</f>
        <v>0</v>
      </c>
      <c r="U56" s="2">
        <f>IF(AND(VLOOKUP(U$1,test!$A$3:$F$32,5,FALSE) - VLOOKUP($B56,test!$A$3:$G$32,6,FALSE) &gt;= (test!$B$34)/1440),1,0)</f>
        <v>1</v>
      </c>
      <c r="V56" s="2">
        <f>IF(AND(VLOOKUP(V$1,test!$A$3:$F$32,5,FALSE) - VLOOKUP($B56,test!$A$3:$G$32,6,FALSE) &gt;= (test!$B$34)/1440),1,0)</f>
        <v>1</v>
      </c>
      <c r="W56" s="2">
        <f>IF(AND(VLOOKUP(W$1,test!$A$3:$F$32,5,FALSE) - VLOOKUP($B56,test!$A$3:$G$32,6,FALSE) &gt;= (test!$B$34)/1440),1,0)</f>
        <v>1</v>
      </c>
      <c r="X56" s="2">
        <f>IF(AND(VLOOKUP(X$1,test!$A$3:$F$32,5,FALSE) - VLOOKUP($B56,test!$A$3:$G$32,6,FALSE) &gt;= (test!$B$34)/1440),1,0)</f>
        <v>1</v>
      </c>
      <c r="Y56" s="2">
        <f>IF(AND(VLOOKUP(Y$1,test!$A$3:$F$32,5,FALSE) - VLOOKUP($B56,test!$A$3:$G$32,6,FALSE) &gt;= (test!$B$34)/1440),1,0)</f>
        <v>1</v>
      </c>
      <c r="Z56" s="2">
        <f>IF(AND(VLOOKUP(Z$1,test!$A$3:$F$32,5,FALSE) - VLOOKUP($B56,test!$A$3:$G$32,6,FALSE) &gt;= (test!$B$34)/1440),1,0)</f>
        <v>0</v>
      </c>
      <c r="AA56" s="2">
        <f>IF(AND(VLOOKUP(AA$1,test!$A$3:$F$32,5,FALSE) - VLOOKUP($B56,test!$A$3:$G$32,6,FALSE) &gt;= (test!$B$34)/1440),1,0)</f>
        <v>0</v>
      </c>
      <c r="AB56" s="2">
        <f>IF(AND(VLOOKUP(AB$1,test!$A$3:$F$32,5,FALSE) - VLOOKUP($B56,test!$A$3:$G$32,6,FALSE) &gt;= (test!$B$34)/1440),1,0)</f>
        <v>1</v>
      </c>
      <c r="AC56" s="2">
        <f>IF(AND(VLOOKUP(AC$1,test!$A$3:$F$32,5,FALSE) - VLOOKUP($B56,test!$A$3:$G$32,6,FALSE) &gt;= (test!$B$34)/1440),1,0)</f>
        <v>1</v>
      </c>
      <c r="AD56" s="2">
        <f>IF(AND(VLOOKUP(AD$1,test!$A$3:$F$32,5,FALSE) - VLOOKUP($B56,test!$A$3:$G$32,6,FALSE) &gt;= (test!$B$34)/1440),1,0)</f>
        <v>1</v>
      </c>
      <c r="AE56" s="2">
        <f>IF(AND(VLOOKUP(AE$1,test!$A$3:$F$32,5,FALSE) - VLOOKUP($B56,test!$A$3:$G$32,6,FALSE) &gt;= (test!$B$34)/1440),1,0)</f>
        <v>0</v>
      </c>
      <c r="AF56" s="2">
        <f>IF(AND(VLOOKUP(AF$1,test!$A$3:$F$32,5,FALSE) - VLOOKUP($B56,test!$A$3:$G$32,6,FALSE) &gt;= (test!$B$34)/1440),1,0)</f>
        <v>1</v>
      </c>
      <c r="AG56" s="2">
        <f>IF(AND(VLOOKUP(AG$1,test!$A$3:$F$32,5,FALSE) - VLOOKUP($B56,test!$A$3:$G$32,6,FALSE) &gt;= (test!$B$34)/1440),1,0)</f>
        <v>1</v>
      </c>
    </row>
    <row r="57" spans="1:33" x14ac:dyDescent="0.25">
      <c r="A57" t="s">
        <v>59</v>
      </c>
      <c r="B57" t="s">
        <v>35</v>
      </c>
      <c r="C57">
        <v>0</v>
      </c>
      <c r="D57" s="2">
        <f>IF(AND(VLOOKUP(D$1,test!$A$3:$F$32,5,FALSE) - VLOOKUP($B57,test!$A$3:$G$32,6,FALSE) &gt;= (test!$B$34)/1440),1,0)</f>
        <v>0</v>
      </c>
      <c r="E57" s="2">
        <f>IF(AND(VLOOKUP(E$1,test!$A$3:$F$32,5,FALSE) - VLOOKUP($B57,test!$A$3:$G$32,6,FALSE) &gt;= (test!$B$34)/1440),1,0)</f>
        <v>0</v>
      </c>
      <c r="F57" s="2">
        <f>IF(AND(VLOOKUP(F$1,test!$A$3:$F$32,5,FALSE) - VLOOKUP($B57,test!$A$3:$G$32,6,FALSE) &gt;= (test!$B$34)/1440),1,0)</f>
        <v>0</v>
      </c>
      <c r="G57" s="2">
        <f>IF(AND(VLOOKUP(G$1,test!$A$3:$F$32,5,FALSE) - VLOOKUP($B57,test!$A$3:$G$32,6,FALSE) &gt;= (test!$B$34)/1440),1,0)</f>
        <v>0</v>
      </c>
      <c r="H57" s="2">
        <f>IF(AND(VLOOKUP(H$1,test!$A$3:$F$32,5,FALSE) - VLOOKUP($B57,test!$A$3:$G$32,6,FALSE) &gt;= (test!$B$34)/1440),1,0)</f>
        <v>1</v>
      </c>
      <c r="I57" s="2">
        <f>IF(AND(VLOOKUP(I$1,test!$A$3:$F$32,5,FALSE) - VLOOKUP($B57,test!$A$3:$G$32,6,FALSE) &gt;= (test!$B$34)/1440),1,0)</f>
        <v>1</v>
      </c>
      <c r="J57" s="2">
        <f>IF(AND(VLOOKUP(J$1,test!$A$3:$F$32,5,FALSE) - VLOOKUP($B57,test!$A$3:$G$32,6,FALSE) &gt;= (test!$B$34)/1440),1,0)</f>
        <v>1</v>
      </c>
      <c r="K57" s="2">
        <f>IF(AND(VLOOKUP(K$1,test!$A$3:$F$32,5,FALSE) - VLOOKUP($B57,test!$A$3:$G$32,6,FALSE) &gt;= (test!$B$34)/1440),1,0)</f>
        <v>1</v>
      </c>
      <c r="L57" s="2">
        <f>IF(AND(VLOOKUP(L$1,test!$A$3:$F$32,5,FALSE) - VLOOKUP($B57,test!$A$3:$G$32,6,FALSE) &gt;= (test!$B$34)/1440),1,0)</f>
        <v>0</v>
      </c>
      <c r="M57" s="2">
        <f>IF(AND(VLOOKUP(M$1,test!$A$3:$F$32,5,FALSE) - VLOOKUP($B57,test!$A$3:$G$32,6,FALSE) &gt;= (test!$B$34)/1440),1,0)</f>
        <v>0</v>
      </c>
      <c r="N57" s="2">
        <f>IF(AND(VLOOKUP(N$1,test!$A$3:$F$32,5,FALSE) - VLOOKUP($B57,test!$A$3:$G$32,6,FALSE) &gt;= (test!$B$34)/1440),1,0)</f>
        <v>0</v>
      </c>
      <c r="O57" s="2">
        <f>IF(AND(VLOOKUP(O$1,test!$A$3:$F$32,5,FALSE) - VLOOKUP($B57,test!$A$3:$G$32,6,FALSE) &gt;= (test!$B$34)/1440),1,0)</f>
        <v>1</v>
      </c>
      <c r="P57" s="2">
        <f>IF(AND(VLOOKUP(P$1,test!$A$3:$F$32,5,FALSE) - VLOOKUP($B57,test!$A$3:$G$32,6,FALSE) &gt;= (test!$B$34)/1440),1,0)</f>
        <v>1</v>
      </c>
      <c r="Q57" s="2">
        <f>IF(AND(VLOOKUP(Q$1,test!$A$3:$F$32,5,FALSE) - VLOOKUP($B57,test!$A$3:$G$32,6,FALSE) &gt;= (test!$B$34)/1440),1,0)</f>
        <v>0</v>
      </c>
      <c r="R57" s="2">
        <f>IF(AND(VLOOKUP(R$1,test!$A$3:$F$32,5,FALSE) - VLOOKUP($B57,test!$A$3:$G$32,6,FALSE) &gt;= (test!$B$34)/1440),1,0)</f>
        <v>0</v>
      </c>
      <c r="S57" s="2">
        <f>IF(AND(VLOOKUP(S$1,test!$A$3:$F$32,5,FALSE) - VLOOKUP($B57,test!$A$3:$G$32,6,FALSE) &gt;= (test!$B$34)/1440),1,0)</f>
        <v>0</v>
      </c>
      <c r="T57" s="2">
        <f>IF(AND(VLOOKUP(T$1,test!$A$3:$F$32,5,FALSE) - VLOOKUP($B57,test!$A$3:$G$32,6,FALSE) &gt;= (test!$B$34)/1440),1,0)</f>
        <v>0</v>
      </c>
      <c r="U57" s="2">
        <f>IF(AND(VLOOKUP(U$1,test!$A$3:$F$32,5,FALSE) - VLOOKUP($B57,test!$A$3:$G$32,6,FALSE) &gt;= (test!$B$34)/1440),1,0)</f>
        <v>0</v>
      </c>
      <c r="V57" s="2">
        <f>IF(AND(VLOOKUP(V$1,test!$A$3:$F$32,5,FALSE) - VLOOKUP($B57,test!$A$3:$G$32,6,FALSE) &gt;= (test!$B$34)/1440),1,0)</f>
        <v>0</v>
      </c>
      <c r="W57" s="2">
        <f>IF(AND(VLOOKUP(W$1,test!$A$3:$F$32,5,FALSE) - VLOOKUP($B57,test!$A$3:$G$32,6,FALSE) &gt;= (test!$B$34)/1440),1,0)</f>
        <v>1</v>
      </c>
      <c r="X57" s="2">
        <f>IF(AND(VLOOKUP(X$1,test!$A$3:$F$32,5,FALSE) - VLOOKUP($B57,test!$A$3:$G$32,6,FALSE) &gt;= (test!$B$34)/1440),1,0)</f>
        <v>1</v>
      </c>
      <c r="Y57" s="2">
        <f>IF(AND(VLOOKUP(Y$1,test!$A$3:$F$32,5,FALSE) - VLOOKUP($B57,test!$A$3:$G$32,6,FALSE) &gt;= (test!$B$34)/1440),1,0)</f>
        <v>1</v>
      </c>
      <c r="Z57" s="2">
        <f>IF(AND(VLOOKUP(Z$1,test!$A$3:$F$32,5,FALSE) - VLOOKUP($B57,test!$A$3:$G$32,6,FALSE) &gt;= (test!$B$34)/1440),1,0)</f>
        <v>0</v>
      </c>
      <c r="AA57" s="2">
        <f>IF(AND(VLOOKUP(AA$1,test!$A$3:$F$32,5,FALSE) - VLOOKUP($B57,test!$A$3:$G$32,6,FALSE) &gt;= (test!$B$34)/1440),1,0)</f>
        <v>0</v>
      </c>
      <c r="AB57" s="2">
        <f>IF(AND(VLOOKUP(AB$1,test!$A$3:$F$32,5,FALSE) - VLOOKUP($B57,test!$A$3:$G$32,6,FALSE) &gt;= (test!$B$34)/1440),1,0)</f>
        <v>0</v>
      </c>
      <c r="AC57" s="2">
        <f>IF(AND(VLOOKUP(AC$1,test!$A$3:$F$32,5,FALSE) - VLOOKUP($B57,test!$A$3:$G$32,6,FALSE) &gt;= (test!$B$34)/1440),1,0)</f>
        <v>0</v>
      </c>
      <c r="AD57" s="2">
        <f>IF(AND(VLOOKUP(AD$1,test!$A$3:$F$32,5,FALSE) - VLOOKUP($B57,test!$A$3:$G$32,6,FALSE) &gt;= (test!$B$34)/1440),1,0)</f>
        <v>1</v>
      </c>
      <c r="AE57" s="2">
        <f>IF(AND(VLOOKUP(AE$1,test!$A$3:$F$32,5,FALSE) - VLOOKUP($B57,test!$A$3:$G$32,6,FALSE) &gt;= (test!$B$34)/1440),1,0)</f>
        <v>0</v>
      </c>
      <c r="AF57" s="2">
        <f>IF(AND(VLOOKUP(AF$1,test!$A$3:$F$32,5,FALSE) - VLOOKUP($B57,test!$A$3:$G$32,6,FALSE) &gt;= (test!$B$34)/1440),1,0)</f>
        <v>0</v>
      </c>
      <c r="AG57" s="2">
        <f>IF(AND(VLOOKUP(AG$1,test!$A$3:$F$32,5,FALSE) - VLOOKUP($B57,test!$A$3:$G$32,6,FALSE) &gt;= (test!$B$34)/1440),1,0)</f>
        <v>0</v>
      </c>
    </row>
    <row r="58" spans="1:33" x14ac:dyDescent="0.25">
      <c r="A58" t="s">
        <v>59</v>
      </c>
      <c r="B58" t="s">
        <v>36</v>
      </c>
      <c r="C58">
        <v>0</v>
      </c>
      <c r="D58" s="2">
        <f>IF(AND(VLOOKUP(D$1,test!$A$3:$F$32,5,FALSE) - VLOOKUP($B58,test!$A$3:$G$32,6,FALSE) &gt;= (test!$B$34)/1440),1,0)</f>
        <v>0</v>
      </c>
      <c r="E58" s="2">
        <f>IF(AND(VLOOKUP(E$1,test!$A$3:$F$32,5,FALSE) - VLOOKUP($B58,test!$A$3:$G$32,6,FALSE) &gt;= (test!$B$34)/1440),1,0)</f>
        <v>0</v>
      </c>
      <c r="F58" s="2">
        <f>IF(AND(VLOOKUP(F$1,test!$A$3:$F$32,5,FALSE) - VLOOKUP($B58,test!$A$3:$G$32,6,FALSE) &gt;= (test!$B$34)/1440),1,0)</f>
        <v>0</v>
      </c>
      <c r="G58" s="2">
        <f>IF(AND(VLOOKUP(G$1,test!$A$3:$F$32,5,FALSE) - VLOOKUP($B58,test!$A$3:$G$32,6,FALSE) &gt;= (test!$B$34)/1440),1,0)</f>
        <v>0</v>
      </c>
      <c r="H58" s="2">
        <f>IF(AND(VLOOKUP(H$1,test!$A$3:$F$32,5,FALSE) - VLOOKUP($B58,test!$A$3:$G$32,6,FALSE) &gt;= (test!$B$34)/1440),1,0)</f>
        <v>0</v>
      </c>
      <c r="I58" s="2">
        <f>IF(AND(VLOOKUP(I$1,test!$A$3:$F$32,5,FALSE) - VLOOKUP($B58,test!$A$3:$G$32,6,FALSE) &gt;= (test!$B$34)/1440),1,0)</f>
        <v>0</v>
      </c>
      <c r="J58" s="2">
        <f>IF(AND(VLOOKUP(J$1,test!$A$3:$F$32,5,FALSE) - VLOOKUP($B58,test!$A$3:$G$32,6,FALSE) &gt;= (test!$B$34)/1440),1,0)</f>
        <v>1</v>
      </c>
      <c r="K58" s="2">
        <f>IF(AND(VLOOKUP(K$1,test!$A$3:$F$32,5,FALSE) - VLOOKUP($B58,test!$A$3:$G$32,6,FALSE) &gt;= (test!$B$34)/1440),1,0)</f>
        <v>1</v>
      </c>
      <c r="L58" s="2">
        <f>IF(AND(VLOOKUP(L$1,test!$A$3:$F$32,5,FALSE) - VLOOKUP($B58,test!$A$3:$G$32,6,FALSE) &gt;= (test!$B$34)/1440),1,0)</f>
        <v>0</v>
      </c>
      <c r="M58" s="2">
        <f>IF(AND(VLOOKUP(M$1,test!$A$3:$F$32,5,FALSE) - VLOOKUP($B58,test!$A$3:$G$32,6,FALSE) &gt;= (test!$B$34)/1440),1,0)</f>
        <v>0</v>
      </c>
      <c r="N58" s="2">
        <f>IF(AND(VLOOKUP(N$1,test!$A$3:$F$32,5,FALSE) - VLOOKUP($B58,test!$A$3:$G$32,6,FALSE) &gt;= (test!$B$34)/1440),1,0)</f>
        <v>0</v>
      </c>
      <c r="O58" s="2">
        <f>IF(AND(VLOOKUP(O$1,test!$A$3:$F$32,5,FALSE) - VLOOKUP($B58,test!$A$3:$G$32,6,FALSE) &gt;= (test!$B$34)/1440),1,0)</f>
        <v>1</v>
      </c>
      <c r="P58" s="2">
        <f>IF(AND(VLOOKUP(P$1,test!$A$3:$F$32,5,FALSE) - VLOOKUP($B58,test!$A$3:$G$32,6,FALSE) &gt;= (test!$B$34)/1440),1,0)</f>
        <v>1</v>
      </c>
      <c r="Q58" s="2">
        <f>IF(AND(VLOOKUP(Q$1,test!$A$3:$F$32,5,FALSE) - VLOOKUP($B58,test!$A$3:$G$32,6,FALSE) &gt;= (test!$B$34)/1440),1,0)</f>
        <v>0</v>
      </c>
      <c r="R58" s="2">
        <f>IF(AND(VLOOKUP(R$1,test!$A$3:$F$32,5,FALSE) - VLOOKUP($B58,test!$A$3:$G$32,6,FALSE) &gt;= (test!$B$34)/1440),1,0)</f>
        <v>0</v>
      </c>
      <c r="S58" s="2">
        <f>IF(AND(VLOOKUP(S$1,test!$A$3:$F$32,5,FALSE) - VLOOKUP($B58,test!$A$3:$G$32,6,FALSE) &gt;= (test!$B$34)/1440),1,0)</f>
        <v>0</v>
      </c>
      <c r="T58" s="2">
        <f>IF(AND(VLOOKUP(T$1,test!$A$3:$F$32,5,FALSE) - VLOOKUP($B58,test!$A$3:$G$32,6,FALSE) &gt;= (test!$B$34)/1440),1,0)</f>
        <v>0</v>
      </c>
      <c r="U58" s="2">
        <f>IF(AND(VLOOKUP(U$1,test!$A$3:$F$32,5,FALSE) - VLOOKUP($B58,test!$A$3:$G$32,6,FALSE) &gt;= (test!$B$34)/1440),1,0)</f>
        <v>0</v>
      </c>
      <c r="V58" s="2">
        <f>IF(AND(VLOOKUP(V$1,test!$A$3:$F$32,5,FALSE) - VLOOKUP($B58,test!$A$3:$G$32,6,FALSE) &gt;= (test!$B$34)/1440),1,0)</f>
        <v>0</v>
      </c>
      <c r="W58" s="2">
        <f>IF(AND(VLOOKUP(W$1,test!$A$3:$F$32,5,FALSE) - VLOOKUP($B58,test!$A$3:$G$32,6,FALSE) &gt;= (test!$B$34)/1440),1,0)</f>
        <v>0</v>
      </c>
      <c r="X58" s="2">
        <f>IF(AND(VLOOKUP(X$1,test!$A$3:$F$32,5,FALSE) - VLOOKUP($B58,test!$A$3:$G$32,6,FALSE) &gt;= (test!$B$34)/1440),1,0)</f>
        <v>1</v>
      </c>
      <c r="Y58" s="2">
        <f>IF(AND(VLOOKUP(Y$1,test!$A$3:$F$32,5,FALSE) - VLOOKUP($B58,test!$A$3:$G$32,6,FALSE) &gt;= (test!$B$34)/1440),1,0)</f>
        <v>1</v>
      </c>
      <c r="Z58" s="2">
        <f>IF(AND(VLOOKUP(Z$1,test!$A$3:$F$32,5,FALSE) - VLOOKUP($B58,test!$A$3:$G$32,6,FALSE) &gt;= (test!$B$34)/1440),1,0)</f>
        <v>0</v>
      </c>
      <c r="AA58" s="2">
        <f>IF(AND(VLOOKUP(AA$1,test!$A$3:$F$32,5,FALSE) - VLOOKUP($B58,test!$A$3:$G$32,6,FALSE) &gt;= (test!$B$34)/1440),1,0)</f>
        <v>0</v>
      </c>
      <c r="AB58" s="2">
        <f>IF(AND(VLOOKUP(AB$1,test!$A$3:$F$32,5,FALSE) - VLOOKUP($B58,test!$A$3:$G$32,6,FALSE) &gt;= (test!$B$34)/1440),1,0)</f>
        <v>0</v>
      </c>
      <c r="AC58" s="2">
        <f>IF(AND(VLOOKUP(AC$1,test!$A$3:$F$32,5,FALSE) - VLOOKUP($B58,test!$A$3:$G$32,6,FALSE) &gt;= (test!$B$34)/1440),1,0)</f>
        <v>0</v>
      </c>
      <c r="AD58" s="2">
        <f>IF(AND(VLOOKUP(AD$1,test!$A$3:$F$32,5,FALSE) - VLOOKUP($B58,test!$A$3:$G$32,6,FALSE) &gt;= (test!$B$34)/1440),1,0)</f>
        <v>0</v>
      </c>
      <c r="AE58" s="2">
        <f>IF(AND(VLOOKUP(AE$1,test!$A$3:$F$32,5,FALSE) - VLOOKUP($B58,test!$A$3:$G$32,6,FALSE) &gt;= (test!$B$34)/1440),1,0)</f>
        <v>0</v>
      </c>
      <c r="AF58" s="2">
        <f>IF(AND(VLOOKUP(AF$1,test!$A$3:$F$32,5,FALSE) - VLOOKUP($B58,test!$A$3:$G$32,6,FALSE) &gt;= (test!$B$34)/1440),1,0)</f>
        <v>0</v>
      </c>
      <c r="AG58" s="2">
        <f>IF(AND(VLOOKUP(AG$1,test!$A$3:$F$32,5,FALSE) - VLOOKUP($B58,test!$A$3:$G$32,6,FALSE) &gt;= (test!$B$34)/1440),1,0)</f>
        <v>0</v>
      </c>
    </row>
    <row r="59" spans="1:33" x14ac:dyDescent="0.25">
      <c r="A59" t="s">
        <v>59</v>
      </c>
      <c r="B59" t="s">
        <v>37</v>
      </c>
      <c r="C59">
        <v>0</v>
      </c>
      <c r="D59" s="2">
        <f>IF(AND(VLOOKUP(D$1,test!$A$3:$F$32,5,FALSE) - VLOOKUP($B59,test!$A$3:$G$32,6,FALSE) &gt;= (test!$B$34)/1440),1,0)</f>
        <v>0</v>
      </c>
      <c r="E59" s="2">
        <f>IF(AND(VLOOKUP(E$1,test!$A$3:$F$32,5,FALSE) - VLOOKUP($B59,test!$A$3:$G$32,6,FALSE) &gt;= (test!$B$34)/1440),1,0)</f>
        <v>0</v>
      </c>
      <c r="F59" s="2">
        <f>IF(AND(VLOOKUP(F$1,test!$A$3:$F$32,5,FALSE) - VLOOKUP($B59,test!$A$3:$G$32,6,FALSE) &gt;= (test!$B$34)/1440),1,0)</f>
        <v>0</v>
      </c>
      <c r="G59" s="2">
        <f>IF(AND(VLOOKUP(G$1,test!$A$3:$F$32,5,FALSE) - VLOOKUP($B59,test!$A$3:$G$32,6,FALSE) &gt;= (test!$B$34)/1440),1,0)</f>
        <v>0</v>
      </c>
      <c r="H59" s="2">
        <f>IF(AND(VLOOKUP(H$1,test!$A$3:$F$32,5,FALSE) - VLOOKUP($B59,test!$A$3:$G$32,6,FALSE) &gt;= (test!$B$34)/1440),1,0)</f>
        <v>0</v>
      </c>
      <c r="I59" s="2">
        <f>IF(AND(VLOOKUP(I$1,test!$A$3:$F$32,5,FALSE) - VLOOKUP($B59,test!$A$3:$G$32,6,FALSE) &gt;= (test!$B$34)/1440),1,0)</f>
        <v>0</v>
      </c>
      <c r="J59" s="2">
        <f>IF(AND(VLOOKUP(J$1,test!$A$3:$F$32,5,FALSE) - VLOOKUP($B59,test!$A$3:$G$32,6,FALSE) &gt;= (test!$B$34)/1440),1,0)</f>
        <v>0</v>
      </c>
      <c r="K59" s="2">
        <f>IF(AND(VLOOKUP(K$1,test!$A$3:$F$32,5,FALSE) - VLOOKUP($B59,test!$A$3:$G$32,6,FALSE) &gt;= (test!$B$34)/1440),1,0)</f>
        <v>1</v>
      </c>
      <c r="L59" s="2">
        <f>IF(AND(VLOOKUP(L$1,test!$A$3:$F$32,5,FALSE) - VLOOKUP($B59,test!$A$3:$G$32,6,FALSE) &gt;= (test!$B$34)/1440),1,0)</f>
        <v>0</v>
      </c>
      <c r="M59" s="2">
        <f>IF(AND(VLOOKUP(M$1,test!$A$3:$F$32,5,FALSE) - VLOOKUP($B59,test!$A$3:$G$32,6,FALSE) &gt;= (test!$B$34)/1440),1,0)</f>
        <v>0</v>
      </c>
      <c r="N59" s="2">
        <f>IF(AND(VLOOKUP(N$1,test!$A$3:$F$32,5,FALSE) - VLOOKUP($B59,test!$A$3:$G$32,6,FALSE) &gt;= (test!$B$34)/1440),1,0)</f>
        <v>0</v>
      </c>
      <c r="O59" s="2">
        <f>IF(AND(VLOOKUP(O$1,test!$A$3:$F$32,5,FALSE) - VLOOKUP($B59,test!$A$3:$G$32,6,FALSE) &gt;= (test!$B$34)/1440),1,0)</f>
        <v>1</v>
      </c>
      <c r="P59" s="2">
        <f>IF(AND(VLOOKUP(P$1,test!$A$3:$F$32,5,FALSE) - VLOOKUP($B59,test!$A$3:$G$32,6,FALSE) &gt;= (test!$B$34)/1440),1,0)</f>
        <v>1</v>
      </c>
      <c r="Q59" s="2">
        <f>IF(AND(VLOOKUP(Q$1,test!$A$3:$F$32,5,FALSE) - VLOOKUP($B59,test!$A$3:$G$32,6,FALSE) &gt;= (test!$B$34)/1440),1,0)</f>
        <v>0</v>
      </c>
      <c r="R59" s="2">
        <f>IF(AND(VLOOKUP(R$1,test!$A$3:$F$32,5,FALSE) - VLOOKUP($B59,test!$A$3:$G$32,6,FALSE) &gt;= (test!$B$34)/1440),1,0)</f>
        <v>0</v>
      </c>
      <c r="S59" s="2">
        <f>IF(AND(VLOOKUP(S$1,test!$A$3:$F$32,5,FALSE) - VLOOKUP($B59,test!$A$3:$G$32,6,FALSE) &gt;= (test!$B$34)/1440),1,0)</f>
        <v>0</v>
      </c>
      <c r="T59" s="2">
        <f>IF(AND(VLOOKUP(T$1,test!$A$3:$F$32,5,FALSE) - VLOOKUP($B59,test!$A$3:$G$32,6,FALSE) &gt;= (test!$B$34)/1440),1,0)</f>
        <v>0</v>
      </c>
      <c r="U59" s="2">
        <f>IF(AND(VLOOKUP(U$1,test!$A$3:$F$32,5,FALSE) - VLOOKUP($B59,test!$A$3:$G$32,6,FALSE) &gt;= (test!$B$34)/1440),1,0)</f>
        <v>0</v>
      </c>
      <c r="V59" s="2">
        <f>IF(AND(VLOOKUP(V$1,test!$A$3:$F$32,5,FALSE) - VLOOKUP($B59,test!$A$3:$G$32,6,FALSE) &gt;= (test!$B$34)/1440),1,0)</f>
        <v>0</v>
      </c>
      <c r="W59" s="2">
        <f>IF(AND(VLOOKUP(W$1,test!$A$3:$F$32,5,FALSE) - VLOOKUP($B59,test!$A$3:$G$32,6,FALSE) &gt;= (test!$B$34)/1440),1,0)</f>
        <v>0</v>
      </c>
      <c r="X59" s="2">
        <f>IF(AND(VLOOKUP(X$1,test!$A$3:$F$32,5,FALSE) - VLOOKUP($B59,test!$A$3:$G$32,6,FALSE) &gt;= (test!$B$34)/1440),1,0)</f>
        <v>0</v>
      </c>
      <c r="Y59" s="2">
        <f>IF(AND(VLOOKUP(Y$1,test!$A$3:$F$32,5,FALSE) - VLOOKUP($B59,test!$A$3:$G$32,6,FALSE) &gt;= (test!$B$34)/1440),1,0)</f>
        <v>1</v>
      </c>
      <c r="Z59" s="2">
        <f>IF(AND(VLOOKUP(Z$1,test!$A$3:$F$32,5,FALSE) - VLOOKUP($B59,test!$A$3:$G$32,6,FALSE) &gt;= (test!$B$34)/1440),1,0)</f>
        <v>0</v>
      </c>
      <c r="AA59" s="2">
        <f>IF(AND(VLOOKUP(AA$1,test!$A$3:$F$32,5,FALSE) - VLOOKUP($B59,test!$A$3:$G$32,6,FALSE) &gt;= (test!$B$34)/1440),1,0)</f>
        <v>0</v>
      </c>
      <c r="AB59" s="2">
        <f>IF(AND(VLOOKUP(AB$1,test!$A$3:$F$32,5,FALSE) - VLOOKUP($B59,test!$A$3:$G$32,6,FALSE) &gt;= (test!$B$34)/1440),1,0)</f>
        <v>0</v>
      </c>
      <c r="AC59" s="2">
        <f>IF(AND(VLOOKUP(AC$1,test!$A$3:$F$32,5,FALSE) - VLOOKUP($B59,test!$A$3:$G$32,6,FALSE) &gt;= (test!$B$34)/1440),1,0)</f>
        <v>0</v>
      </c>
      <c r="AD59" s="2">
        <f>IF(AND(VLOOKUP(AD$1,test!$A$3:$F$32,5,FALSE) - VLOOKUP($B59,test!$A$3:$G$32,6,FALSE) &gt;= (test!$B$34)/1440),1,0)</f>
        <v>0</v>
      </c>
      <c r="AE59" s="2">
        <f>IF(AND(VLOOKUP(AE$1,test!$A$3:$F$32,5,FALSE) - VLOOKUP($B59,test!$A$3:$G$32,6,FALSE) &gt;= (test!$B$34)/1440),1,0)</f>
        <v>0</v>
      </c>
      <c r="AF59" s="2">
        <f>IF(AND(VLOOKUP(AF$1,test!$A$3:$F$32,5,FALSE) - VLOOKUP($B59,test!$A$3:$G$32,6,FALSE) &gt;= (test!$B$34)/1440),1,0)</f>
        <v>0</v>
      </c>
      <c r="AG59" s="2">
        <f>IF(AND(VLOOKUP(AG$1,test!$A$3:$F$32,5,FALSE) - VLOOKUP($B59,test!$A$3:$G$32,6,FALSE) &gt;= (test!$B$34)/1440),1,0)</f>
        <v>0</v>
      </c>
    </row>
    <row r="60" spans="1:33" x14ac:dyDescent="0.25">
      <c r="A60" t="s">
        <v>59</v>
      </c>
      <c r="B60" t="s">
        <v>38</v>
      </c>
      <c r="C60">
        <v>0</v>
      </c>
      <c r="D60" s="2">
        <f>IF(AND(VLOOKUP(D$1,test!$A$3:$F$32,5,FALSE) - VLOOKUP($B60,test!$A$3:$G$32,6,FALSE) &gt;= (test!$B$34)/1440),1,0)</f>
        <v>0</v>
      </c>
      <c r="E60" s="2">
        <f>IF(AND(VLOOKUP(E$1,test!$A$3:$F$32,5,FALSE) - VLOOKUP($B60,test!$A$3:$G$32,6,FALSE) &gt;= (test!$B$34)/1440),1,0)</f>
        <v>0</v>
      </c>
      <c r="F60" s="2">
        <f>IF(AND(VLOOKUP(F$1,test!$A$3:$F$32,5,FALSE) - VLOOKUP($B60,test!$A$3:$G$32,6,FALSE) &gt;= (test!$B$34)/1440),1,0)</f>
        <v>0</v>
      </c>
      <c r="G60" s="2">
        <f>IF(AND(VLOOKUP(G$1,test!$A$3:$F$32,5,FALSE) - VLOOKUP($B60,test!$A$3:$G$32,6,FALSE) &gt;= (test!$B$34)/1440),1,0)</f>
        <v>0</v>
      </c>
      <c r="H60" s="2">
        <f>IF(AND(VLOOKUP(H$1,test!$A$3:$F$32,5,FALSE) - VLOOKUP($B60,test!$A$3:$G$32,6,FALSE) &gt;= (test!$B$34)/1440),1,0)</f>
        <v>0</v>
      </c>
      <c r="I60" s="2">
        <f>IF(AND(VLOOKUP(I$1,test!$A$3:$F$32,5,FALSE) - VLOOKUP($B60,test!$A$3:$G$32,6,FALSE) &gt;= (test!$B$34)/1440),1,0)</f>
        <v>0</v>
      </c>
      <c r="J60" s="2">
        <f>IF(AND(VLOOKUP(J$1,test!$A$3:$F$32,5,FALSE) - VLOOKUP($B60,test!$A$3:$G$32,6,FALSE) &gt;= (test!$B$34)/1440),1,0)</f>
        <v>0</v>
      </c>
      <c r="K60" s="2">
        <f>IF(AND(VLOOKUP(K$1,test!$A$3:$F$32,5,FALSE) - VLOOKUP($B60,test!$A$3:$G$32,6,FALSE) &gt;= (test!$B$34)/1440),1,0)</f>
        <v>0</v>
      </c>
      <c r="L60" s="2">
        <f>IF(AND(VLOOKUP(L$1,test!$A$3:$F$32,5,FALSE) - VLOOKUP($B60,test!$A$3:$G$32,6,FALSE) &gt;= (test!$B$34)/1440),1,0)</f>
        <v>0</v>
      </c>
      <c r="M60" s="2">
        <f>IF(AND(VLOOKUP(M$1,test!$A$3:$F$32,5,FALSE) - VLOOKUP($B60,test!$A$3:$G$32,6,FALSE) &gt;= (test!$B$34)/1440),1,0)</f>
        <v>0</v>
      </c>
      <c r="N60" s="2">
        <f>IF(AND(VLOOKUP(N$1,test!$A$3:$F$32,5,FALSE) - VLOOKUP($B60,test!$A$3:$G$32,6,FALSE) &gt;= (test!$B$34)/1440),1,0)</f>
        <v>0</v>
      </c>
      <c r="O60" s="2">
        <f>IF(AND(VLOOKUP(O$1,test!$A$3:$F$32,5,FALSE) - VLOOKUP($B60,test!$A$3:$G$32,6,FALSE) &gt;= (test!$B$34)/1440),1,0)</f>
        <v>0</v>
      </c>
      <c r="P60" s="2">
        <f>IF(AND(VLOOKUP(P$1,test!$A$3:$F$32,5,FALSE) - VLOOKUP($B60,test!$A$3:$G$32,6,FALSE) &gt;= (test!$B$34)/1440),1,0)</f>
        <v>0</v>
      </c>
      <c r="Q60" s="2">
        <f>IF(AND(VLOOKUP(Q$1,test!$A$3:$F$32,5,FALSE) - VLOOKUP($B60,test!$A$3:$G$32,6,FALSE) &gt;= (test!$B$34)/1440),1,0)</f>
        <v>0</v>
      </c>
      <c r="R60" s="2">
        <f>IF(AND(VLOOKUP(R$1,test!$A$3:$F$32,5,FALSE) - VLOOKUP($B60,test!$A$3:$G$32,6,FALSE) &gt;= (test!$B$34)/1440),1,0)</f>
        <v>0</v>
      </c>
      <c r="S60" s="2">
        <f>IF(AND(VLOOKUP(S$1,test!$A$3:$F$32,5,FALSE) - VLOOKUP($B60,test!$A$3:$G$32,6,FALSE) &gt;= (test!$B$34)/1440),1,0)</f>
        <v>0</v>
      </c>
      <c r="T60" s="2">
        <f>IF(AND(VLOOKUP(T$1,test!$A$3:$F$32,5,FALSE) - VLOOKUP($B60,test!$A$3:$G$32,6,FALSE) &gt;= (test!$B$34)/1440),1,0)</f>
        <v>0</v>
      </c>
      <c r="U60" s="2">
        <f>IF(AND(VLOOKUP(U$1,test!$A$3:$F$32,5,FALSE) - VLOOKUP($B60,test!$A$3:$G$32,6,FALSE) &gt;= (test!$B$34)/1440),1,0)</f>
        <v>0</v>
      </c>
      <c r="V60" s="2">
        <f>IF(AND(VLOOKUP(V$1,test!$A$3:$F$32,5,FALSE) - VLOOKUP($B60,test!$A$3:$G$32,6,FALSE) &gt;= (test!$B$34)/1440),1,0)</f>
        <v>0</v>
      </c>
      <c r="W60" s="2">
        <f>IF(AND(VLOOKUP(W$1,test!$A$3:$F$32,5,FALSE) - VLOOKUP($B60,test!$A$3:$G$32,6,FALSE) &gt;= (test!$B$34)/1440),1,0)</f>
        <v>0</v>
      </c>
      <c r="X60" s="2">
        <f>IF(AND(VLOOKUP(X$1,test!$A$3:$F$32,5,FALSE) - VLOOKUP($B60,test!$A$3:$G$32,6,FALSE) &gt;= (test!$B$34)/1440),1,0)</f>
        <v>0</v>
      </c>
      <c r="Y60" s="2">
        <f>IF(AND(VLOOKUP(Y$1,test!$A$3:$F$32,5,FALSE) - VLOOKUP($B60,test!$A$3:$G$32,6,FALSE) &gt;= (test!$B$34)/1440),1,0)</f>
        <v>0</v>
      </c>
      <c r="Z60" s="2">
        <f>IF(AND(VLOOKUP(Z$1,test!$A$3:$F$32,5,FALSE) - VLOOKUP($B60,test!$A$3:$G$32,6,FALSE) &gt;= (test!$B$34)/1440),1,0)</f>
        <v>0</v>
      </c>
      <c r="AA60" s="2">
        <f>IF(AND(VLOOKUP(AA$1,test!$A$3:$F$32,5,FALSE) - VLOOKUP($B60,test!$A$3:$G$32,6,FALSE) &gt;= (test!$B$34)/1440),1,0)</f>
        <v>0</v>
      </c>
      <c r="AB60" s="2">
        <f>IF(AND(VLOOKUP(AB$1,test!$A$3:$F$32,5,FALSE) - VLOOKUP($B60,test!$A$3:$G$32,6,FALSE) &gt;= (test!$B$34)/1440),1,0)</f>
        <v>0</v>
      </c>
      <c r="AC60" s="2">
        <f>IF(AND(VLOOKUP(AC$1,test!$A$3:$F$32,5,FALSE) - VLOOKUP($B60,test!$A$3:$G$32,6,FALSE) &gt;= (test!$B$34)/1440),1,0)</f>
        <v>0</v>
      </c>
      <c r="AD60" s="2">
        <f>IF(AND(VLOOKUP(AD$1,test!$A$3:$F$32,5,FALSE) - VLOOKUP($B60,test!$A$3:$G$32,6,FALSE) &gt;= (test!$B$34)/1440),1,0)</f>
        <v>0</v>
      </c>
      <c r="AE60" s="2">
        <f>IF(AND(VLOOKUP(AE$1,test!$A$3:$F$32,5,FALSE) - VLOOKUP($B60,test!$A$3:$G$32,6,FALSE) &gt;= (test!$B$34)/1440),1,0)</f>
        <v>0</v>
      </c>
      <c r="AF60" s="2">
        <f>IF(AND(VLOOKUP(AF$1,test!$A$3:$F$32,5,FALSE) - VLOOKUP($B60,test!$A$3:$G$32,6,FALSE) &gt;= (test!$B$34)/1440),1,0)</f>
        <v>0</v>
      </c>
      <c r="AG60" s="2">
        <f>IF(AND(VLOOKUP(AG$1,test!$A$3:$F$32,5,FALSE) - VLOOKUP($B60,test!$A$3:$G$32,6,FALSE) &gt;= (test!$B$34)/1440),1,0)</f>
        <v>0</v>
      </c>
    </row>
    <row r="61" spans="1:33" x14ac:dyDescent="0.25">
      <c r="A61" t="s">
        <v>59</v>
      </c>
      <c r="B61" t="s">
        <v>39</v>
      </c>
      <c r="C61">
        <v>0</v>
      </c>
      <c r="D61" s="2">
        <f>IF(AND(VLOOKUP(D$1,test!$A$3:$F$32,5,FALSE) - VLOOKUP($B61,test!$A$3:$G$32,6,FALSE) &gt;= (test!$B$34)/1440),1,0)</f>
        <v>0</v>
      </c>
      <c r="E61" s="2">
        <f>IF(AND(VLOOKUP(E$1,test!$A$3:$F$32,5,FALSE) - VLOOKUP($B61,test!$A$3:$G$32,6,FALSE) &gt;= (test!$B$34)/1440),1,0)</f>
        <v>0</v>
      </c>
      <c r="F61" s="2">
        <f>IF(AND(VLOOKUP(F$1,test!$A$3:$F$32,5,FALSE) - VLOOKUP($B61,test!$A$3:$G$32,6,FALSE) &gt;= (test!$B$34)/1440),1,0)</f>
        <v>1</v>
      </c>
      <c r="G61" s="2">
        <f>IF(AND(VLOOKUP(G$1,test!$A$3:$F$32,5,FALSE) - VLOOKUP($B61,test!$A$3:$G$32,6,FALSE) &gt;= (test!$B$34)/1440),1,0)</f>
        <v>1</v>
      </c>
      <c r="H61" s="2">
        <f>IF(AND(VLOOKUP(H$1,test!$A$3:$F$32,5,FALSE) - VLOOKUP($B61,test!$A$3:$G$32,6,FALSE) &gt;= (test!$B$34)/1440),1,0)</f>
        <v>1</v>
      </c>
      <c r="I61" s="2">
        <f>IF(AND(VLOOKUP(I$1,test!$A$3:$F$32,5,FALSE) - VLOOKUP($B61,test!$A$3:$G$32,6,FALSE) &gt;= (test!$B$34)/1440),1,0)</f>
        <v>1</v>
      </c>
      <c r="J61" s="2">
        <f>IF(AND(VLOOKUP(J$1,test!$A$3:$F$32,5,FALSE) - VLOOKUP($B61,test!$A$3:$G$32,6,FALSE) &gt;= (test!$B$34)/1440),1,0)</f>
        <v>1</v>
      </c>
      <c r="K61" s="2">
        <f>IF(AND(VLOOKUP(K$1,test!$A$3:$F$32,5,FALSE) - VLOOKUP($B61,test!$A$3:$G$32,6,FALSE) &gt;= (test!$B$34)/1440),1,0)</f>
        <v>1</v>
      </c>
      <c r="L61" s="2">
        <f>IF(AND(VLOOKUP(L$1,test!$A$3:$F$32,5,FALSE) - VLOOKUP($B61,test!$A$3:$G$32,6,FALSE) &gt;= (test!$B$34)/1440),1,0)</f>
        <v>0</v>
      </c>
      <c r="M61" s="2">
        <f>IF(AND(VLOOKUP(M$1,test!$A$3:$F$32,5,FALSE) - VLOOKUP($B61,test!$A$3:$G$32,6,FALSE) &gt;= (test!$B$34)/1440),1,0)</f>
        <v>0</v>
      </c>
      <c r="N61" s="2">
        <f>IF(AND(VLOOKUP(N$1,test!$A$3:$F$32,5,FALSE) - VLOOKUP($B61,test!$A$3:$G$32,6,FALSE) &gt;= (test!$B$34)/1440),1,0)</f>
        <v>1</v>
      </c>
      <c r="O61" s="2">
        <f>IF(AND(VLOOKUP(O$1,test!$A$3:$F$32,5,FALSE) - VLOOKUP($B61,test!$A$3:$G$32,6,FALSE) &gt;= (test!$B$34)/1440),1,0)</f>
        <v>1</v>
      </c>
      <c r="P61" s="2">
        <f>IF(AND(VLOOKUP(P$1,test!$A$3:$F$32,5,FALSE) - VLOOKUP($B61,test!$A$3:$G$32,6,FALSE) &gt;= (test!$B$34)/1440),1,0)</f>
        <v>1</v>
      </c>
      <c r="Q61" s="2">
        <f>IF(AND(VLOOKUP(Q$1,test!$A$3:$F$32,5,FALSE) - VLOOKUP($B61,test!$A$3:$G$32,6,FALSE) &gt;= (test!$B$34)/1440),1,0)</f>
        <v>0</v>
      </c>
      <c r="R61" s="2">
        <f>IF(AND(VLOOKUP(R$1,test!$A$3:$F$32,5,FALSE) - VLOOKUP($B61,test!$A$3:$G$32,6,FALSE) &gt;= (test!$B$34)/1440),1,0)</f>
        <v>0</v>
      </c>
      <c r="S61" s="2">
        <f>IF(AND(VLOOKUP(S$1,test!$A$3:$F$32,5,FALSE) - VLOOKUP($B61,test!$A$3:$G$32,6,FALSE) &gt;= (test!$B$34)/1440),1,0)</f>
        <v>0</v>
      </c>
      <c r="T61" s="2">
        <f>IF(AND(VLOOKUP(T$1,test!$A$3:$F$32,5,FALSE) - VLOOKUP($B61,test!$A$3:$G$32,6,FALSE) &gt;= (test!$B$34)/1440),1,0)</f>
        <v>0</v>
      </c>
      <c r="U61" s="2">
        <f>IF(AND(VLOOKUP(U$1,test!$A$3:$F$32,5,FALSE) - VLOOKUP($B61,test!$A$3:$G$32,6,FALSE) &gt;= (test!$B$34)/1440),1,0)</f>
        <v>1</v>
      </c>
      <c r="V61" s="2">
        <f>IF(AND(VLOOKUP(V$1,test!$A$3:$F$32,5,FALSE) - VLOOKUP($B61,test!$A$3:$G$32,6,FALSE) &gt;= (test!$B$34)/1440),1,0)</f>
        <v>1</v>
      </c>
      <c r="W61" s="2">
        <f>IF(AND(VLOOKUP(W$1,test!$A$3:$F$32,5,FALSE) - VLOOKUP($B61,test!$A$3:$G$32,6,FALSE) &gt;= (test!$B$34)/1440),1,0)</f>
        <v>1</v>
      </c>
      <c r="X61" s="2">
        <f>IF(AND(VLOOKUP(X$1,test!$A$3:$F$32,5,FALSE) - VLOOKUP($B61,test!$A$3:$G$32,6,FALSE) &gt;= (test!$B$34)/1440),1,0)</f>
        <v>1</v>
      </c>
      <c r="Y61" s="2">
        <f>IF(AND(VLOOKUP(Y$1,test!$A$3:$F$32,5,FALSE) - VLOOKUP($B61,test!$A$3:$G$32,6,FALSE) &gt;= (test!$B$34)/1440),1,0)</f>
        <v>1</v>
      </c>
      <c r="Z61" s="2">
        <f>IF(AND(VLOOKUP(Z$1,test!$A$3:$F$32,5,FALSE) - VLOOKUP($B61,test!$A$3:$G$32,6,FALSE) &gt;= (test!$B$34)/1440),1,0)</f>
        <v>0</v>
      </c>
      <c r="AA61" s="2">
        <f>IF(AND(VLOOKUP(AA$1,test!$A$3:$F$32,5,FALSE) - VLOOKUP($B61,test!$A$3:$G$32,6,FALSE) &gt;= (test!$B$34)/1440),1,0)</f>
        <v>0</v>
      </c>
      <c r="AB61" s="2">
        <f>IF(AND(VLOOKUP(AB$1,test!$A$3:$F$32,5,FALSE) - VLOOKUP($B61,test!$A$3:$G$32,6,FALSE) &gt;= (test!$B$34)/1440),1,0)</f>
        <v>1</v>
      </c>
      <c r="AC61" s="2">
        <f>IF(AND(VLOOKUP(AC$1,test!$A$3:$F$32,5,FALSE) - VLOOKUP($B61,test!$A$3:$G$32,6,FALSE) &gt;= (test!$B$34)/1440),1,0)</f>
        <v>1</v>
      </c>
      <c r="AD61" s="2">
        <f>IF(AND(VLOOKUP(AD$1,test!$A$3:$F$32,5,FALSE) - VLOOKUP($B61,test!$A$3:$G$32,6,FALSE) &gt;= (test!$B$34)/1440),1,0)</f>
        <v>1</v>
      </c>
      <c r="AE61" s="2">
        <f>IF(AND(VLOOKUP(AE$1,test!$A$3:$F$32,5,FALSE) - VLOOKUP($B61,test!$A$3:$G$32,6,FALSE) &gt;= (test!$B$34)/1440),1,0)</f>
        <v>0</v>
      </c>
      <c r="AF61" s="2">
        <f>IF(AND(VLOOKUP(AF$1,test!$A$3:$F$32,5,FALSE) - VLOOKUP($B61,test!$A$3:$G$32,6,FALSE) &gt;= (test!$B$34)/1440),1,0)</f>
        <v>1</v>
      </c>
      <c r="AG61" s="2">
        <f>IF(AND(VLOOKUP(AG$1,test!$A$3:$F$32,5,FALSE) - VLOOKUP($B61,test!$A$3:$G$32,6,FALSE) &gt;= (test!$B$34)/1440),1,0)</f>
        <v>1</v>
      </c>
    </row>
    <row r="62" spans="1:33" x14ac:dyDescent="0.25">
      <c r="A62" t="s">
        <v>59</v>
      </c>
      <c r="B62" t="s">
        <v>40</v>
      </c>
      <c r="C62">
        <v>0</v>
      </c>
      <c r="D62" s="2">
        <f>IF(AND(VLOOKUP(D$1,test!$A$3:$F$32,5,FALSE) - VLOOKUP($B62,test!$A$3:$G$32,6,FALSE) &gt;= (test!$B$34)/1440),1,0)</f>
        <v>0</v>
      </c>
      <c r="E62" s="2">
        <f>IF(AND(VLOOKUP(E$1,test!$A$3:$F$32,5,FALSE) - VLOOKUP($B62,test!$A$3:$G$32,6,FALSE) &gt;= (test!$B$34)/1440),1,0)</f>
        <v>0</v>
      </c>
      <c r="F62" s="2">
        <f>IF(AND(VLOOKUP(F$1,test!$A$3:$F$32,5,FALSE) - VLOOKUP($B62,test!$A$3:$G$32,6,FALSE) &gt;= (test!$B$34)/1440),1,0)</f>
        <v>0</v>
      </c>
      <c r="G62" s="2">
        <f>IF(AND(VLOOKUP(G$1,test!$A$3:$F$32,5,FALSE) - VLOOKUP($B62,test!$A$3:$G$32,6,FALSE) &gt;= (test!$B$34)/1440),1,0)</f>
        <v>0</v>
      </c>
      <c r="H62" s="2">
        <f>IF(AND(VLOOKUP(H$1,test!$A$3:$F$32,5,FALSE) - VLOOKUP($B62,test!$A$3:$G$32,6,FALSE) &gt;= (test!$B$34)/1440),1,0)</f>
        <v>0</v>
      </c>
      <c r="I62" s="2">
        <f>IF(AND(VLOOKUP(I$1,test!$A$3:$F$32,5,FALSE) - VLOOKUP($B62,test!$A$3:$G$32,6,FALSE) &gt;= (test!$B$34)/1440),1,0)</f>
        <v>0</v>
      </c>
      <c r="J62" s="2">
        <f>IF(AND(VLOOKUP(J$1,test!$A$3:$F$32,5,FALSE) - VLOOKUP($B62,test!$A$3:$G$32,6,FALSE) &gt;= (test!$B$34)/1440),1,0)</f>
        <v>0</v>
      </c>
      <c r="K62" s="2">
        <f>IF(AND(VLOOKUP(K$1,test!$A$3:$F$32,5,FALSE) - VLOOKUP($B62,test!$A$3:$G$32,6,FALSE) &gt;= (test!$B$34)/1440),1,0)</f>
        <v>1</v>
      </c>
      <c r="L62" s="2">
        <f>IF(AND(VLOOKUP(L$1,test!$A$3:$F$32,5,FALSE) - VLOOKUP($B62,test!$A$3:$G$32,6,FALSE) &gt;= (test!$B$34)/1440),1,0)</f>
        <v>0</v>
      </c>
      <c r="M62" s="2">
        <f>IF(AND(VLOOKUP(M$1,test!$A$3:$F$32,5,FALSE) - VLOOKUP($B62,test!$A$3:$G$32,6,FALSE) &gt;= (test!$B$34)/1440),1,0)</f>
        <v>0</v>
      </c>
      <c r="N62" s="2">
        <f>IF(AND(VLOOKUP(N$1,test!$A$3:$F$32,5,FALSE) - VLOOKUP($B62,test!$A$3:$G$32,6,FALSE) &gt;= (test!$B$34)/1440),1,0)</f>
        <v>0</v>
      </c>
      <c r="O62" s="2">
        <f>IF(AND(VLOOKUP(O$1,test!$A$3:$F$32,5,FALSE) - VLOOKUP($B62,test!$A$3:$G$32,6,FALSE) &gt;= (test!$B$34)/1440),1,0)</f>
        <v>1</v>
      </c>
      <c r="P62" s="2">
        <f>IF(AND(VLOOKUP(P$1,test!$A$3:$F$32,5,FALSE) - VLOOKUP($B62,test!$A$3:$G$32,6,FALSE) &gt;= (test!$B$34)/1440),1,0)</f>
        <v>1</v>
      </c>
      <c r="Q62" s="2">
        <f>IF(AND(VLOOKUP(Q$1,test!$A$3:$F$32,5,FALSE) - VLOOKUP($B62,test!$A$3:$G$32,6,FALSE) &gt;= (test!$B$34)/1440),1,0)</f>
        <v>0</v>
      </c>
      <c r="R62" s="2">
        <f>IF(AND(VLOOKUP(R$1,test!$A$3:$F$32,5,FALSE) - VLOOKUP($B62,test!$A$3:$G$32,6,FALSE) &gt;= (test!$B$34)/1440),1,0)</f>
        <v>0</v>
      </c>
      <c r="S62" s="2">
        <f>IF(AND(VLOOKUP(S$1,test!$A$3:$F$32,5,FALSE) - VLOOKUP($B62,test!$A$3:$G$32,6,FALSE) &gt;= (test!$B$34)/1440),1,0)</f>
        <v>0</v>
      </c>
      <c r="T62" s="2">
        <f>IF(AND(VLOOKUP(T$1,test!$A$3:$F$32,5,FALSE) - VLOOKUP($B62,test!$A$3:$G$32,6,FALSE) &gt;= (test!$B$34)/1440),1,0)</f>
        <v>0</v>
      </c>
      <c r="U62" s="2">
        <f>IF(AND(VLOOKUP(U$1,test!$A$3:$F$32,5,FALSE) - VLOOKUP($B62,test!$A$3:$G$32,6,FALSE) &gt;= (test!$B$34)/1440),1,0)</f>
        <v>0</v>
      </c>
      <c r="V62" s="2">
        <f>IF(AND(VLOOKUP(V$1,test!$A$3:$F$32,5,FALSE) - VLOOKUP($B62,test!$A$3:$G$32,6,FALSE) &gt;= (test!$B$34)/1440),1,0)</f>
        <v>0</v>
      </c>
      <c r="W62" s="2">
        <f>IF(AND(VLOOKUP(W$1,test!$A$3:$F$32,5,FALSE) - VLOOKUP($B62,test!$A$3:$G$32,6,FALSE) &gt;= (test!$B$34)/1440),1,0)</f>
        <v>0</v>
      </c>
      <c r="X62" s="2">
        <f>IF(AND(VLOOKUP(X$1,test!$A$3:$F$32,5,FALSE) - VLOOKUP($B62,test!$A$3:$G$32,6,FALSE) &gt;= (test!$B$34)/1440),1,0)</f>
        <v>0</v>
      </c>
      <c r="Y62" s="2">
        <f>IF(AND(VLOOKUP(Y$1,test!$A$3:$F$32,5,FALSE) - VLOOKUP($B62,test!$A$3:$G$32,6,FALSE) &gt;= (test!$B$34)/1440),1,0)</f>
        <v>0</v>
      </c>
      <c r="Z62" s="2">
        <f>IF(AND(VLOOKUP(Z$1,test!$A$3:$F$32,5,FALSE) - VLOOKUP($B62,test!$A$3:$G$32,6,FALSE) &gt;= (test!$B$34)/1440),1,0)</f>
        <v>0</v>
      </c>
      <c r="AA62" s="2">
        <f>IF(AND(VLOOKUP(AA$1,test!$A$3:$F$32,5,FALSE) - VLOOKUP($B62,test!$A$3:$G$32,6,FALSE) &gt;= (test!$B$34)/1440),1,0)</f>
        <v>0</v>
      </c>
      <c r="AB62" s="2">
        <f>IF(AND(VLOOKUP(AB$1,test!$A$3:$F$32,5,FALSE) - VLOOKUP($B62,test!$A$3:$G$32,6,FALSE) &gt;= (test!$B$34)/1440),1,0)</f>
        <v>0</v>
      </c>
      <c r="AC62" s="2">
        <f>IF(AND(VLOOKUP(AC$1,test!$A$3:$F$32,5,FALSE) - VLOOKUP($B62,test!$A$3:$G$32,6,FALSE) &gt;= (test!$B$34)/1440),1,0)</f>
        <v>0</v>
      </c>
      <c r="AD62" s="2">
        <f>IF(AND(VLOOKUP(AD$1,test!$A$3:$F$32,5,FALSE) - VLOOKUP($B62,test!$A$3:$G$32,6,FALSE) &gt;= (test!$B$34)/1440),1,0)</f>
        <v>0</v>
      </c>
      <c r="AE62" s="2">
        <f>IF(AND(VLOOKUP(AE$1,test!$A$3:$F$32,5,FALSE) - VLOOKUP($B62,test!$A$3:$G$32,6,FALSE) &gt;= (test!$B$34)/1440),1,0)</f>
        <v>0</v>
      </c>
      <c r="AF62" s="2">
        <f>IF(AND(VLOOKUP(AF$1,test!$A$3:$F$32,5,FALSE) - VLOOKUP($B62,test!$A$3:$G$32,6,FALSE) &gt;= (test!$B$34)/1440),1,0)</f>
        <v>0</v>
      </c>
      <c r="AG62" s="2">
        <f>IF(AND(VLOOKUP(AG$1,test!$A$3:$F$32,5,FALSE) - VLOOKUP($B62,test!$A$3:$G$32,6,FALSE) &gt;= (test!$B$34)/1440),1,0)</f>
        <v>0</v>
      </c>
    </row>
    <row r="63" spans="1:33" x14ac:dyDescent="0.25">
      <c r="A63" t="s">
        <v>59</v>
      </c>
      <c r="B63" t="s">
        <v>41</v>
      </c>
      <c r="C63">
        <v>0</v>
      </c>
      <c r="D63" s="2">
        <f>IF(AND(VLOOKUP(D$1,test!$A$3:$F$32,5,FALSE) - VLOOKUP($B63,test!$A$3:$G$32,6,FALSE) &gt;= (test!$B$34)/1440),1,0)</f>
        <v>0</v>
      </c>
      <c r="E63" s="2">
        <f>IF(AND(VLOOKUP(E$1,test!$A$3:$F$32,5,FALSE) - VLOOKUP($B63,test!$A$3:$G$32,6,FALSE) &gt;= (test!$B$34)/1440),1,0)</f>
        <v>0</v>
      </c>
      <c r="F63" s="2">
        <f>IF(AND(VLOOKUP(F$1,test!$A$3:$F$32,5,FALSE) - VLOOKUP($B63,test!$A$3:$G$32,6,FALSE) &gt;= (test!$B$34)/1440),1,0)</f>
        <v>0</v>
      </c>
      <c r="G63" s="2">
        <f>IF(AND(VLOOKUP(G$1,test!$A$3:$F$32,5,FALSE) - VLOOKUP($B63,test!$A$3:$G$32,6,FALSE) &gt;= (test!$B$34)/1440),1,0)</f>
        <v>0</v>
      </c>
      <c r="H63" s="2">
        <f>IF(AND(VLOOKUP(H$1,test!$A$3:$F$32,5,FALSE) - VLOOKUP($B63,test!$A$3:$G$32,6,FALSE) &gt;= (test!$B$34)/1440),1,0)</f>
        <v>0</v>
      </c>
      <c r="I63" s="2">
        <f>IF(AND(VLOOKUP(I$1,test!$A$3:$F$32,5,FALSE) - VLOOKUP($B63,test!$A$3:$G$32,6,FALSE) &gt;= (test!$B$34)/1440),1,0)</f>
        <v>0</v>
      </c>
      <c r="J63" s="2">
        <f>IF(AND(VLOOKUP(J$1,test!$A$3:$F$32,5,FALSE) - VLOOKUP($B63,test!$A$3:$G$32,6,FALSE) &gt;= (test!$B$34)/1440),1,0)</f>
        <v>0</v>
      </c>
      <c r="K63" s="2">
        <f>IF(AND(VLOOKUP(K$1,test!$A$3:$F$32,5,FALSE) - VLOOKUP($B63,test!$A$3:$G$32,6,FALSE) &gt;= (test!$B$34)/1440),1,0)</f>
        <v>1</v>
      </c>
      <c r="L63" s="2">
        <f>IF(AND(VLOOKUP(L$1,test!$A$3:$F$32,5,FALSE) - VLOOKUP($B63,test!$A$3:$G$32,6,FALSE) &gt;= (test!$B$34)/1440),1,0)</f>
        <v>0</v>
      </c>
      <c r="M63" s="2">
        <f>IF(AND(VLOOKUP(M$1,test!$A$3:$F$32,5,FALSE) - VLOOKUP($B63,test!$A$3:$G$32,6,FALSE) &gt;= (test!$B$34)/1440),1,0)</f>
        <v>0</v>
      </c>
      <c r="N63" s="2">
        <f>IF(AND(VLOOKUP(N$1,test!$A$3:$F$32,5,FALSE) - VLOOKUP($B63,test!$A$3:$G$32,6,FALSE) &gt;= (test!$B$34)/1440),1,0)</f>
        <v>0</v>
      </c>
      <c r="O63" s="2">
        <f>IF(AND(VLOOKUP(O$1,test!$A$3:$F$32,5,FALSE) - VLOOKUP($B63,test!$A$3:$G$32,6,FALSE) &gt;= (test!$B$34)/1440),1,0)</f>
        <v>1</v>
      </c>
      <c r="P63" s="2">
        <f>IF(AND(VLOOKUP(P$1,test!$A$3:$F$32,5,FALSE) - VLOOKUP($B63,test!$A$3:$G$32,6,FALSE) &gt;= (test!$B$34)/1440),1,0)</f>
        <v>1</v>
      </c>
      <c r="Q63" s="2">
        <f>IF(AND(VLOOKUP(Q$1,test!$A$3:$F$32,5,FALSE) - VLOOKUP($B63,test!$A$3:$G$32,6,FALSE) &gt;= (test!$B$34)/1440),1,0)</f>
        <v>0</v>
      </c>
      <c r="R63" s="2">
        <f>IF(AND(VLOOKUP(R$1,test!$A$3:$F$32,5,FALSE) - VLOOKUP($B63,test!$A$3:$G$32,6,FALSE) &gt;= (test!$B$34)/1440),1,0)</f>
        <v>0</v>
      </c>
      <c r="S63" s="2">
        <f>IF(AND(VLOOKUP(S$1,test!$A$3:$F$32,5,FALSE) - VLOOKUP($B63,test!$A$3:$G$32,6,FALSE) &gt;= (test!$B$34)/1440),1,0)</f>
        <v>0</v>
      </c>
      <c r="T63" s="2">
        <f>IF(AND(VLOOKUP(T$1,test!$A$3:$F$32,5,FALSE) - VLOOKUP($B63,test!$A$3:$G$32,6,FALSE) &gt;= (test!$B$34)/1440),1,0)</f>
        <v>0</v>
      </c>
      <c r="U63" s="2">
        <f>IF(AND(VLOOKUP(U$1,test!$A$3:$F$32,5,FALSE) - VLOOKUP($B63,test!$A$3:$G$32,6,FALSE) &gt;= (test!$B$34)/1440),1,0)</f>
        <v>0</v>
      </c>
      <c r="V63" s="2">
        <f>IF(AND(VLOOKUP(V$1,test!$A$3:$F$32,5,FALSE) - VLOOKUP($B63,test!$A$3:$G$32,6,FALSE) &gt;= (test!$B$34)/1440),1,0)</f>
        <v>0</v>
      </c>
      <c r="W63" s="2">
        <f>IF(AND(VLOOKUP(W$1,test!$A$3:$F$32,5,FALSE) - VLOOKUP($B63,test!$A$3:$G$32,6,FALSE) &gt;= (test!$B$34)/1440),1,0)</f>
        <v>0</v>
      </c>
      <c r="X63" s="2">
        <f>IF(AND(VLOOKUP(X$1,test!$A$3:$F$32,5,FALSE) - VLOOKUP($B63,test!$A$3:$G$32,6,FALSE) &gt;= (test!$B$34)/1440),1,0)</f>
        <v>0</v>
      </c>
      <c r="Y63" s="2">
        <f>IF(AND(VLOOKUP(Y$1,test!$A$3:$F$32,5,FALSE) - VLOOKUP($B63,test!$A$3:$G$32,6,FALSE) &gt;= (test!$B$34)/1440),1,0)</f>
        <v>0</v>
      </c>
      <c r="Z63" s="2">
        <f>IF(AND(VLOOKUP(Z$1,test!$A$3:$F$32,5,FALSE) - VLOOKUP($B63,test!$A$3:$G$32,6,FALSE) &gt;= (test!$B$34)/1440),1,0)</f>
        <v>0</v>
      </c>
      <c r="AA63" s="2">
        <f>IF(AND(VLOOKUP(AA$1,test!$A$3:$F$32,5,FALSE) - VLOOKUP($B63,test!$A$3:$G$32,6,FALSE) &gt;= (test!$B$34)/1440),1,0)</f>
        <v>0</v>
      </c>
      <c r="AB63" s="2">
        <f>IF(AND(VLOOKUP(AB$1,test!$A$3:$F$32,5,FALSE) - VLOOKUP($B63,test!$A$3:$G$32,6,FALSE) &gt;= (test!$B$34)/1440),1,0)</f>
        <v>0</v>
      </c>
      <c r="AC63" s="2">
        <f>IF(AND(VLOOKUP(AC$1,test!$A$3:$F$32,5,FALSE) - VLOOKUP($B63,test!$A$3:$G$32,6,FALSE) &gt;= (test!$B$34)/1440),1,0)</f>
        <v>0</v>
      </c>
      <c r="AD63" s="2">
        <f>IF(AND(VLOOKUP(AD$1,test!$A$3:$F$32,5,FALSE) - VLOOKUP($B63,test!$A$3:$G$32,6,FALSE) &gt;= (test!$B$34)/1440),1,0)</f>
        <v>0</v>
      </c>
      <c r="AE63" s="2">
        <f>IF(AND(VLOOKUP(AE$1,test!$A$3:$F$32,5,FALSE) - VLOOKUP($B63,test!$A$3:$G$32,6,FALSE) &gt;= (test!$B$34)/1440),1,0)</f>
        <v>0</v>
      </c>
      <c r="AF63" s="2">
        <f>IF(AND(VLOOKUP(AF$1,test!$A$3:$F$32,5,FALSE) - VLOOKUP($B63,test!$A$3:$G$32,6,FALSE) &gt;= (test!$B$34)/1440),1,0)</f>
        <v>0</v>
      </c>
      <c r="AG63" s="2">
        <f>IF(AND(VLOOKUP(AG$1,test!$A$3:$F$32,5,FALSE) - VLOOKUP($B63,test!$A$3:$G$32,6,FALSE) &gt;= (test!$B$34)/1440),1,0)</f>
        <v>0</v>
      </c>
    </row>
    <row r="64" spans="1:33" x14ac:dyDescent="0.25">
      <c r="A64" t="s">
        <v>60</v>
      </c>
      <c r="B64" t="s">
        <v>47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 t="s">
        <v>60</v>
      </c>
      <c r="B65" t="s">
        <v>6</v>
      </c>
      <c r="C65">
        <v>0</v>
      </c>
      <c r="D65" s="2">
        <f>IF(AND(VLOOKUP(D$1,test!$A$3:$F$32,5,FALSE) - VLOOKUP($B65,test!$A$3:$G$32,6,FALSE) &gt;= (test!$B$35)/1440),1,0)</f>
        <v>0</v>
      </c>
      <c r="E65" s="2">
        <f>IF(AND(VLOOKUP(E$1,test!$A$3:$F$32,5,FALSE) - VLOOKUP($B65,test!$A$3:$G$32,6,FALSE) &gt;= (test!$B$35)/1440),1,0)</f>
        <v>0</v>
      </c>
      <c r="F65" s="2">
        <f>IF(AND(VLOOKUP(F$1,test!$A$3:$F$32,5,FALSE) - VLOOKUP($B65,test!$A$3:$G$32,6,FALSE) &gt;= (test!$B$35)/1440),1,0)</f>
        <v>1</v>
      </c>
      <c r="G65" s="2">
        <f>IF(AND(VLOOKUP(G$1,test!$A$3:$F$32,5,FALSE) - VLOOKUP($B65,test!$A$3:$G$32,6,FALSE) &gt;= (test!$B$35)/1440),1,0)</f>
        <v>1</v>
      </c>
      <c r="H65" s="2">
        <f>IF(AND(VLOOKUP(H$1,test!$A$3:$F$32,5,FALSE) - VLOOKUP($B65,test!$A$3:$G$32,6,FALSE) &gt;= (test!$B$35)/1440),1,0)</f>
        <v>1</v>
      </c>
      <c r="I65" s="2">
        <f>IF(AND(VLOOKUP(I$1,test!$A$3:$F$32,5,FALSE) - VLOOKUP($B65,test!$A$3:$G$32,6,FALSE) &gt;= (test!$B$35)/1440),1,0)</f>
        <v>1</v>
      </c>
      <c r="J65" s="2">
        <f>IF(AND(VLOOKUP(J$1,test!$A$3:$F$32,5,FALSE) - VLOOKUP($B65,test!$A$3:$G$32,6,FALSE) &gt;= (test!$B$35)/1440),1,0)</f>
        <v>1</v>
      </c>
      <c r="K65" s="2">
        <f>IF(AND(VLOOKUP(K$1,test!$A$3:$F$32,5,FALSE) - VLOOKUP($B65,test!$A$3:$G$32,6,FALSE) &gt;= (test!$B$35)/1440),1,0)</f>
        <v>1</v>
      </c>
      <c r="L65" s="2">
        <f>IF(AND(VLOOKUP(L$1,test!$A$3:$F$32,5,FALSE) - VLOOKUP($B65,test!$A$3:$G$32,6,FALSE) &gt;= (test!$B$35)/1440),1,0)</f>
        <v>0</v>
      </c>
      <c r="M65" s="2">
        <f>IF(AND(VLOOKUP(M$1,test!$A$3:$F$32,5,FALSE) - VLOOKUP($B65,test!$A$3:$G$32,6,FALSE) &gt;= (test!$B$35)/1440),1,0)</f>
        <v>0</v>
      </c>
      <c r="N65" s="2">
        <f>IF(AND(VLOOKUP(N$1,test!$A$3:$F$32,5,FALSE) - VLOOKUP($B65,test!$A$3:$G$32,6,FALSE) &gt;= (test!$B$35)/1440),1,0)</f>
        <v>1</v>
      </c>
      <c r="O65" s="2">
        <f>IF(AND(VLOOKUP(O$1,test!$A$3:$F$32,5,FALSE) - VLOOKUP($B65,test!$A$3:$G$32,6,FALSE) &gt;= (test!$B$35)/1440),1,0)</f>
        <v>1</v>
      </c>
      <c r="P65" s="2">
        <f>IF(AND(VLOOKUP(P$1,test!$A$3:$F$32,5,FALSE) - VLOOKUP($B65,test!$A$3:$G$32,6,FALSE) &gt;= (test!$B$35)/1440),1,0)</f>
        <v>1</v>
      </c>
      <c r="Q65" s="2">
        <f>IF(AND(VLOOKUP(Q$1,test!$A$3:$F$32,5,FALSE) - VLOOKUP($B65,test!$A$3:$G$32,6,FALSE) &gt;= (test!$B$35)/1440),1,0)</f>
        <v>0</v>
      </c>
      <c r="R65" s="2">
        <f>IF(AND(VLOOKUP(R$1,test!$A$3:$F$32,5,FALSE) - VLOOKUP($B65,test!$A$3:$G$32,6,FALSE) &gt;= (test!$B$35)/1440),1,0)</f>
        <v>0</v>
      </c>
      <c r="S65" s="2">
        <f>IF(AND(VLOOKUP(S$1,test!$A$3:$F$32,5,FALSE) - VLOOKUP($B65,test!$A$3:$G$32,6,FALSE) &gt;= (test!$B$35)/1440),1,0)</f>
        <v>0</v>
      </c>
      <c r="T65" s="2">
        <f>IF(AND(VLOOKUP(T$1,test!$A$3:$F$32,5,FALSE) - VLOOKUP($B65,test!$A$3:$G$32,6,FALSE) &gt;= (test!$B$35)/1440),1,0)</f>
        <v>0</v>
      </c>
      <c r="U65" s="2">
        <f>IF(AND(VLOOKUP(U$1,test!$A$3:$F$32,5,FALSE) - VLOOKUP($B65,test!$A$3:$G$32,6,FALSE) &gt;= (test!$B$35)/1440),1,0)</f>
        <v>1</v>
      </c>
      <c r="V65" s="2">
        <f>IF(AND(VLOOKUP(V$1,test!$A$3:$F$32,5,FALSE) - VLOOKUP($B65,test!$A$3:$G$32,6,FALSE) &gt;= (test!$B$35)/1440),1,0)</f>
        <v>1</v>
      </c>
      <c r="W65" s="2">
        <f>IF(AND(VLOOKUP(W$1,test!$A$3:$F$32,5,FALSE) - VLOOKUP($B65,test!$A$3:$G$32,6,FALSE) &gt;= (test!$B$35)/1440),1,0)</f>
        <v>1</v>
      </c>
      <c r="X65" s="2">
        <f>IF(AND(VLOOKUP(X$1,test!$A$3:$F$32,5,FALSE) - VLOOKUP($B65,test!$A$3:$G$32,6,FALSE) &gt;= (test!$B$35)/1440),1,0)</f>
        <v>1</v>
      </c>
      <c r="Y65" s="2">
        <f>IF(AND(VLOOKUP(Y$1,test!$A$3:$F$32,5,FALSE) - VLOOKUP($B65,test!$A$3:$G$32,6,FALSE) &gt;= (test!$B$35)/1440),1,0)</f>
        <v>1</v>
      </c>
      <c r="Z65" s="2">
        <f>IF(AND(VLOOKUP(Z$1,test!$A$3:$F$32,5,FALSE) - VLOOKUP($B65,test!$A$3:$G$32,6,FALSE) &gt;= (test!$B$35)/1440),1,0)</f>
        <v>0</v>
      </c>
      <c r="AA65" s="2">
        <f>IF(AND(VLOOKUP(AA$1,test!$A$3:$F$32,5,FALSE) - VLOOKUP($B65,test!$A$3:$G$32,6,FALSE) &gt;= (test!$B$35)/1440),1,0)</f>
        <v>0</v>
      </c>
      <c r="AB65" s="2">
        <f>IF(AND(VLOOKUP(AB$1,test!$A$3:$F$32,5,FALSE) - VLOOKUP($B65,test!$A$3:$G$32,6,FALSE) &gt;= (test!$B$35)/1440),1,0)</f>
        <v>1</v>
      </c>
      <c r="AC65" s="2">
        <f>IF(AND(VLOOKUP(AC$1,test!$A$3:$F$32,5,FALSE) - VLOOKUP($B65,test!$A$3:$G$32,6,FALSE) &gt;= (test!$B$35)/1440),1,0)</f>
        <v>1</v>
      </c>
      <c r="AD65" s="2">
        <f>IF(AND(VLOOKUP(AD$1,test!$A$3:$F$32,5,FALSE) - VLOOKUP($B65,test!$A$3:$G$32,6,FALSE) &gt;= (test!$B$35)/1440),1,0)</f>
        <v>1</v>
      </c>
      <c r="AE65" s="2">
        <f>IF(AND(VLOOKUP(AE$1,test!$A$3:$F$32,5,FALSE) - VLOOKUP($B65,test!$A$3:$G$32,6,FALSE) &gt;= (test!$B$35)/1440),1,0)</f>
        <v>0</v>
      </c>
      <c r="AF65" s="2">
        <f>IF(AND(VLOOKUP(AF$1,test!$A$3:$F$32,5,FALSE) - VLOOKUP($B65,test!$A$3:$G$32,6,FALSE) &gt;= (test!$B$35)/1440),1,0)</f>
        <v>1</v>
      </c>
      <c r="AG65" s="2">
        <f>IF(AND(VLOOKUP(AG$1,test!$A$3:$F$32,5,FALSE) - VLOOKUP($B65,test!$A$3:$G$32,6,FALSE) &gt;= (test!$B$35)/1440),1,0)</f>
        <v>1</v>
      </c>
    </row>
    <row r="66" spans="1:33" x14ac:dyDescent="0.25">
      <c r="A66" t="s">
        <v>60</v>
      </c>
      <c r="B66" t="s">
        <v>9</v>
      </c>
      <c r="C66">
        <v>0</v>
      </c>
      <c r="D66" s="2">
        <f>IF(AND(VLOOKUP(D$1,test!$A$3:$F$32,5,FALSE) - VLOOKUP($B66,test!$A$3:$G$32,6,FALSE) &gt;= (test!$B$35)/1440),1,0)</f>
        <v>0</v>
      </c>
      <c r="E66" s="2">
        <f>IF(AND(VLOOKUP(E$1,test!$A$3:$F$32,5,FALSE) - VLOOKUP($B66,test!$A$3:$G$32,6,FALSE) &gt;= (test!$B$35)/1440),1,0)</f>
        <v>0</v>
      </c>
      <c r="F66" s="2">
        <f>IF(AND(VLOOKUP(F$1,test!$A$3:$F$32,5,FALSE) - VLOOKUP($B66,test!$A$3:$G$32,6,FALSE) &gt;= (test!$B$35)/1440),1,0)</f>
        <v>0</v>
      </c>
      <c r="G66" s="2">
        <f>IF(AND(VLOOKUP(G$1,test!$A$3:$F$32,5,FALSE) - VLOOKUP($B66,test!$A$3:$G$32,6,FALSE) &gt;= (test!$B$35)/1440),1,0)</f>
        <v>0</v>
      </c>
      <c r="H66" s="2">
        <f>IF(AND(VLOOKUP(H$1,test!$A$3:$F$32,5,FALSE) - VLOOKUP($B66,test!$A$3:$G$32,6,FALSE) &gt;= (test!$B$35)/1440),1,0)</f>
        <v>1</v>
      </c>
      <c r="I66" s="2">
        <f>IF(AND(VLOOKUP(I$1,test!$A$3:$F$32,5,FALSE) - VLOOKUP($B66,test!$A$3:$G$32,6,FALSE) &gt;= (test!$B$35)/1440),1,0)</f>
        <v>1</v>
      </c>
      <c r="J66" s="2">
        <f>IF(AND(VLOOKUP(J$1,test!$A$3:$F$32,5,FALSE) - VLOOKUP($B66,test!$A$3:$G$32,6,FALSE) &gt;= (test!$B$35)/1440),1,0)</f>
        <v>1</v>
      </c>
      <c r="K66" s="2">
        <f>IF(AND(VLOOKUP(K$1,test!$A$3:$F$32,5,FALSE) - VLOOKUP($B66,test!$A$3:$G$32,6,FALSE) &gt;= (test!$B$35)/1440),1,0)</f>
        <v>1</v>
      </c>
      <c r="L66" s="2">
        <f>IF(AND(VLOOKUP(L$1,test!$A$3:$F$32,5,FALSE) - VLOOKUP($B66,test!$A$3:$G$32,6,FALSE) &gt;= (test!$B$35)/1440),1,0)</f>
        <v>0</v>
      </c>
      <c r="M66" s="2">
        <f>IF(AND(VLOOKUP(M$1,test!$A$3:$F$32,5,FALSE) - VLOOKUP($B66,test!$A$3:$G$32,6,FALSE) &gt;= (test!$B$35)/1440),1,0)</f>
        <v>0</v>
      </c>
      <c r="N66" s="2">
        <f>IF(AND(VLOOKUP(N$1,test!$A$3:$F$32,5,FALSE) - VLOOKUP($B66,test!$A$3:$G$32,6,FALSE) &gt;= (test!$B$35)/1440),1,0)</f>
        <v>0</v>
      </c>
      <c r="O66" s="2">
        <f>IF(AND(VLOOKUP(O$1,test!$A$3:$F$32,5,FALSE) - VLOOKUP($B66,test!$A$3:$G$32,6,FALSE) &gt;= (test!$B$35)/1440),1,0)</f>
        <v>1</v>
      </c>
      <c r="P66" s="2">
        <f>IF(AND(VLOOKUP(P$1,test!$A$3:$F$32,5,FALSE) - VLOOKUP($B66,test!$A$3:$G$32,6,FALSE) &gt;= (test!$B$35)/1440),1,0)</f>
        <v>1</v>
      </c>
      <c r="Q66" s="2">
        <f>IF(AND(VLOOKUP(Q$1,test!$A$3:$F$32,5,FALSE) - VLOOKUP($B66,test!$A$3:$G$32,6,FALSE) &gt;= (test!$B$35)/1440),1,0)</f>
        <v>0</v>
      </c>
      <c r="R66" s="2">
        <f>IF(AND(VLOOKUP(R$1,test!$A$3:$F$32,5,FALSE) - VLOOKUP($B66,test!$A$3:$G$32,6,FALSE) &gt;= (test!$B$35)/1440),1,0)</f>
        <v>0</v>
      </c>
      <c r="S66" s="2">
        <f>IF(AND(VLOOKUP(S$1,test!$A$3:$F$32,5,FALSE) - VLOOKUP($B66,test!$A$3:$G$32,6,FALSE) &gt;= (test!$B$35)/1440),1,0)</f>
        <v>0</v>
      </c>
      <c r="T66" s="2">
        <f>IF(AND(VLOOKUP(T$1,test!$A$3:$F$32,5,FALSE) - VLOOKUP($B66,test!$A$3:$G$32,6,FALSE) &gt;= (test!$B$35)/1440),1,0)</f>
        <v>0</v>
      </c>
      <c r="U66" s="2">
        <f>IF(AND(VLOOKUP(U$1,test!$A$3:$F$32,5,FALSE) - VLOOKUP($B66,test!$A$3:$G$32,6,FALSE) &gt;= (test!$B$35)/1440),1,0)</f>
        <v>0</v>
      </c>
      <c r="V66" s="2">
        <f>IF(AND(VLOOKUP(V$1,test!$A$3:$F$32,5,FALSE) - VLOOKUP($B66,test!$A$3:$G$32,6,FALSE) &gt;= (test!$B$35)/1440),1,0)</f>
        <v>0</v>
      </c>
      <c r="W66" s="2">
        <f>IF(AND(VLOOKUP(W$1,test!$A$3:$F$32,5,FALSE) - VLOOKUP($B66,test!$A$3:$G$32,6,FALSE) &gt;= (test!$B$35)/1440),1,0)</f>
        <v>1</v>
      </c>
      <c r="X66" s="2">
        <f>IF(AND(VLOOKUP(X$1,test!$A$3:$F$32,5,FALSE) - VLOOKUP($B66,test!$A$3:$G$32,6,FALSE) &gt;= (test!$B$35)/1440),1,0)</f>
        <v>1</v>
      </c>
      <c r="Y66" s="2">
        <f>IF(AND(VLOOKUP(Y$1,test!$A$3:$F$32,5,FALSE) - VLOOKUP($B66,test!$A$3:$G$32,6,FALSE) &gt;= (test!$B$35)/1440),1,0)</f>
        <v>1</v>
      </c>
      <c r="Z66" s="2">
        <f>IF(AND(VLOOKUP(Z$1,test!$A$3:$F$32,5,FALSE) - VLOOKUP($B66,test!$A$3:$G$32,6,FALSE) &gt;= (test!$B$35)/1440),1,0)</f>
        <v>0</v>
      </c>
      <c r="AA66" s="2">
        <f>IF(AND(VLOOKUP(AA$1,test!$A$3:$F$32,5,FALSE) - VLOOKUP($B66,test!$A$3:$G$32,6,FALSE) &gt;= (test!$B$35)/1440),1,0)</f>
        <v>0</v>
      </c>
      <c r="AB66" s="2">
        <f>IF(AND(VLOOKUP(AB$1,test!$A$3:$F$32,5,FALSE) - VLOOKUP($B66,test!$A$3:$G$32,6,FALSE) &gt;= (test!$B$35)/1440),1,0)</f>
        <v>0</v>
      </c>
      <c r="AC66" s="2">
        <f>IF(AND(VLOOKUP(AC$1,test!$A$3:$F$32,5,FALSE) - VLOOKUP($B66,test!$A$3:$G$32,6,FALSE) &gt;= (test!$B$35)/1440),1,0)</f>
        <v>0</v>
      </c>
      <c r="AD66" s="2">
        <f>IF(AND(VLOOKUP(AD$1,test!$A$3:$F$32,5,FALSE) - VLOOKUP($B66,test!$A$3:$G$32,6,FALSE) &gt;= (test!$B$35)/1440),1,0)</f>
        <v>1</v>
      </c>
      <c r="AE66" s="2">
        <f>IF(AND(VLOOKUP(AE$1,test!$A$3:$F$32,5,FALSE) - VLOOKUP($B66,test!$A$3:$G$32,6,FALSE) &gt;= (test!$B$35)/1440),1,0)</f>
        <v>0</v>
      </c>
      <c r="AF66" s="2">
        <f>IF(AND(VLOOKUP(AF$1,test!$A$3:$F$32,5,FALSE) - VLOOKUP($B66,test!$A$3:$G$32,6,FALSE) &gt;= (test!$B$35)/1440),1,0)</f>
        <v>0</v>
      </c>
      <c r="AG66" s="2">
        <f>IF(AND(VLOOKUP(AG$1,test!$A$3:$F$32,5,FALSE) - VLOOKUP($B66,test!$A$3:$G$32,6,FALSE) &gt;= (test!$B$35)/1440),1,0)</f>
        <v>0</v>
      </c>
    </row>
    <row r="67" spans="1:33" x14ac:dyDescent="0.25">
      <c r="A67" t="s">
        <v>60</v>
      </c>
      <c r="B67" t="s">
        <v>10</v>
      </c>
      <c r="C67">
        <v>0</v>
      </c>
      <c r="D67" s="2">
        <f>IF(AND(VLOOKUP(D$1,test!$A$3:$F$32,5,FALSE) - VLOOKUP($B67,test!$A$3:$G$32,6,FALSE) &gt;= (test!$B$35)/1440),1,0)</f>
        <v>0</v>
      </c>
      <c r="E67" s="2">
        <f>IF(AND(VLOOKUP(E$1,test!$A$3:$F$32,5,FALSE) - VLOOKUP($B67,test!$A$3:$G$32,6,FALSE) &gt;= (test!$B$35)/1440),1,0)</f>
        <v>0</v>
      </c>
      <c r="F67" s="2">
        <f>IF(AND(VLOOKUP(F$1,test!$A$3:$F$32,5,FALSE) - VLOOKUP($B67,test!$A$3:$G$32,6,FALSE) &gt;= (test!$B$35)/1440),1,0)</f>
        <v>0</v>
      </c>
      <c r="G67" s="2">
        <f>IF(AND(VLOOKUP(G$1,test!$A$3:$F$32,5,FALSE) - VLOOKUP($B67,test!$A$3:$G$32,6,FALSE) &gt;= (test!$B$35)/1440),1,0)</f>
        <v>0</v>
      </c>
      <c r="H67" s="2">
        <f>IF(AND(VLOOKUP(H$1,test!$A$3:$F$32,5,FALSE) - VLOOKUP($B67,test!$A$3:$G$32,6,FALSE) &gt;= (test!$B$35)/1440),1,0)</f>
        <v>0</v>
      </c>
      <c r="I67" s="2">
        <f>IF(AND(VLOOKUP(I$1,test!$A$3:$F$32,5,FALSE) - VLOOKUP($B67,test!$A$3:$G$32,6,FALSE) &gt;= (test!$B$35)/1440),1,0)</f>
        <v>1</v>
      </c>
      <c r="J67" s="2">
        <f>IF(AND(VLOOKUP(J$1,test!$A$3:$F$32,5,FALSE) - VLOOKUP($B67,test!$A$3:$G$32,6,FALSE) &gt;= (test!$B$35)/1440),1,0)</f>
        <v>1</v>
      </c>
      <c r="K67" s="2">
        <f>IF(AND(VLOOKUP(K$1,test!$A$3:$F$32,5,FALSE) - VLOOKUP($B67,test!$A$3:$G$32,6,FALSE) &gt;= (test!$B$35)/1440),1,0)</f>
        <v>1</v>
      </c>
      <c r="L67" s="2">
        <f>IF(AND(VLOOKUP(L$1,test!$A$3:$F$32,5,FALSE) - VLOOKUP($B67,test!$A$3:$G$32,6,FALSE) &gt;= (test!$B$35)/1440),1,0)</f>
        <v>0</v>
      </c>
      <c r="M67" s="2">
        <f>IF(AND(VLOOKUP(M$1,test!$A$3:$F$32,5,FALSE) - VLOOKUP($B67,test!$A$3:$G$32,6,FALSE) &gt;= (test!$B$35)/1440),1,0)</f>
        <v>0</v>
      </c>
      <c r="N67" s="2">
        <f>IF(AND(VLOOKUP(N$1,test!$A$3:$F$32,5,FALSE) - VLOOKUP($B67,test!$A$3:$G$32,6,FALSE) &gt;= (test!$B$35)/1440),1,0)</f>
        <v>0</v>
      </c>
      <c r="O67" s="2">
        <f>IF(AND(VLOOKUP(O$1,test!$A$3:$F$32,5,FALSE) - VLOOKUP($B67,test!$A$3:$G$32,6,FALSE) &gt;= (test!$B$35)/1440),1,0)</f>
        <v>1</v>
      </c>
      <c r="P67" s="2">
        <f>IF(AND(VLOOKUP(P$1,test!$A$3:$F$32,5,FALSE) - VLOOKUP($B67,test!$A$3:$G$32,6,FALSE) &gt;= (test!$B$35)/1440),1,0)</f>
        <v>1</v>
      </c>
      <c r="Q67" s="2">
        <f>IF(AND(VLOOKUP(Q$1,test!$A$3:$F$32,5,FALSE) - VLOOKUP($B67,test!$A$3:$G$32,6,FALSE) &gt;= (test!$B$35)/1440),1,0)</f>
        <v>0</v>
      </c>
      <c r="R67" s="2">
        <f>IF(AND(VLOOKUP(R$1,test!$A$3:$F$32,5,FALSE) - VLOOKUP($B67,test!$A$3:$G$32,6,FALSE) &gt;= (test!$B$35)/1440),1,0)</f>
        <v>0</v>
      </c>
      <c r="S67" s="2">
        <f>IF(AND(VLOOKUP(S$1,test!$A$3:$F$32,5,FALSE) - VLOOKUP($B67,test!$A$3:$G$32,6,FALSE) &gt;= (test!$B$35)/1440),1,0)</f>
        <v>0</v>
      </c>
      <c r="T67" s="2">
        <f>IF(AND(VLOOKUP(T$1,test!$A$3:$F$32,5,FALSE) - VLOOKUP($B67,test!$A$3:$G$32,6,FALSE) &gt;= (test!$B$35)/1440),1,0)</f>
        <v>0</v>
      </c>
      <c r="U67" s="2">
        <f>IF(AND(VLOOKUP(U$1,test!$A$3:$F$32,5,FALSE) - VLOOKUP($B67,test!$A$3:$G$32,6,FALSE) &gt;= (test!$B$35)/1440),1,0)</f>
        <v>0</v>
      </c>
      <c r="V67" s="2">
        <f>IF(AND(VLOOKUP(V$1,test!$A$3:$F$32,5,FALSE) - VLOOKUP($B67,test!$A$3:$G$32,6,FALSE) &gt;= (test!$B$35)/1440),1,0)</f>
        <v>0</v>
      </c>
      <c r="W67" s="2">
        <f>IF(AND(VLOOKUP(W$1,test!$A$3:$F$32,5,FALSE) - VLOOKUP($B67,test!$A$3:$G$32,6,FALSE) &gt;= (test!$B$35)/1440),1,0)</f>
        <v>0</v>
      </c>
      <c r="X67" s="2">
        <f>IF(AND(VLOOKUP(X$1,test!$A$3:$F$32,5,FALSE) - VLOOKUP($B67,test!$A$3:$G$32,6,FALSE) &gt;= (test!$B$35)/1440),1,0)</f>
        <v>1</v>
      </c>
      <c r="Y67" s="2">
        <f>IF(AND(VLOOKUP(Y$1,test!$A$3:$F$32,5,FALSE) - VLOOKUP($B67,test!$A$3:$G$32,6,FALSE) &gt;= (test!$B$35)/1440),1,0)</f>
        <v>1</v>
      </c>
      <c r="Z67" s="2">
        <f>IF(AND(VLOOKUP(Z$1,test!$A$3:$F$32,5,FALSE) - VLOOKUP($B67,test!$A$3:$G$32,6,FALSE) &gt;= (test!$B$35)/1440),1,0)</f>
        <v>0</v>
      </c>
      <c r="AA67" s="2">
        <f>IF(AND(VLOOKUP(AA$1,test!$A$3:$F$32,5,FALSE) - VLOOKUP($B67,test!$A$3:$G$32,6,FALSE) &gt;= (test!$B$35)/1440),1,0)</f>
        <v>0</v>
      </c>
      <c r="AB67" s="2">
        <f>IF(AND(VLOOKUP(AB$1,test!$A$3:$F$32,5,FALSE) - VLOOKUP($B67,test!$A$3:$G$32,6,FALSE) &gt;= (test!$B$35)/1440),1,0)</f>
        <v>0</v>
      </c>
      <c r="AC67" s="2">
        <f>IF(AND(VLOOKUP(AC$1,test!$A$3:$F$32,5,FALSE) - VLOOKUP($B67,test!$A$3:$G$32,6,FALSE) &gt;= (test!$B$35)/1440),1,0)</f>
        <v>0</v>
      </c>
      <c r="AD67" s="2">
        <f>IF(AND(VLOOKUP(AD$1,test!$A$3:$F$32,5,FALSE) - VLOOKUP($B67,test!$A$3:$G$32,6,FALSE) &gt;= (test!$B$35)/1440),1,0)</f>
        <v>1</v>
      </c>
      <c r="AE67" s="2">
        <f>IF(AND(VLOOKUP(AE$1,test!$A$3:$F$32,5,FALSE) - VLOOKUP($B67,test!$A$3:$G$32,6,FALSE) &gt;= (test!$B$35)/1440),1,0)</f>
        <v>0</v>
      </c>
      <c r="AF67" s="2">
        <f>IF(AND(VLOOKUP(AF$1,test!$A$3:$F$32,5,FALSE) - VLOOKUP($B67,test!$A$3:$G$32,6,FALSE) &gt;= (test!$B$35)/1440),1,0)</f>
        <v>0</v>
      </c>
      <c r="AG67" s="2">
        <f>IF(AND(VLOOKUP(AG$1,test!$A$3:$F$32,5,FALSE) - VLOOKUP($B67,test!$A$3:$G$32,6,FALSE) &gt;= (test!$B$35)/1440),1,0)</f>
        <v>0</v>
      </c>
    </row>
    <row r="68" spans="1:33" x14ac:dyDescent="0.25">
      <c r="A68" t="s">
        <v>60</v>
      </c>
      <c r="B68" t="s">
        <v>11</v>
      </c>
      <c r="C68">
        <v>0</v>
      </c>
      <c r="D68" s="2">
        <f>IF(AND(VLOOKUP(D$1,test!$A$3:$F$32,5,FALSE) - VLOOKUP($B68,test!$A$3:$G$32,6,FALSE) &gt;= (test!$B$35)/1440),1,0)</f>
        <v>0</v>
      </c>
      <c r="E68" s="2">
        <f>IF(AND(VLOOKUP(E$1,test!$A$3:$F$32,5,FALSE) - VLOOKUP($B68,test!$A$3:$G$32,6,FALSE) &gt;= (test!$B$35)/1440),1,0)</f>
        <v>0</v>
      </c>
      <c r="F68" s="2">
        <f>IF(AND(VLOOKUP(F$1,test!$A$3:$F$32,5,FALSE) - VLOOKUP($B68,test!$A$3:$G$32,6,FALSE) &gt;= (test!$B$35)/1440),1,0)</f>
        <v>0</v>
      </c>
      <c r="G68" s="2">
        <f>IF(AND(VLOOKUP(G$1,test!$A$3:$F$32,5,FALSE) - VLOOKUP($B68,test!$A$3:$G$32,6,FALSE) &gt;= (test!$B$35)/1440),1,0)</f>
        <v>0</v>
      </c>
      <c r="H68" s="2">
        <f>IF(AND(VLOOKUP(H$1,test!$A$3:$F$32,5,FALSE) - VLOOKUP($B68,test!$A$3:$G$32,6,FALSE) &gt;= (test!$B$35)/1440),1,0)</f>
        <v>0</v>
      </c>
      <c r="I68" s="2">
        <f>IF(AND(VLOOKUP(I$1,test!$A$3:$F$32,5,FALSE) - VLOOKUP($B68,test!$A$3:$G$32,6,FALSE) &gt;= (test!$B$35)/1440),1,0)</f>
        <v>0</v>
      </c>
      <c r="J68" s="2">
        <f>IF(AND(VLOOKUP(J$1,test!$A$3:$F$32,5,FALSE) - VLOOKUP($B68,test!$A$3:$G$32,6,FALSE) &gt;= (test!$B$35)/1440),1,0)</f>
        <v>0</v>
      </c>
      <c r="K68" s="2">
        <f>IF(AND(VLOOKUP(K$1,test!$A$3:$F$32,5,FALSE) - VLOOKUP($B68,test!$A$3:$G$32,6,FALSE) &gt;= (test!$B$35)/1440),1,0)</f>
        <v>1</v>
      </c>
      <c r="L68" s="2">
        <f>IF(AND(VLOOKUP(L$1,test!$A$3:$F$32,5,FALSE) - VLOOKUP($B68,test!$A$3:$G$32,6,FALSE) &gt;= (test!$B$35)/1440),1,0)</f>
        <v>0</v>
      </c>
      <c r="M68" s="2">
        <f>IF(AND(VLOOKUP(M$1,test!$A$3:$F$32,5,FALSE) - VLOOKUP($B68,test!$A$3:$G$32,6,FALSE) &gt;= (test!$B$35)/1440),1,0)</f>
        <v>0</v>
      </c>
      <c r="N68" s="2">
        <f>IF(AND(VLOOKUP(N$1,test!$A$3:$F$32,5,FALSE) - VLOOKUP($B68,test!$A$3:$G$32,6,FALSE) &gt;= (test!$B$35)/1440),1,0)</f>
        <v>0</v>
      </c>
      <c r="O68" s="2">
        <f>IF(AND(VLOOKUP(O$1,test!$A$3:$F$32,5,FALSE) - VLOOKUP($B68,test!$A$3:$G$32,6,FALSE) &gt;= (test!$B$35)/1440),1,0)</f>
        <v>1</v>
      </c>
      <c r="P68" s="2">
        <f>IF(AND(VLOOKUP(P$1,test!$A$3:$F$32,5,FALSE) - VLOOKUP($B68,test!$A$3:$G$32,6,FALSE) &gt;= (test!$B$35)/1440),1,0)</f>
        <v>1</v>
      </c>
      <c r="Q68" s="2">
        <f>IF(AND(VLOOKUP(Q$1,test!$A$3:$F$32,5,FALSE) - VLOOKUP($B68,test!$A$3:$G$32,6,FALSE) &gt;= (test!$B$35)/1440),1,0)</f>
        <v>0</v>
      </c>
      <c r="R68" s="2">
        <f>IF(AND(VLOOKUP(R$1,test!$A$3:$F$32,5,FALSE) - VLOOKUP($B68,test!$A$3:$G$32,6,FALSE) &gt;= (test!$B$35)/1440),1,0)</f>
        <v>0</v>
      </c>
      <c r="S68" s="2">
        <f>IF(AND(VLOOKUP(S$1,test!$A$3:$F$32,5,FALSE) - VLOOKUP($B68,test!$A$3:$G$32,6,FALSE) &gt;= (test!$B$35)/1440),1,0)</f>
        <v>0</v>
      </c>
      <c r="T68" s="2">
        <f>IF(AND(VLOOKUP(T$1,test!$A$3:$F$32,5,FALSE) - VLOOKUP($B68,test!$A$3:$G$32,6,FALSE) &gt;= (test!$B$35)/1440),1,0)</f>
        <v>0</v>
      </c>
      <c r="U68" s="2">
        <f>IF(AND(VLOOKUP(U$1,test!$A$3:$F$32,5,FALSE) - VLOOKUP($B68,test!$A$3:$G$32,6,FALSE) &gt;= (test!$B$35)/1440),1,0)</f>
        <v>0</v>
      </c>
      <c r="V68" s="2">
        <f>IF(AND(VLOOKUP(V$1,test!$A$3:$F$32,5,FALSE) - VLOOKUP($B68,test!$A$3:$G$32,6,FALSE) &gt;= (test!$B$35)/1440),1,0)</f>
        <v>0</v>
      </c>
      <c r="W68" s="2">
        <f>IF(AND(VLOOKUP(W$1,test!$A$3:$F$32,5,FALSE) - VLOOKUP($B68,test!$A$3:$G$32,6,FALSE) &gt;= (test!$B$35)/1440),1,0)</f>
        <v>0</v>
      </c>
      <c r="X68" s="2">
        <f>IF(AND(VLOOKUP(X$1,test!$A$3:$F$32,5,FALSE) - VLOOKUP($B68,test!$A$3:$G$32,6,FALSE) &gt;= (test!$B$35)/1440),1,0)</f>
        <v>0</v>
      </c>
      <c r="Y68" s="2">
        <f>IF(AND(VLOOKUP(Y$1,test!$A$3:$F$32,5,FALSE) - VLOOKUP($B68,test!$A$3:$G$32,6,FALSE) &gt;= (test!$B$35)/1440),1,0)</f>
        <v>1</v>
      </c>
      <c r="Z68" s="2">
        <f>IF(AND(VLOOKUP(Z$1,test!$A$3:$F$32,5,FALSE) - VLOOKUP($B68,test!$A$3:$G$32,6,FALSE) &gt;= (test!$B$35)/1440),1,0)</f>
        <v>0</v>
      </c>
      <c r="AA68" s="2">
        <f>IF(AND(VLOOKUP(AA$1,test!$A$3:$F$32,5,FALSE) - VLOOKUP($B68,test!$A$3:$G$32,6,FALSE) &gt;= (test!$B$35)/1440),1,0)</f>
        <v>0</v>
      </c>
      <c r="AB68" s="2">
        <f>IF(AND(VLOOKUP(AB$1,test!$A$3:$F$32,5,FALSE) - VLOOKUP($B68,test!$A$3:$G$32,6,FALSE) &gt;= (test!$B$35)/1440),1,0)</f>
        <v>0</v>
      </c>
      <c r="AC68" s="2">
        <f>IF(AND(VLOOKUP(AC$1,test!$A$3:$F$32,5,FALSE) - VLOOKUP($B68,test!$A$3:$G$32,6,FALSE) &gt;= (test!$B$35)/1440),1,0)</f>
        <v>0</v>
      </c>
      <c r="AD68" s="2">
        <f>IF(AND(VLOOKUP(AD$1,test!$A$3:$F$32,5,FALSE) - VLOOKUP($B68,test!$A$3:$G$32,6,FALSE) &gt;= (test!$B$35)/1440),1,0)</f>
        <v>0</v>
      </c>
      <c r="AE68" s="2">
        <f>IF(AND(VLOOKUP(AE$1,test!$A$3:$F$32,5,FALSE) - VLOOKUP($B68,test!$A$3:$G$32,6,FALSE) &gt;= (test!$B$35)/1440),1,0)</f>
        <v>0</v>
      </c>
      <c r="AF68" s="2">
        <f>IF(AND(VLOOKUP(AF$1,test!$A$3:$F$32,5,FALSE) - VLOOKUP($B68,test!$A$3:$G$32,6,FALSE) &gt;= (test!$B$35)/1440),1,0)</f>
        <v>0</v>
      </c>
      <c r="AG68" s="2">
        <f>IF(AND(VLOOKUP(AG$1,test!$A$3:$F$32,5,FALSE) - VLOOKUP($B68,test!$A$3:$G$32,6,FALSE) &gt;= (test!$B$35)/1440),1,0)</f>
        <v>0</v>
      </c>
    </row>
    <row r="69" spans="1:33" x14ac:dyDescent="0.25">
      <c r="A69" t="s">
        <v>60</v>
      </c>
      <c r="B69" t="s">
        <v>12</v>
      </c>
      <c r="C69">
        <v>0</v>
      </c>
      <c r="D69" s="2">
        <f>IF(AND(VLOOKUP(D$1,test!$A$3:$F$32,5,FALSE) - VLOOKUP($B69,test!$A$3:$G$32,6,FALSE) &gt;= (test!$B$35)/1440),1,0)</f>
        <v>0</v>
      </c>
      <c r="E69" s="2">
        <f>IF(AND(VLOOKUP(E$1,test!$A$3:$F$32,5,FALSE) - VLOOKUP($B69,test!$A$3:$G$32,6,FALSE) &gt;= (test!$B$35)/1440),1,0)</f>
        <v>0</v>
      </c>
      <c r="F69" s="2">
        <f>IF(AND(VLOOKUP(F$1,test!$A$3:$F$32,5,FALSE) - VLOOKUP($B69,test!$A$3:$G$32,6,FALSE) &gt;= (test!$B$35)/1440),1,0)</f>
        <v>0</v>
      </c>
      <c r="G69" s="2">
        <f>IF(AND(VLOOKUP(G$1,test!$A$3:$F$32,5,FALSE) - VLOOKUP($B69,test!$A$3:$G$32,6,FALSE) &gt;= (test!$B$35)/1440),1,0)</f>
        <v>0</v>
      </c>
      <c r="H69" s="2">
        <f>IF(AND(VLOOKUP(H$1,test!$A$3:$F$32,5,FALSE) - VLOOKUP($B69,test!$A$3:$G$32,6,FALSE) &gt;= (test!$B$35)/1440),1,0)</f>
        <v>0</v>
      </c>
      <c r="I69" s="2">
        <f>IF(AND(VLOOKUP(I$1,test!$A$3:$F$32,5,FALSE) - VLOOKUP($B69,test!$A$3:$G$32,6,FALSE) &gt;= (test!$B$35)/1440),1,0)</f>
        <v>0</v>
      </c>
      <c r="J69" s="2">
        <f>IF(AND(VLOOKUP(J$1,test!$A$3:$F$32,5,FALSE) - VLOOKUP($B69,test!$A$3:$G$32,6,FALSE) &gt;= (test!$B$35)/1440),1,0)</f>
        <v>0</v>
      </c>
      <c r="K69" s="2">
        <f>IF(AND(VLOOKUP(K$1,test!$A$3:$F$32,5,FALSE) - VLOOKUP($B69,test!$A$3:$G$32,6,FALSE) &gt;= (test!$B$35)/1440),1,0)</f>
        <v>1</v>
      </c>
      <c r="L69" s="2">
        <f>IF(AND(VLOOKUP(L$1,test!$A$3:$F$32,5,FALSE) - VLOOKUP($B69,test!$A$3:$G$32,6,FALSE) &gt;= (test!$B$35)/1440),1,0)</f>
        <v>0</v>
      </c>
      <c r="M69" s="2">
        <f>IF(AND(VLOOKUP(M$1,test!$A$3:$F$32,5,FALSE) - VLOOKUP($B69,test!$A$3:$G$32,6,FALSE) &gt;= (test!$B$35)/1440),1,0)</f>
        <v>0</v>
      </c>
      <c r="N69" s="2">
        <f>IF(AND(VLOOKUP(N$1,test!$A$3:$F$32,5,FALSE) - VLOOKUP($B69,test!$A$3:$G$32,6,FALSE) &gt;= (test!$B$35)/1440),1,0)</f>
        <v>0</v>
      </c>
      <c r="O69" s="2">
        <f>IF(AND(VLOOKUP(O$1,test!$A$3:$F$32,5,FALSE) - VLOOKUP($B69,test!$A$3:$G$32,6,FALSE) &gt;= (test!$B$35)/1440),1,0)</f>
        <v>0</v>
      </c>
      <c r="P69" s="2">
        <f>IF(AND(VLOOKUP(P$1,test!$A$3:$F$32,5,FALSE) - VLOOKUP($B69,test!$A$3:$G$32,6,FALSE) &gt;= (test!$B$35)/1440),1,0)</f>
        <v>1</v>
      </c>
      <c r="Q69" s="2">
        <f>IF(AND(VLOOKUP(Q$1,test!$A$3:$F$32,5,FALSE) - VLOOKUP($B69,test!$A$3:$G$32,6,FALSE) &gt;= (test!$B$35)/1440),1,0)</f>
        <v>0</v>
      </c>
      <c r="R69" s="2">
        <f>IF(AND(VLOOKUP(R$1,test!$A$3:$F$32,5,FALSE) - VLOOKUP($B69,test!$A$3:$G$32,6,FALSE) &gt;= (test!$B$35)/1440),1,0)</f>
        <v>0</v>
      </c>
      <c r="S69" s="2">
        <f>IF(AND(VLOOKUP(S$1,test!$A$3:$F$32,5,FALSE) - VLOOKUP($B69,test!$A$3:$G$32,6,FALSE) &gt;= (test!$B$35)/1440),1,0)</f>
        <v>0</v>
      </c>
      <c r="T69" s="2">
        <f>IF(AND(VLOOKUP(T$1,test!$A$3:$F$32,5,FALSE) - VLOOKUP($B69,test!$A$3:$G$32,6,FALSE) &gt;= (test!$B$35)/1440),1,0)</f>
        <v>0</v>
      </c>
      <c r="U69" s="2">
        <f>IF(AND(VLOOKUP(U$1,test!$A$3:$F$32,5,FALSE) - VLOOKUP($B69,test!$A$3:$G$32,6,FALSE) &gt;= (test!$B$35)/1440),1,0)</f>
        <v>0</v>
      </c>
      <c r="V69" s="2">
        <f>IF(AND(VLOOKUP(V$1,test!$A$3:$F$32,5,FALSE) - VLOOKUP($B69,test!$A$3:$G$32,6,FALSE) &gt;= (test!$B$35)/1440),1,0)</f>
        <v>0</v>
      </c>
      <c r="W69" s="2">
        <f>IF(AND(VLOOKUP(W$1,test!$A$3:$F$32,5,FALSE) - VLOOKUP($B69,test!$A$3:$G$32,6,FALSE) &gt;= (test!$B$35)/1440),1,0)</f>
        <v>0</v>
      </c>
      <c r="X69" s="2">
        <f>IF(AND(VLOOKUP(X$1,test!$A$3:$F$32,5,FALSE) - VLOOKUP($B69,test!$A$3:$G$32,6,FALSE) &gt;= (test!$B$35)/1440),1,0)</f>
        <v>0</v>
      </c>
      <c r="Y69" s="2">
        <f>IF(AND(VLOOKUP(Y$1,test!$A$3:$F$32,5,FALSE) - VLOOKUP($B69,test!$A$3:$G$32,6,FALSE) &gt;= (test!$B$35)/1440),1,0)</f>
        <v>0</v>
      </c>
      <c r="Z69" s="2">
        <f>IF(AND(VLOOKUP(Z$1,test!$A$3:$F$32,5,FALSE) - VLOOKUP($B69,test!$A$3:$G$32,6,FALSE) &gt;= (test!$B$35)/1440),1,0)</f>
        <v>0</v>
      </c>
      <c r="AA69" s="2">
        <f>IF(AND(VLOOKUP(AA$1,test!$A$3:$F$32,5,FALSE) - VLOOKUP($B69,test!$A$3:$G$32,6,FALSE) &gt;= (test!$B$35)/1440),1,0)</f>
        <v>0</v>
      </c>
      <c r="AB69" s="2">
        <f>IF(AND(VLOOKUP(AB$1,test!$A$3:$F$32,5,FALSE) - VLOOKUP($B69,test!$A$3:$G$32,6,FALSE) &gt;= (test!$B$35)/1440),1,0)</f>
        <v>0</v>
      </c>
      <c r="AC69" s="2">
        <f>IF(AND(VLOOKUP(AC$1,test!$A$3:$F$32,5,FALSE) - VLOOKUP($B69,test!$A$3:$G$32,6,FALSE) &gt;= (test!$B$35)/1440),1,0)</f>
        <v>0</v>
      </c>
      <c r="AD69" s="2">
        <f>IF(AND(VLOOKUP(AD$1,test!$A$3:$F$32,5,FALSE) - VLOOKUP($B69,test!$A$3:$G$32,6,FALSE) &gt;= (test!$B$35)/1440),1,0)</f>
        <v>0</v>
      </c>
      <c r="AE69" s="2">
        <f>IF(AND(VLOOKUP(AE$1,test!$A$3:$F$32,5,FALSE) - VLOOKUP($B69,test!$A$3:$G$32,6,FALSE) &gt;= (test!$B$35)/1440),1,0)</f>
        <v>0</v>
      </c>
      <c r="AF69" s="2">
        <f>IF(AND(VLOOKUP(AF$1,test!$A$3:$F$32,5,FALSE) - VLOOKUP($B69,test!$A$3:$G$32,6,FALSE) &gt;= (test!$B$35)/1440),1,0)</f>
        <v>0</v>
      </c>
      <c r="AG69" s="2">
        <f>IF(AND(VLOOKUP(AG$1,test!$A$3:$F$32,5,FALSE) - VLOOKUP($B69,test!$A$3:$G$32,6,FALSE) &gt;= (test!$B$35)/1440),1,0)</f>
        <v>0</v>
      </c>
    </row>
    <row r="70" spans="1:33" x14ac:dyDescent="0.25">
      <c r="A70" t="s">
        <v>60</v>
      </c>
      <c r="B70" t="s">
        <v>13</v>
      </c>
      <c r="C70">
        <v>0</v>
      </c>
      <c r="D70" s="2">
        <f>IF(AND(VLOOKUP(D$1,test!$A$3:$F$32,5,FALSE) - VLOOKUP($B70,test!$A$3:$G$32,6,FALSE) &gt;= (test!$B$35)/1440),1,0)</f>
        <v>0</v>
      </c>
      <c r="E70" s="2">
        <f>IF(AND(VLOOKUP(E$1,test!$A$3:$F$32,5,FALSE) - VLOOKUP($B70,test!$A$3:$G$32,6,FALSE) &gt;= (test!$B$35)/1440),1,0)</f>
        <v>0</v>
      </c>
      <c r="F70" s="2">
        <f>IF(AND(VLOOKUP(F$1,test!$A$3:$F$32,5,FALSE) - VLOOKUP($B70,test!$A$3:$G$32,6,FALSE) &gt;= (test!$B$35)/1440),1,0)</f>
        <v>0</v>
      </c>
      <c r="G70" s="2">
        <f>IF(AND(VLOOKUP(G$1,test!$A$3:$F$32,5,FALSE) - VLOOKUP($B70,test!$A$3:$G$32,6,FALSE) &gt;= (test!$B$35)/1440),1,0)</f>
        <v>0</v>
      </c>
      <c r="H70" s="2">
        <f>IF(AND(VLOOKUP(H$1,test!$A$3:$F$32,5,FALSE) - VLOOKUP($B70,test!$A$3:$G$32,6,FALSE) &gt;= (test!$B$35)/1440),1,0)</f>
        <v>0</v>
      </c>
      <c r="I70" s="2">
        <f>IF(AND(VLOOKUP(I$1,test!$A$3:$F$32,5,FALSE) - VLOOKUP($B70,test!$A$3:$G$32,6,FALSE) &gt;= (test!$B$35)/1440),1,0)</f>
        <v>0</v>
      </c>
      <c r="J70" s="2">
        <f>IF(AND(VLOOKUP(J$1,test!$A$3:$F$32,5,FALSE) - VLOOKUP($B70,test!$A$3:$G$32,6,FALSE) &gt;= (test!$B$35)/1440),1,0)</f>
        <v>0</v>
      </c>
      <c r="K70" s="2">
        <f>IF(AND(VLOOKUP(K$1,test!$A$3:$F$32,5,FALSE) - VLOOKUP($B70,test!$A$3:$G$32,6,FALSE) &gt;= (test!$B$35)/1440),1,0)</f>
        <v>0</v>
      </c>
      <c r="L70" s="2">
        <f>IF(AND(VLOOKUP(L$1,test!$A$3:$F$32,5,FALSE) - VLOOKUP($B70,test!$A$3:$G$32,6,FALSE) &gt;= (test!$B$35)/1440),1,0)</f>
        <v>0</v>
      </c>
      <c r="M70" s="2">
        <f>IF(AND(VLOOKUP(M$1,test!$A$3:$F$32,5,FALSE) - VLOOKUP($B70,test!$A$3:$G$32,6,FALSE) &gt;= (test!$B$35)/1440),1,0)</f>
        <v>0</v>
      </c>
      <c r="N70" s="2">
        <f>IF(AND(VLOOKUP(N$1,test!$A$3:$F$32,5,FALSE) - VLOOKUP($B70,test!$A$3:$G$32,6,FALSE) &gt;= (test!$B$35)/1440),1,0)</f>
        <v>0</v>
      </c>
      <c r="O70" s="2">
        <f>IF(AND(VLOOKUP(O$1,test!$A$3:$F$32,5,FALSE) - VLOOKUP($B70,test!$A$3:$G$32,6,FALSE) &gt;= (test!$B$35)/1440),1,0)</f>
        <v>0</v>
      </c>
      <c r="P70" s="2">
        <f>IF(AND(VLOOKUP(P$1,test!$A$3:$F$32,5,FALSE) - VLOOKUP($B70,test!$A$3:$G$32,6,FALSE) &gt;= (test!$B$35)/1440),1,0)</f>
        <v>0</v>
      </c>
      <c r="Q70" s="2">
        <f>IF(AND(VLOOKUP(Q$1,test!$A$3:$F$32,5,FALSE) - VLOOKUP($B70,test!$A$3:$G$32,6,FALSE) &gt;= (test!$B$35)/1440),1,0)</f>
        <v>0</v>
      </c>
      <c r="R70" s="2">
        <f>IF(AND(VLOOKUP(R$1,test!$A$3:$F$32,5,FALSE) - VLOOKUP($B70,test!$A$3:$G$32,6,FALSE) &gt;= (test!$B$35)/1440),1,0)</f>
        <v>0</v>
      </c>
      <c r="S70" s="2">
        <f>IF(AND(VLOOKUP(S$1,test!$A$3:$F$32,5,FALSE) - VLOOKUP($B70,test!$A$3:$G$32,6,FALSE) &gt;= (test!$B$35)/1440),1,0)</f>
        <v>0</v>
      </c>
      <c r="T70" s="2">
        <f>IF(AND(VLOOKUP(T$1,test!$A$3:$F$32,5,FALSE) - VLOOKUP($B70,test!$A$3:$G$32,6,FALSE) &gt;= (test!$B$35)/1440),1,0)</f>
        <v>0</v>
      </c>
      <c r="U70" s="2">
        <f>IF(AND(VLOOKUP(U$1,test!$A$3:$F$32,5,FALSE) - VLOOKUP($B70,test!$A$3:$G$32,6,FALSE) &gt;= (test!$B$35)/1440),1,0)</f>
        <v>0</v>
      </c>
      <c r="V70" s="2">
        <f>IF(AND(VLOOKUP(V$1,test!$A$3:$F$32,5,FALSE) - VLOOKUP($B70,test!$A$3:$G$32,6,FALSE) &gt;= (test!$B$35)/1440),1,0)</f>
        <v>0</v>
      </c>
      <c r="W70" s="2">
        <f>IF(AND(VLOOKUP(W$1,test!$A$3:$F$32,5,FALSE) - VLOOKUP($B70,test!$A$3:$G$32,6,FALSE) &gt;= (test!$B$35)/1440),1,0)</f>
        <v>0</v>
      </c>
      <c r="X70" s="2">
        <f>IF(AND(VLOOKUP(X$1,test!$A$3:$F$32,5,FALSE) - VLOOKUP($B70,test!$A$3:$G$32,6,FALSE) &gt;= (test!$B$35)/1440),1,0)</f>
        <v>0</v>
      </c>
      <c r="Y70" s="2">
        <f>IF(AND(VLOOKUP(Y$1,test!$A$3:$F$32,5,FALSE) - VLOOKUP($B70,test!$A$3:$G$32,6,FALSE) &gt;= (test!$B$35)/1440),1,0)</f>
        <v>0</v>
      </c>
      <c r="Z70" s="2">
        <f>IF(AND(VLOOKUP(Z$1,test!$A$3:$F$32,5,FALSE) - VLOOKUP($B70,test!$A$3:$G$32,6,FALSE) &gt;= (test!$B$35)/1440),1,0)</f>
        <v>0</v>
      </c>
      <c r="AA70" s="2">
        <f>IF(AND(VLOOKUP(AA$1,test!$A$3:$F$32,5,FALSE) - VLOOKUP($B70,test!$A$3:$G$32,6,FALSE) &gt;= (test!$B$35)/1440),1,0)</f>
        <v>0</v>
      </c>
      <c r="AB70" s="2">
        <f>IF(AND(VLOOKUP(AB$1,test!$A$3:$F$32,5,FALSE) - VLOOKUP($B70,test!$A$3:$G$32,6,FALSE) &gt;= (test!$B$35)/1440),1,0)</f>
        <v>0</v>
      </c>
      <c r="AC70" s="2">
        <f>IF(AND(VLOOKUP(AC$1,test!$A$3:$F$32,5,FALSE) - VLOOKUP($B70,test!$A$3:$G$32,6,FALSE) &gt;= (test!$B$35)/1440),1,0)</f>
        <v>0</v>
      </c>
      <c r="AD70" s="2">
        <f>IF(AND(VLOOKUP(AD$1,test!$A$3:$F$32,5,FALSE) - VLOOKUP($B70,test!$A$3:$G$32,6,FALSE) &gt;= (test!$B$35)/1440),1,0)</f>
        <v>0</v>
      </c>
      <c r="AE70" s="2">
        <f>IF(AND(VLOOKUP(AE$1,test!$A$3:$F$32,5,FALSE) - VLOOKUP($B70,test!$A$3:$G$32,6,FALSE) &gt;= (test!$B$35)/1440),1,0)</f>
        <v>0</v>
      </c>
      <c r="AF70" s="2">
        <f>IF(AND(VLOOKUP(AF$1,test!$A$3:$F$32,5,FALSE) - VLOOKUP($B70,test!$A$3:$G$32,6,FALSE) &gt;= (test!$B$35)/1440),1,0)</f>
        <v>0</v>
      </c>
      <c r="AG70" s="2">
        <f>IF(AND(VLOOKUP(AG$1,test!$A$3:$F$32,5,FALSE) - VLOOKUP($B70,test!$A$3:$G$32,6,FALSE) &gt;= (test!$B$35)/1440),1,0)</f>
        <v>0</v>
      </c>
    </row>
    <row r="71" spans="1:33" x14ac:dyDescent="0.25">
      <c r="A71" t="s">
        <v>60</v>
      </c>
      <c r="B71" t="s">
        <v>14</v>
      </c>
      <c r="C71">
        <v>0</v>
      </c>
      <c r="D71" s="2">
        <f>IF(AND(VLOOKUP(D$1,test!$A$3:$F$32,5,FALSE) - VLOOKUP($B71,test!$A$3:$G$32,6,FALSE) &gt;= (test!$B$35)/1440),1,0)</f>
        <v>0</v>
      </c>
      <c r="E71" s="2">
        <f>IF(AND(VLOOKUP(E$1,test!$A$3:$F$32,5,FALSE) - VLOOKUP($B71,test!$A$3:$G$32,6,FALSE) &gt;= (test!$B$35)/1440),1,0)</f>
        <v>0</v>
      </c>
      <c r="F71" s="2">
        <f>IF(AND(VLOOKUP(F$1,test!$A$3:$F$32,5,FALSE) - VLOOKUP($B71,test!$A$3:$G$32,6,FALSE) &gt;= (test!$B$35)/1440),1,0)</f>
        <v>0</v>
      </c>
      <c r="G71" s="2">
        <f>IF(AND(VLOOKUP(G$1,test!$A$3:$F$32,5,FALSE) - VLOOKUP($B71,test!$A$3:$G$32,6,FALSE) &gt;= (test!$B$35)/1440),1,0)</f>
        <v>0</v>
      </c>
      <c r="H71" s="2">
        <f>IF(AND(VLOOKUP(H$1,test!$A$3:$F$32,5,FALSE) - VLOOKUP($B71,test!$A$3:$G$32,6,FALSE) &gt;= (test!$B$35)/1440),1,0)</f>
        <v>0</v>
      </c>
      <c r="I71" s="2">
        <f>IF(AND(VLOOKUP(I$1,test!$A$3:$F$32,5,FALSE) - VLOOKUP($B71,test!$A$3:$G$32,6,FALSE) &gt;= (test!$B$35)/1440),1,0)</f>
        <v>0</v>
      </c>
      <c r="J71" s="2">
        <f>IF(AND(VLOOKUP(J$1,test!$A$3:$F$32,5,FALSE) - VLOOKUP($B71,test!$A$3:$G$32,6,FALSE) &gt;= (test!$B$35)/1440),1,0)</f>
        <v>0</v>
      </c>
      <c r="K71" s="2">
        <f>IF(AND(VLOOKUP(K$1,test!$A$3:$F$32,5,FALSE) - VLOOKUP($B71,test!$A$3:$G$32,6,FALSE) &gt;= (test!$B$35)/1440),1,0)</f>
        <v>0</v>
      </c>
      <c r="L71" s="2">
        <f>IF(AND(VLOOKUP(L$1,test!$A$3:$F$32,5,FALSE) - VLOOKUP($B71,test!$A$3:$G$32,6,FALSE) &gt;= (test!$B$35)/1440),1,0)</f>
        <v>0</v>
      </c>
      <c r="M71" s="2">
        <f>IF(AND(VLOOKUP(M$1,test!$A$3:$F$32,5,FALSE) - VLOOKUP($B71,test!$A$3:$G$32,6,FALSE) &gt;= (test!$B$35)/1440),1,0)</f>
        <v>0</v>
      </c>
      <c r="N71" s="2">
        <f>IF(AND(VLOOKUP(N$1,test!$A$3:$F$32,5,FALSE) - VLOOKUP($B71,test!$A$3:$G$32,6,FALSE) &gt;= (test!$B$35)/1440),1,0)</f>
        <v>0</v>
      </c>
      <c r="O71" s="2">
        <f>IF(AND(VLOOKUP(O$1,test!$A$3:$F$32,5,FALSE) - VLOOKUP($B71,test!$A$3:$G$32,6,FALSE) &gt;= (test!$B$35)/1440),1,0)</f>
        <v>0</v>
      </c>
      <c r="P71" s="2">
        <f>IF(AND(VLOOKUP(P$1,test!$A$3:$F$32,5,FALSE) - VLOOKUP($B71,test!$A$3:$G$32,6,FALSE) &gt;= (test!$B$35)/1440),1,0)</f>
        <v>0</v>
      </c>
      <c r="Q71" s="2">
        <f>IF(AND(VLOOKUP(Q$1,test!$A$3:$F$32,5,FALSE) - VLOOKUP($B71,test!$A$3:$G$32,6,FALSE) &gt;= (test!$B$35)/1440),1,0)</f>
        <v>0</v>
      </c>
      <c r="R71" s="2">
        <f>IF(AND(VLOOKUP(R$1,test!$A$3:$F$32,5,FALSE) - VLOOKUP($B71,test!$A$3:$G$32,6,FALSE) &gt;= (test!$B$35)/1440),1,0)</f>
        <v>0</v>
      </c>
      <c r="S71" s="2">
        <f>IF(AND(VLOOKUP(S$1,test!$A$3:$F$32,5,FALSE) - VLOOKUP($B71,test!$A$3:$G$32,6,FALSE) &gt;= (test!$B$35)/1440),1,0)</f>
        <v>0</v>
      </c>
      <c r="T71" s="2">
        <f>IF(AND(VLOOKUP(T$1,test!$A$3:$F$32,5,FALSE) - VLOOKUP($B71,test!$A$3:$G$32,6,FALSE) &gt;= (test!$B$35)/1440),1,0)</f>
        <v>0</v>
      </c>
      <c r="U71" s="2">
        <f>IF(AND(VLOOKUP(U$1,test!$A$3:$F$32,5,FALSE) - VLOOKUP($B71,test!$A$3:$G$32,6,FALSE) &gt;= (test!$B$35)/1440),1,0)</f>
        <v>0</v>
      </c>
      <c r="V71" s="2">
        <f>IF(AND(VLOOKUP(V$1,test!$A$3:$F$32,5,FALSE) - VLOOKUP($B71,test!$A$3:$G$32,6,FALSE) &gt;= (test!$B$35)/1440),1,0)</f>
        <v>0</v>
      </c>
      <c r="W71" s="2">
        <f>IF(AND(VLOOKUP(W$1,test!$A$3:$F$32,5,FALSE) - VLOOKUP($B71,test!$A$3:$G$32,6,FALSE) &gt;= (test!$B$35)/1440),1,0)</f>
        <v>0</v>
      </c>
      <c r="X71" s="2">
        <f>IF(AND(VLOOKUP(X$1,test!$A$3:$F$32,5,FALSE) - VLOOKUP($B71,test!$A$3:$G$32,6,FALSE) &gt;= (test!$B$35)/1440),1,0)</f>
        <v>0</v>
      </c>
      <c r="Y71" s="2">
        <f>IF(AND(VLOOKUP(Y$1,test!$A$3:$F$32,5,FALSE) - VLOOKUP($B71,test!$A$3:$G$32,6,FALSE) &gt;= (test!$B$35)/1440),1,0)</f>
        <v>0</v>
      </c>
      <c r="Z71" s="2">
        <f>IF(AND(VLOOKUP(Z$1,test!$A$3:$F$32,5,FALSE) - VLOOKUP($B71,test!$A$3:$G$32,6,FALSE) &gt;= (test!$B$35)/1440),1,0)</f>
        <v>0</v>
      </c>
      <c r="AA71" s="2">
        <f>IF(AND(VLOOKUP(AA$1,test!$A$3:$F$32,5,FALSE) - VLOOKUP($B71,test!$A$3:$G$32,6,FALSE) &gt;= (test!$B$35)/1440),1,0)</f>
        <v>0</v>
      </c>
      <c r="AB71" s="2">
        <f>IF(AND(VLOOKUP(AB$1,test!$A$3:$F$32,5,FALSE) - VLOOKUP($B71,test!$A$3:$G$32,6,FALSE) &gt;= (test!$B$35)/1440),1,0)</f>
        <v>0</v>
      </c>
      <c r="AC71" s="2">
        <f>IF(AND(VLOOKUP(AC$1,test!$A$3:$F$32,5,FALSE) - VLOOKUP($B71,test!$A$3:$G$32,6,FALSE) &gt;= (test!$B$35)/1440),1,0)</f>
        <v>0</v>
      </c>
      <c r="AD71" s="2">
        <f>IF(AND(VLOOKUP(AD$1,test!$A$3:$F$32,5,FALSE) - VLOOKUP($B71,test!$A$3:$G$32,6,FALSE) &gt;= (test!$B$35)/1440),1,0)</f>
        <v>0</v>
      </c>
      <c r="AE71" s="2">
        <f>IF(AND(VLOOKUP(AE$1,test!$A$3:$F$32,5,FALSE) - VLOOKUP($B71,test!$A$3:$G$32,6,FALSE) &gt;= (test!$B$35)/1440),1,0)</f>
        <v>0</v>
      </c>
      <c r="AF71" s="2">
        <f>IF(AND(VLOOKUP(AF$1,test!$A$3:$F$32,5,FALSE) - VLOOKUP($B71,test!$A$3:$G$32,6,FALSE) &gt;= (test!$B$35)/1440),1,0)</f>
        <v>0</v>
      </c>
      <c r="AG71" s="2">
        <f>IF(AND(VLOOKUP(AG$1,test!$A$3:$F$32,5,FALSE) - VLOOKUP($B71,test!$A$3:$G$32,6,FALSE) &gt;= (test!$B$35)/1440),1,0)</f>
        <v>0</v>
      </c>
    </row>
    <row r="72" spans="1:33" x14ac:dyDescent="0.25">
      <c r="A72" t="s">
        <v>60</v>
      </c>
      <c r="B72" t="s">
        <v>15</v>
      </c>
      <c r="C72">
        <v>0</v>
      </c>
      <c r="D72" s="2">
        <f>IF(AND(VLOOKUP(D$1,test!$A$3:$F$32,5,FALSE) - VLOOKUP($B72,test!$A$3:$G$32,6,FALSE) &gt;= (test!$B$35)/1440),1,0)</f>
        <v>0</v>
      </c>
      <c r="E72" s="2">
        <f>IF(AND(VLOOKUP(E$1,test!$A$3:$F$32,5,FALSE) - VLOOKUP($B72,test!$A$3:$G$32,6,FALSE) &gt;= (test!$B$35)/1440),1,0)</f>
        <v>0</v>
      </c>
      <c r="F72" s="2">
        <f>IF(AND(VLOOKUP(F$1,test!$A$3:$F$32,5,FALSE) - VLOOKUP($B72,test!$A$3:$G$32,6,FALSE) &gt;= (test!$B$35)/1440),1,0)</f>
        <v>0</v>
      </c>
      <c r="G72" s="2">
        <f>IF(AND(VLOOKUP(G$1,test!$A$3:$F$32,5,FALSE) - VLOOKUP($B72,test!$A$3:$G$32,6,FALSE) &gt;= (test!$B$35)/1440),1,0)</f>
        <v>0</v>
      </c>
      <c r="H72" s="2">
        <f>IF(AND(VLOOKUP(H$1,test!$A$3:$F$32,5,FALSE) - VLOOKUP($B72,test!$A$3:$G$32,6,FALSE) &gt;= (test!$B$35)/1440),1,0)</f>
        <v>0</v>
      </c>
      <c r="I72" s="2">
        <f>IF(AND(VLOOKUP(I$1,test!$A$3:$F$32,5,FALSE) - VLOOKUP($B72,test!$A$3:$G$32,6,FALSE) &gt;= (test!$B$35)/1440),1,0)</f>
        <v>0</v>
      </c>
      <c r="J72" s="2">
        <f>IF(AND(VLOOKUP(J$1,test!$A$3:$F$32,5,FALSE) - VLOOKUP($B72,test!$A$3:$G$32,6,FALSE) &gt;= (test!$B$35)/1440),1,0)</f>
        <v>0</v>
      </c>
      <c r="K72" s="2">
        <f>IF(AND(VLOOKUP(K$1,test!$A$3:$F$32,5,FALSE) - VLOOKUP($B72,test!$A$3:$G$32,6,FALSE) &gt;= (test!$B$35)/1440),1,0)</f>
        <v>0</v>
      </c>
      <c r="L72" s="2">
        <f>IF(AND(VLOOKUP(L$1,test!$A$3:$F$32,5,FALSE) - VLOOKUP($B72,test!$A$3:$G$32,6,FALSE) &gt;= (test!$B$35)/1440),1,0)</f>
        <v>0</v>
      </c>
      <c r="M72" s="2">
        <f>IF(AND(VLOOKUP(M$1,test!$A$3:$F$32,5,FALSE) - VLOOKUP($B72,test!$A$3:$G$32,6,FALSE) &gt;= (test!$B$35)/1440),1,0)</f>
        <v>0</v>
      </c>
      <c r="N72" s="2">
        <f>IF(AND(VLOOKUP(N$1,test!$A$3:$F$32,5,FALSE) - VLOOKUP($B72,test!$A$3:$G$32,6,FALSE) &gt;= (test!$B$35)/1440),1,0)</f>
        <v>0</v>
      </c>
      <c r="O72" s="2">
        <f>IF(AND(VLOOKUP(O$1,test!$A$3:$F$32,5,FALSE) - VLOOKUP($B72,test!$A$3:$G$32,6,FALSE) &gt;= (test!$B$35)/1440),1,0)</f>
        <v>0</v>
      </c>
      <c r="P72" s="2">
        <f>IF(AND(VLOOKUP(P$1,test!$A$3:$F$32,5,FALSE) - VLOOKUP($B72,test!$A$3:$G$32,6,FALSE) &gt;= (test!$B$35)/1440),1,0)</f>
        <v>0</v>
      </c>
      <c r="Q72" s="2">
        <f>IF(AND(VLOOKUP(Q$1,test!$A$3:$F$32,5,FALSE) - VLOOKUP($B72,test!$A$3:$G$32,6,FALSE) &gt;= (test!$B$35)/1440),1,0)</f>
        <v>0</v>
      </c>
      <c r="R72" s="2">
        <f>IF(AND(VLOOKUP(R$1,test!$A$3:$F$32,5,FALSE) - VLOOKUP($B72,test!$A$3:$G$32,6,FALSE) &gt;= (test!$B$35)/1440),1,0)</f>
        <v>0</v>
      </c>
      <c r="S72" s="2">
        <f>IF(AND(VLOOKUP(S$1,test!$A$3:$F$32,5,FALSE) - VLOOKUP($B72,test!$A$3:$G$32,6,FALSE) &gt;= (test!$B$35)/1440),1,0)</f>
        <v>0</v>
      </c>
      <c r="T72" s="2">
        <f>IF(AND(VLOOKUP(T$1,test!$A$3:$F$32,5,FALSE) - VLOOKUP($B72,test!$A$3:$G$32,6,FALSE) &gt;= (test!$B$35)/1440),1,0)</f>
        <v>0</v>
      </c>
      <c r="U72" s="2">
        <f>IF(AND(VLOOKUP(U$1,test!$A$3:$F$32,5,FALSE) - VLOOKUP($B72,test!$A$3:$G$32,6,FALSE) &gt;= (test!$B$35)/1440),1,0)</f>
        <v>0</v>
      </c>
      <c r="V72" s="2">
        <f>IF(AND(VLOOKUP(V$1,test!$A$3:$F$32,5,FALSE) - VLOOKUP($B72,test!$A$3:$G$32,6,FALSE) &gt;= (test!$B$35)/1440),1,0)</f>
        <v>0</v>
      </c>
      <c r="W72" s="2">
        <f>IF(AND(VLOOKUP(W$1,test!$A$3:$F$32,5,FALSE) - VLOOKUP($B72,test!$A$3:$G$32,6,FALSE) &gt;= (test!$B$35)/1440),1,0)</f>
        <v>0</v>
      </c>
      <c r="X72" s="2">
        <f>IF(AND(VLOOKUP(X$1,test!$A$3:$F$32,5,FALSE) - VLOOKUP($B72,test!$A$3:$G$32,6,FALSE) &gt;= (test!$B$35)/1440),1,0)</f>
        <v>0</v>
      </c>
      <c r="Y72" s="2">
        <f>IF(AND(VLOOKUP(Y$1,test!$A$3:$F$32,5,FALSE) - VLOOKUP($B72,test!$A$3:$G$32,6,FALSE) &gt;= (test!$B$35)/1440),1,0)</f>
        <v>0</v>
      </c>
      <c r="Z72" s="2">
        <f>IF(AND(VLOOKUP(Z$1,test!$A$3:$F$32,5,FALSE) - VLOOKUP($B72,test!$A$3:$G$32,6,FALSE) &gt;= (test!$B$35)/1440),1,0)</f>
        <v>0</v>
      </c>
      <c r="AA72" s="2">
        <f>IF(AND(VLOOKUP(AA$1,test!$A$3:$F$32,5,FALSE) - VLOOKUP($B72,test!$A$3:$G$32,6,FALSE) &gt;= (test!$B$35)/1440),1,0)</f>
        <v>0</v>
      </c>
      <c r="AB72" s="2">
        <f>IF(AND(VLOOKUP(AB$1,test!$A$3:$F$32,5,FALSE) - VLOOKUP($B72,test!$A$3:$G$32,6,FALSE) &gt;= (test!$B$35)/1440),1,0)</f>
        <v>0</v>
      </c>
      <c r="AC72" s="2">
        <f>IF(AND(VLOOKUP(AC$1,test!$A$3:$F$32,5,FALSE) - VLOOKUP($B72,test!$A$3:$G$32,6,FALSE) &gt;= (test!$B$35)/1440),1,0)</f>
        <v>0</v>
      </c>
      <c r="AD72" s="2">
        <f>IF(AND(VLOOKUP(AD$1,test!$A$3:$F$32,5,FALSE) - VLOOKUP($B72,test!$A$3:$G$32,6,FALSE) &gt;= (test!$B$35)/1440),1,0)</f>
        <v>0</v>
      </c>
      <c r="AE72" s="2">
        <f>IF(AND(VLOOKUP(AE$1,test!$A$3:$F$32,5,FALSE) - VLOOKUP($B72,test!$A$3:$G$32,6,FALSE) &gt;= (test!$B$35)/1440),1,0)</f>
        <v>0</v>
      </c>
      <c r="AF72" s="2">
        <f>IF(AND(VLOOKUP(AF$1,test!$A$3:$F$32,5,FALSE) - VLOOKUP($B72,test!$A$3:$G$32,6,FALSE) &gt;= (test!$B$35)/1440),1,0)</f>
        <v>0</v>
      </c>
      <c r="AG72" s="2">
        <f>IF(AND(VLOOKUP(AG$1,test!$A$3:$F$32,5,FALSE) - VLOOKUP($B72,test!$A$3:$G$32,6,FALSE) &gt;= (test!$B$35)/1440),1,0)</f>
        <v>0</v>
      </c>
    </row>
    <row r="73" spans="1:33" x14ac:dyDescent="0.25">
      <c r="A73" t="s">
        <v>60</v>
      </c>
      <c r="B73" t="s">
        <v>18</v>
      </c>
      <c r="C73">
        <v>0</v>
      </c>
      <c r="D73" s="2">
        <f>IF(AND(VLOOKUP(D$1,test!$A$3:$F$32,5,FALSE) - VLOOKUP($B73,test!$A$3:$G$32,6,FALSE) &gt;= (test!$B$35)/1440),1,0)</f>
        <v>0</v>
      </c>
      <c r="E73" s="2">
        <f>IF(AND(VLOOKUP(E$1,test!$A$3:$F$32,5,FALSE) - VLOOKUP($B73,test!$A$3:$G$32,6,FALSE) &gt;= (test!$B$35)/1440),1,0)</f>
        <v>0</v>
      </c>
      <c r="F73" s="2">
        <f>IF(AND(VLOOKUP(F$1,test!$A$3:$F$32,5,FALSE) - VLOOKUP($B73,test!$A$3:$G$32,6,FALSE) &gt;= (test!$B$35)/1440),1,0)</f>
        <v>1</v>
      </c>
      <c r="G73" s="2">
        <f>IF(AND(VLOOKUP(G$1,test!$A$3:$F$32,5,FALSE) - VLOOKUP($B73,test!$A$3:$G$32,6,FALSE) &gt;= (test!$B$35)/1440),1,0)</f>
        <v>1</v>
      </c>
      <c r="H73" s="2">
        <f>IF(AND(VLOOKUP(H$1,test!$A$3:$F$32,5,FALSE) - VLOOKUP($B73,test!$A$3:$G$32,6,FALSE) &gt;= (test!$B$35)/1440),1,0)</f>
        <v>1</v>
      </c>
      <c r="I73" s="2">
        <f>IF(AND(VLOOKUP(I$1,test!$A$3:$F$32,5,FALSE) - VLOOKUP($B73,test!$A$3:$G$32,6,FALSE) &gt;= (test!$B$35)/1440),1,0)</f>
        <v>1</v>
      </c>
      <c r="J73" s="2">
        <f>IF(AND(VLOOKUP(J$1,test!$A$3:$F$32,5,FALSE) - VLOOKUP($B73,test!$A$3:$G$32,6,FALSE) &gt;= (test!$B$35)/1440),1,0)</f>
        <v>1</v>
      </c>
      <c r="K73" s="2">
        <f>IF(AND(VLOOKUP(K$1,test!$A$3:$F$32,5,FALSE) - VLOOKUP($B73,test!$A$3:$G$32,6,FALSE) &gt;= (test!$B$35)/1440),1,0)</f>
        <v>1</v>
      </c>
      <c r="L73" s="2">
        <f>IF(AND(VLOOKUP(L$1,test!$A$3:$F$32,5,FALSE) - VLOOKUP($B73,test!$A$3:$G$32,6,FALSE) &gt;= (test!$B$35)/1440),1,0)</f>
        <v>0</v>
      </c>
      <c r="M73" s="2">
        <f>IF(AND(VLOOKUP(M$1,test!$A$3:$F$32,5,FALSE) - VLOOKUP($B73,test!$A$3:$G$32,6,FALSE) &gt;= (test!$B$35)/1440),1,0)</f>
        <v>0</v>
      </c>
      <c r="N73" s="2">
        <f>IF(AND(VLOOKUP(N$1,test!$A$3:$F$32,5,FALSE) - VLOOKUP($B73,test!$A$3:$G$32,6,FALSE) &gt;= (test!$B$35)/1440),1,0)</f>
        <v>1</v>
      </c>
      <c r="O73" s="2">
        <f>IF(AND(VLOOKUP(O$1,test!$A$3:$F$32,5,FALSE) - VLOOKUP($B73,test!$A$3:$G$32,6,FALSE) &gt;= (test!$B$35)/1440),1,0)</f>
        <v>1</v>
      </c>
      <c r="P73" s="2">
        <f>IF(AND(VLOOKUP(P$1,test!$A$3:$F$32,5,FALSE) - VLOOKUP($B73,test!$A$3:$G$32,6,FALSE) &gt;= (test!$B$35)/1440),1,0)</f>
        <v>1</v>
      </c>
      <c r="Q73" s="2">
        <f>IF(AND(VLOOKUP(Q$1,test!$A$3:$F$32,5,FALSE) - VLOOKUP($B73,test!$A$3:$G$32,6,FALSE) &gt;= (test!$B$35)/1440),1,0)</f>
        <v>0</v>
      </c>
      <c r="R73" s="2">
        <f>IF(AND(VLOOKUP(R$1,test!$A$3:$F$32,5,FALSE) - VLOOKUP($B73,test!$A$3:$G$32,6,FALSE) &gt;= (test!$B$35)/1440),1,0)</f>
        <v>0</v>
      </c>
      <c r="S73" s="2">
        <f>IF(AND(VLOOKUP(S$1,test!$A$3:$F$32,5,FALSE) - VLOOKUP($B73,test!$A$3:$G$32,6,FALSE) &gt;= (test!$B$35)/1440),1,0)</f>
        <v>0</v>
      </c>
      <c r="T73" s="2">
        <f>IF(AND(VLOOKUP(T$1,test!$A$3:$F$32,5,FALSE) - VLOOKUP($B73,test!$A$3:$G$32,6,FALSE) &gt;= (test!$B$35)/1440),1,0)</f>
        <v>0</v>
      </c>
      <c r="U73" s="2">
        <f>IF(AND(VLOOKUP(U$1,test!$A$3:$F$32,5,FALSE) - VLOOKUP($B73,test!$A$3:$G$32,6,FALSE) &gt;= (test!$B$35)/1440),1,0)</f>
        <v>1</v>
      </c>
      <c r="V73" s="2">
        <f>IF(AND(VLOOKUP(V$1,test!$A$3:$F$32,5,FALSE) - VLOOKUP($B73,test!$A$3:$G$32,6,FALSE) &gt;= (test!$B$35)/1440),1,0)</f>
        <v>1</v>
      </c>
      <c r="W73" s="2">
        <f>IF(AND(VLOOKUP(W$1,test!$A$3:$F$32,5,FALSE) - VLOOKUP($B73,test!$A$3:$G$32,6,FALSE) &gt;= (test!$B$35)/1440),1,0)</f>
        <v>1</v>
      </c>
      <c r="X73" s="2">
        <f>IF(AND(VLOOKUP(X$1,test!$A$3:$F$32,5,FALSE) - VLOOKUP($B73,test!$A$3:$G$32,6,FALSE) &gt;= (test!$B$35)/1440),1,0)</f>
        <v>1</v>
      </c>
      <c r="Y73" s="2">
        <f>IF(AND(VLOOKUP(Y$1,test!$A$3:$F$32,5,FALSE) - VLOOKUP($B73,test!$A$3:$G$32,6,FALSE) &gt;= (test!$B$35)/1440),1,0)</f>
        <v>1</v>
      </c>
      <c r="Z73" s="2">
        <f>IF(AND(VLOOKUP(Z$1,test!$A$3:$F$32,5,FALSE) - VLOOKUP($B73,test!$A$3:$G$32,6,FALSE) &gt;= (test!$B$35)/1440),1,0)</f>
        <v>0</v>
      </c>
      <c r="AA73" s="2">
        <f>IF(AND(VLOOKUP(AA$1,test!$A$3:$F$32,5,FALSE) - VLOOKUP($B73,test!$A$3:$G$32,6,FALSE) &gt;= (test!$B$35)/1440),1,0)</f>
        <v>0</v>
      </c>
      <c r="AB73" s="2">
        <f>IF(AND(VLOOKUP(AB$1,test!$A$3:$F$32,5,FALSE) - VLOOKUP($B73,test!$A$3:$G$32,6,FALSE) &gt;= (test!$B$35)/1440),1,0)</f>
        <v>1</v>
      </c>
      <c r="AC73" s="2">
        <f>IF(AND(VLOOKUP(AC$1,test!$A$3:$F$32,5,FALSE) - VLOOKUP($B73,test!$A$3:$G$32,6,FALSE) &gt;= (test!$B$35)/1440),1,0)</f>
        <v>1</v>
      </c>
      <c r="AD73" s="2">
        <f>IF(AND(VLOOKUP(AD$1,test!$A$3:$F$32,5,FALSE) - VLOOKUP($B73,test!$A$3:$G$32,6,FALSE) &gt;= (test!$B$35)/1440),1,0)</f>
        <v>1</v>
      </c>
      <c r="AE73" s="2">
        <f>IF(AND(VLOOKUP(AE$1,test!$A$3:$F$32,5,FALSE) - VLOOKUP($B73,test!$A$3:$G$32,6,FALSE) &gt;= (test!$B$35)/1440),1,0)</f>
        <v>0</v>
      </c>
      <c r="AF73" s="2">
        <f>IF(AND(VLOOKUP(AF$1,test!$A$3:$F$32,5,FALSE) - VLOOKUP($B73,test!$A$3:$G$32,6,FALSE) &gt;= (test!$B$35)/1440),1,0)</f>
        <v>1</v>
      </c>
      <c r="AG73" s="2">
        <f>IF(AND(VLOOKUP(AG$1,test!$A$3:$F$32,5,FALSE) - VLOOKUP($B73,test!$A$3:$G$32,6,FALSE) &gt;= (test!$B$35)/1440),1,0)</f>
        <v>1</v>
      </c>
    </row>
    <row r="74" spans="1:33" x14ac:dyDescent="0.25">
      <c r="A74" t="s">
        <v>60</v>
      </c>
      <c r="B74" t="s">
        <v>20</v>
      </c>
      <c r="C74">
        <v>0</v>
      </c>
      <c r="D74" s="2">
        <f>IF(AND(VLOOKUP(D$1,test!$A$3:$F$32,5,FALSE) - VLOOKUP($B74,test!$A$3:$G$32,6,FALSE) &gt;= (test!$B$35)/1440),1,0)</f>
        <v>0</v>
      </c>
      <c r="E74" s="2">
        <f>IF(AND(VLOOKUP(E$1,test!$A$3:$F$32,5,FALSE) - VLOOKUP($B74,test!$A$3:$G$32,6,FALSE) &gt;= (test!$B$35)/1440),1,0)</f>
        <v>0</v>
      </c>
      <c r="F74" s="2">
        <f>IF(AND(VLOOKUP(F$1,test!$A$3:$F$32,5,FALSE) - VLOOKUP($B74,test!$A$3:$G$32,6,FALSE) &gt;= (test!$B$35)/1440),1,0)</f>
        <v>0</v>
      </c>
      <c r="G74" s="2">
        <f>IF(AND(VLOOKUP(G$1,test!$A$3:$F$32,5,FALSE) - VLOOKUP($B74,test!$A$3:$G$32,6,FALSE) &gt;= (test!$B$35)/1440),1,0)</f>
        <v>1</v>
      </c>
      <c r="H74" s="2">
        <f>IF(AND(VLOOKUP(H$1,test!$A$3:$F$32,5,FALSE) - VLOOKUP($B74,test!$A$3:$G$32,6,FALSE) &gt;= (test!$B$35)/1440),1,0)</f>
        <v>1</v>
      </c>
      <c r="I74" s="2">
        <f>IF(AND(VLOOKUP(I$1,test!$A$3:$F$32,5,FALSE) - VLOOKUP($B74,test!$A$3:$G$32,6,FALSE) &gt;= (test!$B$35)/1440),1,0)</f>
        <v>1</v>
      </c>
      <c r="J74" s="2">
        <f>IF(AND(VLOOKUP(J$1,test!$A$3:$F$32,5,FALSE) - VLOOKUP($B74,test!$A$3:$G$32,6,FALSE) &gt;= (test!$B$35)/1440),1,0)</f>
        <v>1</v>
      </c>
      <c r="K74" s="2">
        <f>IF(AND(VLOOKUP(K$1,test!$A$3:$F$32,5,FALSE) - VLOOKUP($B74,test!$A$3:$G$32,6,FALSE) &gt;= (test!$B$35)/1440),1,0)</f>
        <v>1</v>
      </c>
      <c r="L74" s="2">
        <f>IF(AND(VLOOKUP(L$1,test!$A$3:$F$32,5,FALSE) - VLOOKUP($B74,test!$A$3:$G$32,6,FALSE) &gt;= (test!$B$35)/1440),1,0)</f>
        <v>0</v>
      </c>
      <c r="M74" s="2">
        <f>IF(AND(VLOOKUP(M$1,test!$A$3:$F$32,5,FALSE) - VLOOKUP($B74,test!$A$3:$G$32,6,FALSE) &gt;= (test!$B$35)/1440),1,0)</f>
        <v>0</v>
      </c>
      <c r="N74" s="2">
        <f>IF(AND(VLOOKUP(N$1,test!$A$3:$F$32,5,FALSE) - VLOOKUP($B74,test!$A$3:$G$32,6,FALSE) &gt;= (test!$B$35)/1440),1,0)</f>
        <v>0</v>
      </c>
      <c r="O74" s="2">
        <f>IF(AND(VLOOKUP(O$1,test!$A$3:$F$32,5,FALSE) - VLOOKUP($B74,test!$A$3:$G$32,6,FALSE) &gt;= (test!$B$35)/1440),1,0)</f>
        <v>1</v>
      </c>
      <c r="P74" s="2">
        <f>IF(AND(VLOOKUP(P$1,test!$A$3:$F$32,5,FALSE) - VLOOKUP($B74,test!$A$3:$G$32,6,FALSE) &gt;= (test!$B$35)/1440),1,0)</f>
        <v>1</v>
      </c>
      <c r="Q74" s="2">
        <f>IF(AND(VLOOKUP(Q$1,test!$A$3:$F$32,5,FALSE) - VLOOKUP($B74,test!$A$3:$G$32,6,FALSE) &gt;= (test!$B$35)/1440),1,0)</f>
        <v>0</v>
      </c>
      <c r="R74" s="2">
        <f>IF(AND(VLOOKUP(R$1,test!$A$3:$F$32,5,FALSE) - VLOOKUP($B74,test!$A$3:$G$32,6,FALSE) &gt;= (test!$B$35)/1440),1,0)</f>
        <v>0</v>
      </c>
      <c r="S74" s="2">
        <f>IF(AND(VLOOKUP(S$1,test!$A$3:$F$32,5,FALSE) - VLOOKUP($B74,test!$A$3:$G$32,6,FALSE) &gt;= (test!$B$35)/1440),1,0)</f>
        <v>0</v>
      </c>
      <c r="T74" s="2">
        <f>IF(AND(VLOOKUP(T$1,test!$A$3:$F$32,5,FALSE) - VLOOKUP($B74,test!$A$3:$G$32,6,FALSE) &gt;= (test!$B$35)/1440),1,0)</f>
        <v>0</v>
      </c>
      <c r="U74" s="2">
        <f>IF(AND(VLOOKUP(U$1,test!$A$3:$F$32,5,FALSE) - VLOOKUP($B74,test!$A$3:$G$32,6,FALSE) &gt;= (test!$B$35)/1440),1,0)</f>
        <v>0</v>
      </c>
      <c r="V74" s="2">
        <f>IF(AND(VLOOKUP(V$1,test!$A$3:$F$32,5,FALSE) - VLOOKUP($B74,test!$A$3:$G$32,6,FALSE) &gt;= (test!$B$35)/1440),1,0)</f>
        <v>1</v>
      </c>
      <c r="W74" s="2">
        <f>IF(AND(VLOOKUP(W$1,test!$A$3:$F$32,5,FALSE) - VLOOKUP($B74,test!$A$3:$G$32,6,FALSE) &gt;= (test!$B$35)/1440),1,0)</f>
        <v>1</v>
      </c>
      <c r="X74" s="2">
        <f>IF(AND(VLOOKUP(X$1,test!$A$3:$F$32,5,FALSE) - VLOOKUP($B74,test!$A$3:$G$32,6,FALSE) &gt;= (test!$B$35)/1440),1,0)</f>
        <v>1</v>
      </c>
      <c r="Y74" s="2">
        <f>IF(AND(VLOOKUP(Y$1,test!$A$3:$F$32,5,FALSE) - VLOOKUP($B74,test!$A$3:$G$32,6,FALSE) &gt;= (test!$B$35)/1440),1,0)</f>
        <v>1</v>
      </c>
      <c r="Z74" s="2">
        <f>IF(AND(VLOOKUP(Z$1,test!$A$3:$F$32,5,FALSE) - VLOOKUP($B74,test!$A$3:$G$32,6,FALSE) &gt;= (test!$B$35)/1440),1,0)</f>
        <v>0</v>
      </c>
      <c r="AA74" s="2">
        <f>IF(AND(VLOOKUP(AA$1,test!$A$3:$F$32,5,FALSE) - VLOOKUP($B74,test!$A$3:$G$32,6,FALSE) &gt;= (test!$B$35)/1440),1,0)</f>
        <v>0</v>
      </c>
      <c r="AB74" s="2">
        <f>IF(AND(VLOOKUP(AB$1,test!$A$3:$F$32,5,FALSE) - VLOOKUP($B74,test!$A$3:$G$32,6,FALSE) &gt;= (test!$B$35)/1440),1,0)</f>
        <v>0</v>
      </c>
      <c r="AC74" s="2">
        <f>IF(AND(VLOOKUP(AC$1,test!$A$3:$F$32,5,FALSE) - VLOOKUP($B74,test!$A$3:$G$32,6,FALSE) &gt;= (test!$B$35)/1440),1,0)</f>
        <v>1</v>
      </c>
      <c r="AD74" s="2">
        <f>IF(AND(VLOOKUP(AD$1,test!$A$3:$F$32,5,FALSE) - VLOOKUP($B74,test!$A$3:$G$32,6,FALSE) &gt;= (test!$B$35)/1440),1,0)</f>
        <v>1</v>
      </c>
      <c r="AE74" s="2">
        <f>IF(AND(VLOOKUP(AE$1,test!$A$3:$F$32,5,FALSE) - VLOOKUP($B74,test!$A$3:$G$32,6,FALSE) &gt;= (test!$B$35)/1440),1,0)</f>
        <v>0</v>
      </c>
      <c r="AF74" s="2">
        <f>IF(AND(VLOOKUP(AF$1,test!$A$3:$F$32,5,FALSE) - VLOOKUP($B74,test!$A$3:$G$32,6,FALSE) &gt;= (test!$B$35)/1440),1,0)</f>
        <v>0</v>
      </c>
      <c r="AG74" s="2">
        <f>IF(AND(VLOOKUP(AG$1,test!$A$3:$F$32,5,FALSE) - VLOOKUP($B74,test!$A$3:$G$32,6,FALSE) &gt;= (test!$B$35)/1440),1,0)</f>
        <v>0</v>
      </c>
    </row>
    <row r="75" spans="1:33" x14ac:dyDescent="0.25">
      <c r="A75" t="s">
        <v>60</v>
      </c>
      <c r="B75" t="s">
        <v>21</v>
      </c>
      <c r="C75">
        <v>0</v>
      </c>
      <c r="D75" s="2">
        <f>IF(AND(VLOOKUP(D$1,test!$A$3:$F$32,5,FALSE) - VLOOKUP($B75,test!$A$3:$G$32,6,FALSE) &gt;= (test!$B$35)/1440),1,0)</f>
        <v>0</v>
      </c>
      <c r="E75" s="2">
        <f>IF(AND(VLOOKUP(E$1,test!$A$3:$F$32,5,FALSE) - VLOOKUP($B75,test!$A$3:$G$32,6,FALSE) &gt;= (test!$B$35)/1440),1,0)</f>
        <v>0</v>
      </c>
      <c r="F75" s="2">
        <f>IF(AND(VLOOKUP(F$1,test!$A$3:$F$32,5,FALSE) - VLOOKUP($B75,test!$A$3:$G$32,6,FALSE) &gt;= (test!$B$35)/1440),1,0)</f>
        <v>0</v>
      </c>
      <c r="G75" s="2">
        <f>IF(AND(VLOOKUP(G$1,test!$A$3:$F$32,5,FALSE) - VLOOKUP($B75,test!$A$3:$G$32,6,FALSE) &gt;= (test!$B$35)/1440),1,0)</f>
        <v>0</v>
      </c>
      <c r="H75" s="2">
        <f>IF(AND(VLOOKUP(H$1,test!$A$3:$F$32,5,FALSE) - VLOOKUP($B75,test!$A$3:$G$32,6,FALSE) &gt;= (test!$B$35)/1440),1,0)</f>
        <v>0</v>
      </c>
      <c r="I75" s="2">
        <f>IF(AND(VLOOKUP(I$1,test!$A$3:$F$32,5,FALSE) - VLOOKUP($B75,test!$A$3:$G$32,6,FALSE) &gt;= (test!$B$35)/1440),1,0)</f>
        <v>1</v>
      </c>
      <c r="J75" s="2">
        <f>IF(AND(VLOOKUP(J$1,test!$A$3:$F$32,5,FALSE) - VLOOKUP($B75,test!$A$3:$G$32,6,FALSE) &gt;= (test!$B$35)/1440),1,0)</f>
        <v>1</v>
      </c>
      <c r="K75" s="2">
        <f>IF(AND(VLOOKUP(K$1,test!$A$3:$F$32,5,FALSE) - VLOOKUP($B75,test!$A$3:$G$32,6,FALSE) &gt;= (test!$B$35)/1440),1,0)</f>
        <v>1</v>
      </c>
      <c r="L75" s="2">
        <f>IF(AND(VLOOKUP(L$1,test!$A$3:$F$32,5,FALSE) - VLOOKUP($B75,test!$A$3:$G$32,6,FALSE) &gt;= (test!$B$35)/1440),1,0)</f>
        <v>0</v>
      </c>
      <c r="M75" s="2">
        <f>IF(AND(VLOOKUP(M$1,test!$A$3:$F$32,5,FALSE) - VLOOKUP($B75,test!$A$3:$G$32,6,FALSE) &gt;= (test!$B$35)/1440),1,0)</f>
        <v>0</v>
      </c>
      <c r="N75" s="2">
        <f>IF(AND(VLOOKUP(N$1,test!$A$3:$F$32,5,FALSE) - VLOOKUP($B75,test!$A$3:$G$32,6,FALSE) &gt;= (test!$B$35)/1440),1,0)</f>
        <v>0</v>
      </c>
      <c r="O75" s="2">
        <f>IF(AND(VLOOKUP(O$1,test!$A$3:$F$32,5,FALSE) - VLOOKUP($B75,test!$A$3:$G$32,6,FALSE) &gt;= (test!$B$35)/1440),1,0)</f>
        <v>1</v>
      </c>
      <c r="P75" s="2">
        <f>IF(AND(VLOOKUP(P$1,test!$A$3:$F$32,5,FALSE) - VLOOKUP($B75,test!$A$3:$G$32,6,FALSE) &gt;= (test!$B$35)/1440),1,0)</f>
        <v>1</v>
      </c>
      <c r="Q75" s="2">
        <f>IF(AND(VLOOKUP(Q$1,test!$A$3:$F$32,5,FALSE) - VLOOKUP($B75,test!$A$3:$G$32,6,FALSE) &gt;= (test!$B$35)/1440),1,0)</f>
        <v>0</v>
      </c>
      <c r="R75" s="2">
        <f>IF(AND(VLOOKUP(R$1,test!$A$3:$F$32,5,FALSE) - VLOOKUP($B75,test!$A$3:$G$32,6,FALSE) &gt;= (test!$B$35)/1440),1,0)</f>
        <v>0</v>
      </c>
      <c r="S75" s="2">
        <f>IF(AND(VLOOKUP(S$1,test!$A$3:$F$32,5,FALSE) - VLOOKUP($B75,test!$A$3:$G$32,6,FALSE) &gt;= (test!$B$35)/1440),1,0)</f>
        <v>0</v>
      </c>
      <c r="T75" s="2">
        <f>IF(AND(VLOOKUP(T$1,test!$A$3:$F$32,5,FALSE) - VLOOKUP($B75,test!$A$3:$G$32,6,FALSE) &gt;= (test!$B$35)/1440),1,0)</f>
        <v>0</v>
      </c>
      <c r="U75" s="2">
        <f>IF(AND(VLOOKUP(U$1,test!$A$3:$F$32,5,FALSE) - VLOOKUP($B75,test!$A$3:$G$32,6,FALSE) &gt;= (test!$B$35)/1440),1,0)</f>
        <v>0</v>
      </c>
      <c r="V75" s="2">
        <f>IF(AND(VLOOKUP(V$1,test!$A$3:$F$32,5,FALSE) - VLOOKUP($B75,test!$A$3:$G$32,6,FALSE) &gt;= (test!$B$35)/1440),1,0)</f>
        <v>0</v>
      </c>
      <c r="W75" s="2">
        <f>IF(AND(VLOOKUP(W$1,test!$A$3:$F$32,5,FALSE) - VLOOKUP($B75,test!$A$3:$G$32,6,FALSE) &gt;= (test!$B$35)/1440),1,0)</f>
        <v>0</v>
      </c>
      <c r="X75" s="2">
        <f>IF(AND(VLOOKUP(X$1,test!$A$3:$F$32,5,FALSE) - VLOOKUP($B75,test!$A$3:$G$32,6,FALSE) &gt;= (test!$B$35)/1440),1,0)</f>
        <v>1</v>
      </c>
      <c r="Y75" s="2">
        <f>IF(AND(VLOOKUP(Y$1,test!$A$3:$F$32,5,FALSE) - VLOOKUP($B75,test!$A$3:$G$32,6,FALSE) &gt;= (test!$B$35)/1440),1,0)</f>
        <v>1</v>
      </c>
      <c r="Z75" s="2">
        <f>IF(AND(VLOOKUP(Z$1,test!$A$3:$F$32,5,FALSE) - VLOOKUP($B75,test!$A$3:$G$32,6,FALSE) &gt;= (test!$B$35)/1440),1,0)</f>
        <v>0</v>
      </c>
      <c r="AA75" s="2">
        <f>IF(AND(VLOOKUP(AA$1,test!$A$3:$F$32,5,FALSE) - VLOOKUP($B75,test!$A$3:$G$32,6,FALSE) &gt;= (test!$B$35)/1440),1,0)</f>
        <v>0</v>
      </c>
      <c r="AB75" s="2">
        <f>IF(AND(VLOOKUP(AB$1,test!$A$3:$F$32,5,FALSE) - VLOOKUP($B75,test!$A$3:$G$32,6,FALSE) &gt;= (test!$B$35)/1440),1,0)</f>
        <v>0</v>
      </c>
      <c r="AC75" s="2">
        <f>IF(AND(VLOOKUP(AC$1,test!$A$3:$F$32,5,FALSE) - VLOOKUP($B75,test!$A$3:$G$32,6,FALSE) &gt;= (test!$B$35)/1440),1,0)</f>
        <v>0</v>
      </c>
      <c r="AD75" s="2">
        <f>IF(AND(VLOOKUP(AD$1,test!$A$3:$F$32,5,FALSE) - VLOOKUP($B75,test!$A$3:$G$32,6,FALSE) &gt;= (test!$B$35)/1440),1,0)</f>
        <v>1</v>
      </c>
      <c r="AE75" s="2">
        <f>IF(AND(VLOOKUP(AE$1,test!$A$3:$F$32,5,FALSE) - VLOOKUP($B75,test!$A$3:$G$32,6,FALSE) &gt;= (test!$B$35)/1440),1,0)</f>
        <v>0</v>
      </c>
      <c r="AF75" s="2">
        <f>IF(AND(VLOOKUP(AF$1,test!$A$3:$F$32,5,FALSE) - VLOOKUP($B75,test!$A$3:$G$32,6,FALSE) &gt;= (test!$B$35)/1440),1,0)</f>
        <v>0</v>
      </c>
      <c r="AG75" s="2">
        <f>IF(AND(VLOOKUP(AG$1,test!$A$3:$F$32,5,FALSE) - VLOOKUP($B75,test!$A$3:$G$32,6,FALSE) &gt;= (test!$B$35)/1440),1,0)</f>
        <v>0</v>
      </c>
    </row>
    <row r="76" spans="1:33" x14ac:dyDescent="0.25">
      <c r="A76" t="s">
        <v>60</v>
      </c>
      <c r="B76" t="s">
        <v>22</v>
      </c>
      <c r="C76">
        <v>0</v>
      </c>
      <c r="D76" s="2">
        <f>IF(AND(VLOOKUP(D$1,test!$A$3:$F$32,5,FALSE) - VLOOKUP($B76,test!$A$3:$G$32,6,FALSE) &gt;= (test!$B$35)/1440),1,0)</f>
        <v>0</v>
      </c>
      <c r="E76" s="2">
        <f>IF(AND(VLOOKUP(E$1,test!$A$3:$F$32,5,FALSE) - VLOOKUP($B76,test!$A$3:$G$32,6,FALSE) &gt;= (test!$B$35)/1440),1,0)</f>
        <v>0</v>
      </c>
      <c r="F76" s="2">
        <f>IF(AND(VLOOKUP(F$1,test!$A$3:$F$32,5,FALSE) - VLOOKUP($B76,test!$A$3:$G$32,6,FALSE) &gt;= (test!$B$35)/1440),1,0)</f>
        <v>0</v>
      </c>
      <c r="G76" s="2">
        <f>IF(AND(VLOOKUP(G$1,test!$A$3:$F$32,5,FALSE) - VLOOKUP($B76,test!$A$3:$G$32,6,FALSE) &gt;= (test!$B$35)/1440),1,0)</f>
        <v>0</v>
      </c>
      <c r="H76" s="2">
        <f>IF(AND(VLOOKUP(H$1,test!$A$3:$F$32,5,FALSE) - VLOOKUP($B76,test!$A$3:$G$32,6,FALSE) &gt;= (test!$B$35)/1440),1,0)</f>
        <v>0</v>
      </c>
      <c r="I76" s="2">
        <f>IF(AND(VLOOKUP(I$1,test!$A$3:$F$32,5,FALSE) - VLOOKUP($B76,test!$A$3:$G$32,6,FALSE) &gt;= (test!$B$35)/1440),1,0)</f>
        <v>0</v>
      </c>
      <c r="J76" s="2">
        <f>IF(AND(VLOOKUP(J$1,test!$A$3:$F$32,5,FALSE) - VLOOKUP($B76,test!$A$3:$G$32,6,FALSE) &gt;= (test!$B$35)/1440),1,0)</f>
        <v>0</v>
      </c>
      <c r="K76" s="2">
        <f>IF(AND(VLOOKUP(K$1,test!$A$3:$F$32,5,FALSE) - VLOOKUP($B76,test!$A$3:$G$32,6,FALSE) &gt;= (test!$B$35)/1440),1,0)</f>
        <v>0</v>
      </c>
      <c r="L76" s="2">
        <f>IF(AND(VLOOKUP(L$1,test!$A$3:$F$32,5,FALSE) - VLOOKUP($B76,test!$A$3:$G$32,6,FALSE) &gt;= (test!$B$35)/1440),1,0)</f>
        <v>0</v>
      </c>
      <c r="M76" s="2">
        <f>IF(AND(VLOOKUP(M$1,test!$A$3:$F$32,5,FALSE) - VLOOKUP($B76,test!$A$3:$G$32,6,FALSE) &gt;= (test!$B$35)/1440),1,0)</f>
        <v>0</v>
      </c>
      <c r="N76" s="2">
        <f>IF(AND(VLOOKUP(N$1,test!$A$3:$F$32,5,FALSE) - VLOOKUP($B76,test!$A$3:$G$32,6,FALSE) &gt;= (test!$B$35)/1440),1,0)</f>
        <v>0</v>
      </c>
      <c r="O76" s="2">
        <f>IF(AND(VLOOKUP(O$1,test!$A$3:$F$32,5,FALSE) - VLOOKUP($B76,test!$A$3:$G$32,6,FALSE) &gt;= (test!$B$35)/1440),1,0)</f>
        <v>0</v>
      </c>
      <c r="P76" s="2">
        <f>IF(AND(VLOOKUP(P$1,test!$A$3:$F$32,5,FALSE) - VLOOKUP($B76,test!$A$3:$G$32,6,FALSE) &gt;= (test!$B$35)/1440),1,0)</f>
        <v>0</v>
      </c>
      <c r="Q76" s="2">
        <f>IF(AND(VLOOKUP(Q$1,test!$A$3:$F$32,5,FALSE) - VLOOKUP($B76,test!$A$3:$G$32,6,FALSE) &gt;= (test!$B$35)/1440),1,0)</f>
        <v>0</v>
      </c>
      <c r="R76" s="2">
        <f>IF(AND(VLOOKUP(R$1,test!$A$3:$F$32,5,FALSE) - VLOOKUP($B76,test!$A$3:$G$32,6,FALSE) &gt;= (test!$B$35)/1440),1,0)</f>
        <v>0</v>
      </c>
      <c r="S76" s="2">
        <f>IF(AND(VLOOKUP(S$1,test!$A$3:$F$32,5,FALSE) - VLOOKUP($B76,test!$A$3:$G$32,6,FALSE) &gt;= (test!$B$35)/1440),1,0)</f>
        <v>0</v>
      </c>
      <c r="T76" s="2">
        <f>IF(AND(VLOOKUP(T$1,test!$A$3:$F$32,5,FALSE) - VLOOKUP($B76,test!$A$3:$G$32,6,FALSE) &gt;= (test!$B$35)/1440),1,0)</f>
        <v>0</v>
      </c>
      <c r="U76" s="2">
        <f>IF(AND(VLOOKUP(U$1,test!$A$3:$F$32,5,FALSE) - VLOOKUP($B76,test!$A$3:$G$32,6,FALSE) &gt;= (test!$B$35)/1440),1,0)</f>
        <v>0</v>
      </c>
      <c r="V76" s="2">
        <f>IF(AND(VLOOKUP(V$1,test!$A$3:$F$32,5,FALSE) - VLOOKUP($B76,test!$A$3:$G$32,6,FALSE) &gt;= (test!$B$35)/1440),1,0)</f>
        <v>0</v>
      </c>
      <c r="W76" s="2">
        <f>IF(AND(VLOOKUP(W$1,test!$A$3:$F$32,5,FALSE) - VLOOKUP($B76,test!$A$3:$G$32,6,FALSE) &gt;= (test!$B$35)/1440),1,0)</f>
        <v>0</v>
      </c>
      <c r="X76" s="2">
        <f>IF(AND(VLOOKUP(X$1,test!$A$3:$F$32,5,FALSE) - VLOOKUP($B76,test!$A$3:$G$32,6,FALSE) &gt;= (test!$B$35)/1440),1,0)</f>
        <v>0</v>
      </c>
      <c r="Y76" s="2">
        <f>IF(AND(VLOOKUP(Y$1,test!$A$3:$F$32,5,FALSE) - VLOOKUP($B76,test!$A$3:$G$32,6,FALSE) &gt;= (test!$B$35)/1440),1,0)</f>
        <v>0</v>
      </c>
      <c r="Z76" s="2">
        <f>IF(AND(VLOOKUP(Z$1,test!$A$3:$F$32,5,FALSE) - VLOOKUP($B76,test!$A$3:$G$32,6,FALSE) &gt;= (test!$B$35)/1440),1,0)</f>
        <v>0</v>
      </c>
      <c r="AA76" s="2">
        <f>IF(AND(VLOOKUP(AA$1,test!$A$3:$F$32,5,FALSE) - VLOOKUP($B76,test!$A$3:$G$32,6,FALSE) &gt;= (test!$B$35)/1440),1,0)</f>
        <v>0</v>
      </c>
      <c r="AB76" s="2">
        <f>IF(AND(VLOOKUP(AB$1,test!$A$3:$F$32,5,FALSE) - VLOOKUP($B76,test!$A$3:$G$32,6,FALSE) &gt;= (test!$B$35)/1440),1,0)</f>
        <v>0</v>
      </c>
      <c r="AC76" s="2">
        <f>IF(AND(VLOOKUP(AC$1,test!$A$3:$F$32,5,FALSE) - VLOOKUP($B76,test!$A$3:$G$32,6,FALSE) &gt;= (test!$B$35)/1440),1,0)</f>
        <v>0</v>
      </c>
      <c r="AD76" s="2">
        <f>IF(AND(VLOOKUP(AD$1,test!$A$3:$F$32,5,FALSE) - VLOOKUP($B76,test!$A$3:$G$32,6,FALSE) &gt;= (test!$B$35)/1440),1,0)</f>
        <v>0</v>
      </c>
      <c r="AE76" s="2">
        <f>IF(AND(VLOOKUP(AE$1,test!$A$3:$F$32,5,FALSE) - VLOOKUP($B76,test!$A$3:$G$32,6,FALSE) &gt;= (test!$B$35)/1440),1,0)</f>
        <v>0</v>
      </c>
      <c r="AF76" s="2">
        <f>IF(AND(VLOOKUP(AF$1,test!$A$3:$F$32,5,FALSE) - VLOOKUP($B76,test!$A$3:$G$32,6,FALSE) &gt;= (test!$B$35)/1440),1,0)</f>
        <v>0</v>
      </c>
      <c r="AG76" s="2">
        <f>IF(AND(VLOOKUP(AG$1,test!$A$3:$F$32,5,FALSE) - VLOOKUP($B76,test!$A$3:$G$32,6,FALSE) &gt;= (test!$B$35)/1440),1,0)</f>
        <v>0</v>
      </c>
    </row>
    <row r="77" spans="1:33" x14ac:dyDescent="0.25">
      <c r="A77" t="s">
        <v>60</v>
      </c>
      <c r="B77" t="s">
        <v>23</v>
      </c>
      <c r="C77">
        <v>0</v>
      </c>
      <c r="D77" s="2">
        <f>IF(AND(VLOOKUP(D$1,test!$A$3:$F$32,5,FALSE) - VLOOKUP($B77,test!$A$3:$G$32,6,FALSE) &gt;= (test!$B$35)/1440),1,0)</f>
        <v>0</v>
      </c>
      <c r="E77" s="2">
        <f>IF(AND(VLOOKUP(E$1,test!$A$3:$F$32,5,FALSE) - VLOOKUP($B77,test!$A$3:$G$32,6,FALSE) &gt;= (test!$B$35)/1440),1,0)</f>
        <v>0</v>
      </c>
      <c r="F77" s="2">
        <f>IF(AND(VLOOKUP(F$1,test!$A$3:$F$32,5,FALSE) - VLOOKUP($B77,test!$A$3:$G$32,6,FALSE) &gt;= (test!$B$35)/1440),1,0)</f>
        <v>0</v>
      </c>
      <c r="G77" s="2">
        <f>IF(AND(VLOOKUP(G$1,test!$A$3:$F$32,5,FALSE) - VLOOKUP($B77,test!$A$3:$G$32,6,FALSE) &gt;= (test!$B$35)/1440),1,0)</f>
        <v>0</v>
      </c>
      <c r="H77" s="2">
        <f>IF(AND(VLOOKUP(H$1,test!$A$3:$F$32,5,FALSE) - VLOOKUP($B77,test!$A$3:$G$32,6,FALSE) &gt;= (test!$B$35)/1440),1,0)</f>
        <v>0</v>
      </c>
      <c r="I77" s="2">
        <f>IF(AND(VLOOKUP(I$1,test!$A$3:$F$32,5,FALSE) - VLOOKUP($B77,test!$A$3:$G$32,6,FALSE) &gt;= (test!$B$35)/1440),1,0)</f>
        <v>0</v>
      </c>
      <c r="J77" s="2">
        <f>IF(AND(VLOOKUP(J$1,test!$A$3:$F$32,5,FALSE) - VLOOKUP($B77,test!$A$3:$G$32,6,FALSE) &gt;= (test!$B$35)/1440),1,0)</f>
        <v>0</v>
      </c>
      <c r="K77" s="2">
        <f>IF(AND(VLOOKUP(K$1,test!$A$3:$F$32,5,FALSE) - VLOOKUP($B77,test!$A$3:$G$32,6,FALSE) &gt;= (test!$B$35)/1440),1,0)</f>
        <v>0</v>
      </c>
      <c r="L77" s="2">
        <f>IF(AND(VLOOKUP(L$1,test!$A$3:$F$32,5,FALSE) - VLOOKUP($B77,test!$A$3:$G$32,6,FALSE) &gt;= (test!$B$35)/1440),1,0)</f>
        <v>0</v>
      </c>
      <c r="M77" s="2">
        <f>IF(AND(VLOOKUP(M$1,test!$A$3:$F$32,5,FALSE) - VLOOKUP($B77,test!$A$3:$G$32,6,FALSE) &gt;= (test!$B$35)/1440),1,0)</f>
        <v>0</v>
      </c>
      <c r="N77" s="2">
        <f>IF(AND(VLOOKUP(N$1,test!$A$3:$F$32,5,FALSE) - VLOOKUP($B77,test!$A$3:$G$32,6,FALSE) &gt;= (test!$B$35)/1440),1,0)</f>
        <v>0</v>
      </c>
      <c r="O77" s="2">
        <f>IF(AND(VLOOKUP(O$1,test!$A$3:$F$32,5,FALSE) - VLOOKUP($B77,test!$A$3:$G$32,6,FALSE) &gt;= (test!$B$35)/1440),1,0)</f>
        <v>0</v>
      </c>
      <c r="P77" s="2">
        <f>IF(AND(VLOOKUP(P$1,test!$A$3:$F$32,5,FALSE) - VLOOKUP($B77,test!$A$3:$G$32,6,FALSE) &gt;= (test!$B$35)/1440),1,0)</f>
        <v>0</v>
      </c>
      <c r="Q77" s="2">
        <f>IF(AND(VLOOKUP(Q$1,test!$A$3:$F$32,5,FALSE) - VLOOKUP($B77,test!$A$3:$G$32,6,FALSE) &gt;= (test!$B$35)/1440),1,0)</f>
        <v>0</v>
      </c>
      <c r="R77" s="2">
        <f>IF(AND(VLOOKUP(R$1,test!$A$3:$F$32,5,FALSE) - VLOOKUP($B77,test!$A$3:$G$32,6,FALSE) &gt;= (test!$B$35)/1440),1,0)</f>
        <v>0</v>
      </c>
      <c r="S77" s="2">
        <f>IF(AND(VLOOKUP(S$1,test!$A$3:$F$32,5,FALSE) - VLOOKUP($B77,test!$A$3:$G$32,6,FALSE) &gt;= (test!$B$35)/1440),1,0)</f>
        <v>0</v>
      </c>
      <c r="T77" s="2">
        <f>IF(AND(VLOOKUP(T$1,test!$A$3:$F$32,5,FALSE) - VLOOKUP($B77,test!$A$3:$G$32,6,FALSE) &gt;= (test!$B$35)/1440),1,0)</f>
        <v>0</v>
      </c>
      <c r="U77" s="2">
        <f>IF(AND(VLOOKUP(U$1,test!$A$3:$F$32,5,FALSE) - VLOOKUP($B77,test!$A$3:$G$32,6,FALSE) &gt;= (test!$B$35)/1440),1,0)</f>
        <v>0</v>
      </c>
      <c r="V77" s="2">
        <f>IF(AND(VLOOKUP(V$1,test!$A$3:$F$32,5,FALSE) - VLOOKUP($B77,test!$A$3:$G$32,6,FALSE) &gt;= (test!$B$35)/1440),1,0)</f>
        <v>0</v>
      </c>
      <c r="W77" s="2">
        <f>IF(AND(VLOOKUP(W$1,test!$A$3:$F$32,5,FALSE) - VLOOKUP($B77,test!$A$3:$G$32,6,FALSE) &gt;= (test!$B$35)/1440),1,0)</f>
        <v>0</v>
      </c>
      <c r="X77" s="2">
        <f>IF(AND(VLOOKUP(X$1,test!$A$3:$F$32,5,FALSE) - VLOOKUP($B77,test!$A$3:$G$32,6,FALSE) &gt;= (test!$B$35)/1440),1,0)</f>
        <v>0</v>
      </c>
      <c r="Y77" s="2">
        <f>IF(AND(VLOOKUP(Y$1,test!$A$3:$F$32,5,FALSE) - VLOOKUP($B77,test!$A$3:$G$32,6,FALSE) &gt;= (test!$B$35)/1440),1,0)</f>
        <v>0</v>
      </c>
      <c r="Z77" s="2">
        <f>IF(AND(VLOOKUP(Z$1,test!$A$3:$F$32,5,FALSE) - VLOOKUP($B77,test!$A$3:$G$32,6,FALSE) &gt;= (test!$B$35)/1440),1,0)</f>
        <v>0</v>
      </c>
      <c r="AA77" s="2">
        <f>IF(AND(VLOOKUP(AA$1,test!$A$3:$F$32,5,FALSE) - VLOOKUP($B77,test!$A$3:$G$32,6,FALSE) &gt;= (test!$B$35)/1440),1,0)</f>
        <v>0</v>
      </c>
      <c r="AB77" s="2">
        <f>IF(AND(VLOOKUP(AB$1,test!$A$3:$F$32,5,FALSE) - VLOOKUP($B77,test!$A$3:$G$32,6,FALSE) &gt;= (test!$B$35)/1440),1,0)</f>
        <v>0</v>
      </c>
      <c r="AC77" s="2">
        <f>IF(AND(VLOOKUP(AC$1,test!$A$3:$F$32,5,FALSE) - VLOOKUP($B77,test!$A$3:$G$32,6,FALSE) &gt;= (test!$B$35)/1440),1,0)</f>
        <v>0</v>
      </c>
      <c r="AD77" s="2">
        <f>IF(AND(VLOOKUP(AD$1,test!$A$3:$F$32,5,FALSE) - VLOOKUP($B77,test!$A$3:$G$32,6,FALSE) &gt;= (test!$B$35)/1440),1,0)</f>
        <v>0</v>
      </c>
      <c r="AE77" s="2">
        <f>IF(AND(VLOOKUP(AE$1,test!$A$3:$F$32,5,FALSE) - VLOOKUP($B77,test!$A$3:$G$32,6,FALSE) &gt;= (test!$B$35)/1440),1,0)</f>
        <v>0</v>
      </c>
      <c r="AF77" s="2">
        <f>IF(AND(VLOOKUP(AF$1,test!$A$3:$F$32,5,FALSE) - VLOOKUP($B77,test!$A$3:$G$32,6,FALSE) &gt;= (test!$B$35)/1440),1,0)</f>
        <v>0</v>
      </c>
      <c r="AG77" s="2">
        <f>IF(AND(VLOOKUP(AG$1,test!$A$3:$F$32,5,FALSE) - VLOOKUP($B77,test!$A$3:$G$32,6,FALSE) &gt;= (test!$B$35)/1440),1,0)</f>
        <v>0</v>
      </c>
    </row>
    <row r="78" spans="1:33" x14ac:dyDescent="0.25">
      <c r="A78" t="s">
        <v>60</v>
      </c>
      <c r="B78" t="s">
        <v>24</v>
      </c>
      <c r="C78">
        <v>0</v>
      </c>
      <c r="D78" s="2">
        <f>IF(AND(VLOOKUP(D$1,test!$A$3:$F$32,5,FALSE) - VLOOKUP($B78,test!$A$3:$G$32,6,FALSE) &gt;= (test!$B$35)/1440),1,0)</f>
        <v>0</v>
      </c>
      <c r="E78" s="2">
        <f>IF(AND(VLOOKUP(E$1,test!$A$3:$F$32,5,FALSE) - VLOOKUP($B78,test!$A$3:$G$32,6,FALSE) &gt;= (test!$B$35)/1440),1,0)</f>
        <v>0</v>
      </c>
      <c r="F78" s="2">
        <f>IF(AND(VLOOKUP(F$1,test!$A$3:$F$32,5,FALSE) - VLOOKUP($B78,test!$A$3:$G$32,6,FALSE) &gt;= (test!$B$35)/1440),1,0)</f>
        <v>1</v>
      </c>
      <c r="G78" s="2">
        <f>IF(AND(VLOOKUP(G$1,test!$A$3:$F$32,5,FALSE) - VLOOKUP($B78,test!$A$3:$G$32,6,FALSE) &gt;= (test!$B$35)/1440),1,0)</f>
        <v>1</v>
      </c>
      <c r="H78" s="2">
        <f>IF(AND(VLOOKUP(H$1,test!$A$3:$F$32,5,FALSE) - VLOOKUP($B78,test!$A$3:$G$32,6,FALSE) &gt;= (test!$B$35)/1440),1,0)</f>
        <v>1</v>
      </c>
      <c r="I78" s="2">
        <f>IF(AND(VLOOKUP(I$1,test!$A$3:$F$32,5,FALSE) - VLOOKUP($B78,test!$A$3:$G$32,6,FALSE) &gt;= (test!$B$35)/1440),1,0)</f>
        <v>1</v>
      </c>
      <c r="J78" s="2">
        <f>IF(AND(VLOOKUP(J$1,test!$A$3:$F$32,5,FALSE) - VLOOKUP($B78,test!$A$3:$G$32,6,FALSE) &gt;= (test!$B$35)/1440),1,0)</f>
        <v>1</v>
      </c>
      <c r="K78" s="2">
        <f>IF(AND(VLOOKUP(K$1,test!$A$3:$F$32,5,FALSE) - VLOOKUP($B78,test!$A$3:$G$32,6,FALSE) &gt;= (test!$B$35)/1440),1,0)</f>
        <v>1</v>
      </c>
      <c r="L78" s="2">
        <f>IF(AND(VLOOKUP(L$1,test!$A$3:$F$32,5,FALSE) - VLOOKUP($B78,test!$A$3:$G$32,6,FALSE) &gt;= (test!$B$35)/1440),1,0)</f>
        <v>0</v>
      </c>
      <c r="M78" s="2">
        <f>IF(AND(VLOOKUP(M$1,test!$A$3:$F$32,5,FALSE) - VLOOKUP($B78,test!$A$3:$G$32,6,FALSE) &gt;= (test!$B$35)/1440),1,0)</f>
        <v>0</v>
      </c>
      <c r="N78" s="2">
        <f>IF(AND(VLOOKUP(N$1,test!$A$3:$F$32,5,FALSE) - VLOOKUP($B78,test!$A$3:$G$32,6,FALSE) &gt;= (test!$B$35)/1440),1,0)</f>
        <v>0</v>
      </c>
      <c r="O78" s="2">
        <f>IF(AND(VLOOKUP(O$1,test!$A$3:$F$32,5,FALSE) - VLOOKUP($B78,test!$A$3:$G$32,6,FALSE) &gt;= (test!$B$35)/1440),1,0)</f>
        <v>1</v>
      </c>
      <c r="P78" s="2">
        <f>IF(AND(VLOOKUP(P$1,test!$A$3:$F$32,5,FALSE) - VLOOKUP($B78,test!$A$3:$G$32,6,FALSE) &gt;= (test!$B$35)/1440),1,0)</f>
        <v>1</v>
      </c>
      <c r="Q78" s="2">
        <f>IF(AND(VLOOKUP(Q$1,test!$A$3:$F$32,5,FALSE) - VLOOKUP($B78,test!$A$3:$G$32,6,FALSE) &gt;= (test!$B$35)/1440),1,0)</f>
        <v>0</v>
      </c>
      <c r="R78" s="2">
        <f>IF(AND(VLOOKUP(R$1,test!$A$3:$F$32,5,FALSE) - VLOOKUP($B78,test!$A$3:$G$32,6,FALSE) &gt;= (test!$B$35)/1440),1,0)</f>
        <v>0</v>
      </c>
      <c r="S78" s="2">
        <f>IF(AND(VLOOKUP(S$1,test!$A$3:$F$32,5,FALSE) - VLOOKUP($B78,test!$A$3:$G$32,6,FALSE) &gt;= (test!$B$35)/1440),1,0)</f>
        <v>0</v>
      </c>
      <c r="T78" s="2">
        <f>IF(AND(VLOOKUP(T$1,test!$A$3:$F$32,5,FALSE) - VLOOKUP($B78,test!$A$3:$G$32,6,FALSE) &gt;= (test!$B$35)/1440),1,0)</f>
        <v>0</v>
      </c>
      <c r="U78" s="2">
        <f>IF(AND(VLOOKUP(U$1,test!$A$3:$F$32,5,FALSE) - VLOOKUP($B78,test!$A$3:$G$32,6,FALSE) &gt;= (test!$B$35)/1440),1,0)</f>
        <v>0</v>
      </c>
      <c r="V78" s="2">
        <f>IF(AND(VLOOKUP(V$1,test!$A$3:$F$32,5,FALSE) - VLOOKUP($B78,test!$A$3:$G$32,6,FALSE) &gt;= (test!$B$35)/1440),1,0)</f>
        <v>1</v>
      </c>
      <c r="W78" s="2">
        <f>IF(AND(VLOOKUP(W$1,test!$A$3:$F$32,5,FALSE) - VLOOKUP($B78,test!$A$3:$G$32,6,FALSE) &gt;= (test!$B$35)/1440),1,0)</f>
        <v>1</v>
      </c>
      <c r="X78" s="2">
        <f>IF(AND(VLOOKUP(X$1,test!$A$3:$F$32,5,FALSE) - VLOOKUP($B78,test!$A$3:$G$32,6,FALSE) &gt;= (test!$B$35)/1440),1,0)</f>
        <v>1</v>
      </c>
      <c r="Y78" s="2">
        <f>IF(AND(VLOOKUP(Y$1,test!$A$3:$F$32,5,FALSE) - VLOOKUP($B78,test!$A$3:$G$32,6,FALSE) &gt;= (test!$B$35)/1440),1,0)</f>
        <v>1</v>
      </c>
      <c r="Z78" s="2">
        <f>IF(AND(VLOOKUP(Z$1,test!$A$3:$F$32,5,FALSE) - VLOOKUP($B78,test!$A$3:$G$32,6,FALSE) &gt;= (test!$B$35)/1440),1,0)</f>
        <v>0</v>
      </c>
      <c r="AA78" s="2">
        <f>IF(AND(VLOOKUP(AA$1,test!$A$3:$F$32,5,FALSE) - VLOOKUP($B78,test!$A$3:$G$32,6,FALSE) &gt;= (test!$B$35)/1440),1,0)</f>
        <v>0</v>
      </c>
      <c r="AB78" s="2">
        <f>IF(AND(VLOOKUP(AB$1,test!$A$3:$F$32,5,FALSE) - VLOOKUP($B78,test!$A$3:$G$32,6,FALSE) &gt;= (test!$B$35)/1440),1,0)</f>
        <v>1</v>
      </c>
      <c r="AC78" s="2">
        <f>IF(AND(VLOOKUP(AC$1,test!$A$3:$F$32,5,FALSE) - VLOOKUP($B78,test!$A$3:$G$32,6,FALSE) &gt;= (test!$B$35)/1440),1,0)</f>
        <v>1</v>
      </c>
      <c r="AD78" s="2">
        <f>IF(AND(VLOOKUP(AD$1,test!$A$3:$F$32,5,FALSE) - VLOOKUP($B78,test!$A$3:$G$32,6,FALSE) &gt;= (test!$B$35)/1440),1,0)</f>
        <v>1</v>
      </c>
      <c r="AE78" s="2">
        <f>IF(AND(VLOOKUP(AE$1,test!$A$3:$F$32,5,FALSE) - VLOOKUP($B78,test!$A$3:$G$32,6,FALSE) &gt;= (test!$B$35)/1440),1,0)</f>
        <v>0</v>
      </c>
      <c r="AF78" s="2">
        <f>IF(AND(VLOOKUP(AF$1,test!$A$3:$F$32,5,FALSE) - VLOOKUP($B78,test!$A$3:$G$32,6,FALSE) &gt;= (test!$B$35)/1440),1,0)</f>
        <v>1</v>
      </c>
      <c r="AG78" s="2">
        <f>IF(AND(VLOOKUP(AG$1,test!$A$3:$F$32,5,FALSE) - VLOOKUP($B78,test!$A$3:$G$32,6,FALSE) &gt;= (test!$B$35)/1440),1,0)</f>
        <v>0</v>
      </c>
    </row>
    <row r="79" spans="1:33" x14ac:dyDescent="0.25">
      <c r="A79" t="s">
        <v>60</v>
      </c>
      <c r="B79" t="s">
        <v>26</v>
      </c>
      <c r="C79">
        <v>0</v>
      </c>
      <c r="D79" s="2">
        <f>IF(AND(VLOOKUP(D$1,test!$A$3:$F$32,5,FALSE) - VLOOKUP($B79,test!$A$3:$G$32,6,FALSE) &gt;= (test!$B$35)/1440),1,0)</f>
        <v>0</v>
      </c>
      <c r="E79" s="2">
        <f>IF(AND(VLOOKUP(E$1,test!$A$3:$F$32,5,FALSE) - VLOOKUP($B79,test!$A$3:$G$32,6,FALSE) &gt;= (test!$B$35)/1440),1,0)</f>
        <v>1</v>
      </c>
      <c r="F79" s="2">
        <f>IF(AND(VLOOKUP(F$1,test!$A$3:$F$32,5,FALSE) - VLOOKUP($B79,test!$A$3:$G$32,6,FALSE) &gt;= (test!$B$35)/1440),1,0)</f>
        <v>1</v>
      </c>
      <c r="G79" s="2">
        <f>IF(AND(VLOOKUP(G$1,test!$A$3:$F$32,5,FALSE) - VLOOKUP($B79,test!$A$3:$G$32,6,FALSE) &gt;= (test!$B$35)/1440),1,0)</f>
        <v>1</v>
      </c>
      <c r="H79" s="2">
        <f>IF(AND(VLOOKUP(H$1,test!$A$3:$F$32,5,FALSE) - VLOOKUP($B79,test!$A$3:$G$32,6,FALSE) &gt;= (test!$B$35)/1440),1,0)</f>
        <v>1</v>
      </c>
      <c r="I79" s="2">
        <f>IF(AND(VLOOKUP(I$1,test!$A$3:$F$32,5,FALSE) - VLOOKUP($B79,test!$A$3:$G$32,6,FALSE) &gt;= (test!$B$35)/1440),1,0)</f>
        <v>1</v>
      </c>
      <c r="J79" s="2">
        <f>IF(AND(VLOOKUP(J$1,test!$A$3:$F$32,5,FALSE) - VLOOKUP($B79,test!$A$3:$G$32,6,FALSE) &gt;= (test!$B$35)/1440),1,0)</f>
        <v>1</v>
      </c>
      <c r="K79" s="2">
        <f>IF(AND(VLOOKUP(K$1,test!$A$3:$F$32,5,FALSE) - VLOOKUP($B79,test!$A$3:$G$32,6,FALSE) &gt;= (test!$B$35)/1440),1,0)</f>
        <v>1</v>
      </c>
      <c r="L79" s="2">
        <f>IF(AND(VLOOKUP(L$1,test!$A$3:$F$32,5,FALSE) - VLOOKUP($B79,test!$A$3:$G$32,6,FALSE) &gt;= (test!$B$35)/1440),1,0)</f>
        <v>0</v>
      </c>
      <c r="M79" s="2">
        <f>IF(AND(VLOOKUP(M$1,test!$A$3:$F$32,5,FALSE) - VLOOKUP($B79,test!$A$3:$G$32,6,FALSE) &gt;= (test!$B$35)/1440),1,0)</f>
        <v>0</v>
      </c>
      <c r="N79" s="2">
        <f>IF(AND(VLOOKUP(N$1,test!$A$3:$F$32,5,FALSE) - VLOOKUP($B79,test!$A$3:$G$32,6,FALSE) &gt;= (test!$B$35)/1440),1,0)</f>
        <v>1</v>
      </c>
      <c r="O79" s="2">
        <f>IF(AND(VLOOKUP(O$1,test!$A$3:$F$32,5,FALSE) - VLOOKUP($B79,test!$A$3:$G$32,6,FALSE) &gt;= (test!$B$35)/1440),1,0)</f>
        <v>1</v>
      </c>
      <c r="P79" s="2">
        <f>IF(AND(VLOOKUP(P$1,test!$A$3:$F$32,5,FALSE) - VLOOKUP($B79,test!$A$3:$G$32,6,FALSE) &gt;= (test!$B$35)/1440),1,0)</f>
        <v>1</v>
      </c>
      <c r="Q79" s="2">
        <f>IF(AND(VLOOKUP(Q$1,test!$A$3:$F$32,5,FALSE) - VLOOKUP($B79,test!$A$3:$G$32,6,FALSE) &gt;= (test!$B$35)/1440),1,0)</f>
        <v>0</v>
      </c>
      <c r="R79" s="2">
        <f>IF(AND(VLOOKUP(R$1,test!$A$3:$F$32,5,FALSE) - VLOOKUP($B79,test!$A$3:$G$32,6,FALSE) &gt;= (test!$B$35)/1440),1,0)</f>
        <v>0</v>
      </c>
      <c r="S79" s="2">
        <f>IF(AND(VLOOKUP(S$1,test!$A$3:$F$32,5,FALSE) - VLOOKUP($B79,test!$A$3:$G$32,6,FALSE) &gt;= (test!$B$35)/1440),1,0)</f>
        <v>0</v>
      </c>
      <c r="T79" s="2">
        <f>IF(AND(VLOOKUP(T$1,test!$A$3:$F$32,5,FALSE) - VLOOKUP($B79,test!$A$3:$G$32,6,FALSE) &gt;= (test!$B$35)/1440),1,0)</f>
        <v>0</v>
      </c>
      <c r="U79" s="2">
        <f>IF(AND(VLOOKUP(U$1,test!$A$3:$F$32,5,FALSE) - VLOOKUP($B79,test!$A$3:$G$32,6,FALSE) &gt;= (test!$B$35)/1440),1,0)</f>
        <v>1</v>
      </c>
      <c r="V79" s="2">
        <f>IF(AND(VLOOKUP(V$1,test!$A$3:$F$32,5,FALSE) - VLOOKUP($B79,test!$A$3:$G$32,6,FALSE) &gt;= (test!$B$35)/1440),1,0)</f>
        <v>1</v>
      </c>
      <c r="W79" s="2">
        <f>IF(AND(VLOOKUP(W$1,test!$A$3:$F$32,5,FALSE) - VLOOKUP($B79,test!$A$3:$G$32,6,FALSE) &gt;= (test!$B$35)/1440),1,0)</f>
        <v>1</v>
      </c>
      <c r="X79" s="2">
        <f>IF(AND(VLOOKUP(X$1,test!$A$3:$F$32,5,FALSE) - VLOOKUP($B79,test!$A$3:$G$32,6,FALSE) &gt;= (test!$B$35)/1440),1,0)</f>
        <v>1</v>
      </c>
      <c r="Y79" s="2">
        <f>IF(AND(VLOOKUP(Y$1,test!$A$3:$F$32,5,FALSE) - VLOOKUP($B79,test!$A$3:$G$32,6,FALSE) &gt;= (test!$B$35)/1440),1,0)</f>
        <v>1</v>
      </c>
      <c r="Z79" s="2">
        <f>IF(AND(VLOOKUP(Z$1,test!$A$3:$F$32,5,FALSE) - VLOOKUP($B79,test!$A$3:$G$32,6,FALSE) &gt;= (test!$B$35)/1440),1,0)</f>
        <v>0</v>
      </c>
      <c r="AA79" s="2">
        <f>IF(AND(VLOOKUP(AA$1,test!$A$3:$F$32,5,FALSE) - VLOOKUP($B79,test!$A$3:$G$32,6,FALSE) &gt;= (test!$B$35)/1440),1,0)</f>
        <v>1</v>
      </c>
      <c r="AB79" s="2">
        <f>IF(AND(VLOOKUP(AB$1,test!$A$3:$F$32,5,FALSE) - VLOOKUP($B79,test!$A$3:$G$32,6,FALSE) &gt;= (test!$B$35)/1440),1,0)</f>
        <v>1</v>
      </c>
      <c r="AC79" s="2">
        <f>IF(AND(VLOOKUP(AC$1,test!$A$3:$F$32,5,FALSE) - VLOOKUP($B79,test!$A$3:$G$32,6,FALSE) &gt;= (test!$B$35)/1440),1,0)</f>
        <v>1</v>
      </c>
      <c r="AD79" s="2">
        <f>IF(AND(VLOOKUP(AD$1,test!$A$3:$F$32,5,FALSE) - VLOOKUP($B79,test!$A$3:$G$32,6,FALSE) &gt;= (test!$B$35)/1440),1,0)</f>
        <v>1</v>
      </c>
      <c r="AE79" s="2">
        <f>IF(AND(VLOOKUP(AE$1,test!$A$3:$F$32,5,FALSE) - VLOOKUP($B79,test!$A$3:$G$32,6,FALSE) &gt;= (test!$B$35)/1440),1,0)</f>
        <v>0</v>
      </c>
      <c r="AF79" s="2">
        <f>IF(AND(VLOOKUP(AF$1,test!$A$3:$F$32,5,FALSE) - VLOOKUP($B79,test!$A$3:$G$32,6,FALSE) &gt;= (test!$B$35)/1440),1,0)</f>
        <v>1</v>
      </c>
      <c r="AG79" s="2">
        <f>IF(AND(VLOOKUP(AG$1,test!$A$3:$F$32,5,FALSE) - VLOOKUP($B79,test!$A$3:$G$32,6,FALSE) &gt;= (test!$B$35)/1440),1,0)</f>
        <v>1</v>
      </c>
    </row>
    <row r="80" spans="1:33" x14ac:dyDescent="0.25">
      <c r="A80" t="s">
        <v>60</v>
      </c>
      <c r="B80" t="s">
        <v>27</v>
      </c>
      <c r="C80">
        <v>0</v>
      </c>
      <c r="D80" s="2">
        <f>IF(AND(VLOOKUP(D$1,test!$A$3:$F$32,5,FALSE) - VLOOKUP($B80,test!$A$3:$G$32,6,FALSE) &gt;= (test!$B$35)/1440),1,0)</f>
        <v>0</v>
      </c>
      <c r="E80" s="2">
        <f>IF(AND(VLOOKUP(E$1,test!$A$3:$F$32,5,FALSE) - VLOOKUP($B80,test!$A$3:$G$32,6,FALSE) &gt;= (test!$B$35)/1440),1,0)</f>
        <v>0</v>
      </c>
      <c r="F80" s="2">
        <f>IF(AND(VLOOKUP(F$1,test!$A$3:$F$32,5,FALSE) - VLOOKUP($B80,test!$A$3:$G$32,6,FALSE) &gt;= (test!$B$35)/1440),1,0)</f>
        <v>1</v>
      </c>
      <c r="G80" s="2">
        <f>IF(AND(VLOOKUP(G$1,test!$A$3:$F$32,5,FALSE) - VLOOKUP($B80,test!$A$3:$G$32,6,FALSE) &gt;= (test!$B$35)/1440),1,0)</f>
        <v>1</v>
      </c>
      <c r="H80" s="2">
        <f>IF(AND(VLOOKUP(H$1,test!$A$3:$F$32,5,FALSE) - VLOOKUP($B80,test!$A$3:$G$32,6,FALSE) &gt;= (test!$B$35)/1440),1,0)</f>
        <v>1</v>
      </c>
      <c r="I80" s="2">
        <f>IF(AND(VLOOKUP(I$1,test!$A$3:$F$32,5,FALSE) - VLOOKUP($B80,test!$A$3:$G$32,6,FALSE) &gt;= (test!$B$35)/1440),1,0)</f>
        <v>1</v>
      </c>
      <c r="J80" s="2">
        <f>IF(AND(VLOOKUP(J$1,test!$A$3:$F$32,5,FALSE) - VLOOKUP($B80,test!$A$3:$G$32,6,FALSE) &gt;= (test!$B$35)/1440),1,0)</f>
        <v>1</v>
      </c>
      <c r="K80" s="2">
        <f>IF(AND(VLOOKUP(K$1,test!$A$3:$F$32,5,FALSE) - VLOOKUP($B80,test!$A$3:$G$32,6,FALSE) &gt;= (test!$B$35)/1440),1,0)</f>
        <v>1</v>
      </c>
      <c r="L80" s="2">
        <f>IF(AND(VLOOKUP(L$1,test!$A$3:$F$32,5,FALSE) - VLOOKUP($B80,test!$A$3:$G$32,6,FALSE) &gt;= (test!$B$35)/1440),1,0)</f>
        <v>0</v>
      </c>
      <c r="M80" s="2">
        <f>IF(AND(VLOOKUP(M$1,test!$A$3:$F$32,5,FALSE) - VLOOKUP($B80,test!$A$3:$G$32,6,FALSE) &gt;= (test!$B$35)/1440),1,0)</f>
        <v>0</v>
      </c>
      <c r="N80" s="2">
        <f>IF(AND(VLOOKUP(N$1,test!$A$3:$F$32,5,FALSE) - VLOOKUP($B80,test!$A$3:$G$32,6,FALSE) &gt;= (test!$B$35)/1440),1,0)</f>
        <v>0</v>
      </c>
      <c r="O80" s="2">
        <f>IF(AND(VLOOKUP(O$1,test!$A$3:$F$32,5,FALSE) - VLOOKUP($B80,test!$A$3:$G$32,6,FALSE) &gt;= (test!$B$35)/1440),1,0)</f>
        <v>1</v>
      </c>
      <c r="P80" s="2">
        <f>IF(AND(VLOOKUP(P$1,test!$A$3:$F$32,5,FALSE) - VLOOKUP($B80,test!$A$3:$G$32,6,FALSE) &gt;= (test!$B$35)/1440),1,0)</f>
        <v>1</v>
      </c>
      <c r="Q80" s="2">
        <f>IF(AND(VLOOKUP(Q$1,test!$A$3:$F$32,5,FALSE) - VLOOKUP($B80,test!$A$3:$G$32,6,FALSE) &gt;= (test!$B$35)/1440),1,0)</f>
        <v>0</v>
      </c>
      <c r="R80" s="2">
        <f>IF(AND(VLOOKUP(R$1,test!$A$3:$F$32,5,FALSE) - VLOOKUP($B80,test!$A$3:$G$32,6,FALSE) &gt;= (test!$B$35)/1440),1,0)</f>
        <v>0</v>
      </c>
      <c r="S80" s="2">
        <f>IF(AND(VLOOKUP(S$1,test!$A$3:$F$32,5,FALSE) - VLOOKUP($B80,test!$A$3:$G$32,6,FALSE) &gt;= (test!$B$35)/1440),1,0)</f>
        <v>0</v>
      </c>
      <c r="T80" s="2">
        <f>IF(AND(VLOOKUP(T$1,test!$A$3:$F$32,5,FALSE) - VLOOKUP($B80,test!$A$3:$G$32,6,FALSE) &gt;= (test!$B$35)/1440),1,0)</f>
        <v>0</v>
      </c>
      <c r="U80" s="2">
        <f>IF(AND(VLOOKUP(U$1,test!$A$3:$F$32,5,FALSE) - VLOOKUP($B80,test!$A$3:$G$32,6,FALSE) &gt;= (test!$B$35)/1440),1,0)</f>
        <v>0</v>
      </c>
      <c r="V80" s="2">
        <f>IF(AND(VLOOKUP(V$1,test!$A$3:$F$32,5,FALSE) - VLOOKUP($B80,test!$A$3:$G$32,6,FALSE) &gt;= (test!$B$35)/1440),1,0)</f>
        <v>1</v>
      </c>
      <c r="W80" s="2">
        <f>IF(AND(VLOOKUP(W$1,test!$A$3:$F$32,5,FALSE) - VLOOKUP($B80,test!$A$3:$G$32,6,FALSE) &gt;= (test!$B$35)/1440),1,0)</f>
        <v>1</v>
      </c>
      <c r="X80" s="2">
        <f>IF(AND(VLOOKUP(X$1,test!$A$3:$F$32,5,FALSE) - VLOOKUP($B80,test!$A$3:$G$32,6,FALSE) &gt;= (test!$B$35)/1440),1,0)</f>
        <v>1</v>
      </c>
      <c r="Y80" s="2">
        <f>IF(AND(VLOOKUP(Y$1,test!$A$3:$F$32,5,FALSE) - VLOOKUP($B80,test!$A$3:$G$32,6,FALSE) &gt;= (test!$B$35)/1440),1,0)</f>
        <v>1</v>
      </c>
      <c r="Z80" s="2">
        <f>IF(AND(VLOOKUP(Z$1,test!$A$3:$F$32,5,FALSE) - VLOOKUP($B80,test!$A$3:$G$32,6,FALSE) &gt;= (test!$B$35)/1440),1,0)</f>
        <v>0</v>
      </c>
      <c r="AA80" s="2">
        <f>IF(AND(VLOOKUP(AA$1,test!$A$3:$F$32,5,FALSE) - VLOOKUP($B80,test!$A$3:$G$32,6,FALSE) &gt;= (test!$B$35)/1440),1,0)</f>
        <v>0</v>
      </c>
      <c r="AB80" s="2">
        <f>IF(AND(VLOOKUP(AB$1,test!$A$3:$F$32,5,FALSE) - VLOOKUP($B80,test!$A$3:$G$32,6,FALSE) &gt;= (test!$B$35)/1440),1,0)</f>
        <v>1</v>
      </c>
      <c r="AC80" s="2">
        <f>IF(AND(VLOOKUP(AC$1,test!$A$3:$F$32,5,FALSE) - VLOOKUP($B80,test!$A$3:$G$32,6,FALSE) &gt;= (test!$B$35)/1440),1,0)</f>
        <v>1</v>
      </c>
      <c r="AD80" s="2">
        <f>IF(AND(VLOOKUP(AD$1,test!$A$3:$F$32,5,FALSE) - VLOOKUP($B80,test!$A$3:$G$32,6,FALSE) &gt;= (test!$B$35)/1440),1,0)</f>
        <v>1</v>
      </c>
      <c r="AE80" s="2">
        <f>IF(AND(VLOOKUP(AE$1,test!$A$3:$F$32,5,FALSE) - VLOOKUP($B80,test!$A$3:$G$32,6,FALSE) &gt;= (test!$B$35)/1440),1,0)</f>
        <v>0</v>
      </c>
      <c r="AF80" s="2">
        <f>IF(AND(VLOOKUP(AF$1,test!$A$3:$F$32,5,FALSE) - VLOOKUP($B80,test!$A$3:$G$32,6,FALSE) &gt;= (test!$B$35)/1440),1,0)</f>
        <v>1</v>
      </c>
      <c r="AG80" s="2">
        <f>IF(AND(VLOOKUP(AG$1,test!$A$3:$F$32,5,FALSE) - VLOOKUP($B80,test!$A$3:$G$32,6,FALSE) &gt;= (test!$B$35)/1440),1,0)</f>
        <v>0</v>
      </c>
    </row>
    <row r="81" spans="1:33" x14ac:dyDescent="0.25">
      <c r="A81" t="s">
        <v>60</v>
      </c>
      <c r="B81" t="s">
        <v>28</v>
      </c>
      <c r="C81">
        <v>0</v>
      </c>
      <c r="D81" s="2">
        <f>IF(AND(VLOOKUP(D$1,test!$A$3:$F$32,5,FALSE) - VLOOKUP($B81,test!$A$3:$G$32,6,FALSE) &gt;= (test!$B$35)/1440),1,0)</f>
        <v>0</v>
      </c>
      <c r="E81" s="2">
        <f>IF(AND(VLOOKUP(E$1,test!$A$3:$F$32,5,FALSE) - VLOOKUP($B81,test!$A$3:$G$32,6,FALSE) &gt;= (test!$B$35)/1440),1,0)</f>
        <v>0</v>
      </c>
      <c r="F81" s="2">
        <f>IF(AND(VLOOKUP(F$1,test!$A$3:$F$32,5,FALSE) - VLOOKUP($B81,test!$A$3:$G$32,6,FALSE) &gt;= (test!$B$35)/1440),1,0)</f>
        <v>0</v>
      </c>
      <c r="G81" s="2">
        <f>IF(AND(VLOOKUP(G$1,test!$A$3:$F$32,5,FALSE) - VLOOKUP($B81,test!$A$3:$G$32,6,FALSE) &gt;= (test!$B$35)/1440),1,0)</f>
        <v>1</v>
      </c>
      <c r="H81" s="2">
        <f>IF(AND(VLOOKUP(H$1,test!$A$3:$F$32,5,FALSE) - VLOOKUP($B81,test!$A$3:$G$32,6,FALSE) &gt;= (test!$B$35)/1440),1,0)</f>
        <v>1</v>
      </c>
      <c r="I81" s="2">
        <f>IF(AND(VLOOKUP(I$1,test!$A$3:$F$32,5,FALSE) - VLOOKUP($B81,test!$A$3:$G$32,6,FALSE) &gt;= (test!$B$35)/1440),1,0)</f>
        <v>1</v>
      </c>
      <c r="J81" s="2">
        <f>IF(AND(VLOOKUP(J$1,test!$A$3:$F$32,5,FALSE) - VLOOKUP($B81,test!$A$3:$G$32,6,FALSE) &gt;= (test!$B$35)/1440),1,0)</f>
        <v>1</v>
      </c>
      <c r="K81" s="2">
        <f>IF(AND(VLOOKUP(K$1,test!$A$3:$F$32,5,FALSE) - VLOOKUP($B81,test!$A$3:$G$32,6,FALSE) &gt;= (test!$B$35)/1440),1,0)</f>
        <v>1</v>
      </c>
      <c r="L81" s="2">
        <f>IF(AND(VLOOKUP(L$1,test!$A$3:$F$32,5,FALSE) - VLOOKUP($B81,test!$A$3:$G$32,6,FALSE) &gt;= (test!$B$35)/1440),1,0)</f>
        <v>0</v>
      </c>
      <c r="M81" s="2">
        <f>IF(AND(VLOOKUP(M$1,test!$A$3:$F$32,5,FALSE) - VLOOKUP($B81,test!$A$3:$G$32,6,FALSE) &gt;= (test!$B$35)/1440),1,0)</f>
        <v>0</v>
      </c>
      <c r="N81" s="2">
        <f>IF(AND(VLOOKUP(N$1,test!$A$3:$F$32,5,FALSE) - VLOOKUP($B81,test!$A$3:$G$32,6,FALSE) &gt;= (test!$B$35)/1440),1,0)</f>
        <v>0</v>
      </c>
      <c r="O81" s="2">
        <f>IF(AND(VLOOKUP(O$1,test!$A$3:$F$32,5,FALSE) - VLOOKUP($B81,test!$A$3:$G$32,6,FALSE) &gt;= (test!$B$35)/1440),1,0)</f>
        <v>1</v>
      </c>
      <c r="P81" s="2">
        <f>IF(AND(VLOOKUP(P$1,test!$A$3:$F$32,5,FALSE) - VLOOKUP($B81,test!$A$3:$G$32,6,FALSE) &gt;= (test!$B$35)/1440),1,0)</f>
        <v>1</v>
      </c>
      <c r="Q81" s="2">
        <f>IF(AND(VLOOKUP(Q$1,test!$A$3:$F$32,5,FALSE) - VLOOKUP($B81,test!$A$3:$G$32,6,FALSE) &gt;= (test!$B$35)/1440),1,0)</f>
        <v>0</v>
      </c>
      <c r="R81" s="2">
        <f>IF(AND(VLOOKUP(R$1,test!$A$3:$F$32,5,FALSE) - VLOOKUP($B81,test!$A$3:$G$32,6,FALSE) &gt;= (test!$B$35)/1440),1,0)</f>
        <v>0</v>
      </c>
      <c r="S81" s="2">
        <f>IF(AND(VLOOKUP(S$1,test!$A$3:$F$32,5,FALSE) - VLOOKUP($B81,test!$A$3:$G$32,6,FALSE) &gt;= (test!$B$35)/1440),1,0)</f>
        <v>0</v>
      </c>
      <c r="T81" s="2">
        <f>IF(AND(VLOOKUP(T$1,test!$A$3:$F$32,5,FALSE) - VLOOKUP($B81,test!$A$3:$G$32,6,FALSE) &gt;= (test!$B$35)/1440),1,0)</f>
        <v>0</v>
      </c>
      <c r="U81" s="2">
        <f>IF(AND(VLOOKUP(U$1,test!$A$3:$F$32,5,FALSE) - VLOOKUP($B81,test!$A$3:$G$32,6,FALSE) &gt;= (test!$B$35)/1440),1,0)</f>
        <v>0</v>
      </c>
      <c r="V81" s="2">
        <f>IF(AND(VLOOKUP(V$1,test!$A$3:$F$32,5,FALSE) - VLOOKUP($B81,test!$A$3:$G$32,6,FALSE) &gt;= (test!$B$35)/1440),1,0)</f>
        <v>0</v>
      </c>
      <c r="W81" s="2">
        <f>IF(AND(VLOOKUP(W$1,test!$A$3:$F$32,5,FALSE) - VLOOKUP($B81,test!$A$3:$G$32,6,FALSE) &gt;= (test!$B$35)/1440),1,0)</f>
        <v>1</v>
      </c>
      <c r="X81" s="2">
        <f>IF(AND(VLOOKUP(X$1,test!$A$3:$F$32,5,FALSE) - VLOOKUP($B81,test!$A$3:$G$32,6,FALSE) &gt;= (test!$B$35)/1440),1,0)</f>
        <v>1</v>
      </c>
      <c r="Y81" s="2">
        <f>IF(AND(VLOOKUP(Y$1,test!$A$3:$F$32,5,FALSE) - VLOOKUP($B81,test!$A$3:$G$32,6,FALSE) &gt;= (test!$B$35)/1440),1,0)</f>
        <v>1</v>
      </c>
      <c r="Z81" s="2">
        <f>IF(AND(VLOOKUP(Z$1,test!$A$3:$F$32,5,FALSE) - VLOOKUP($B81,test!$A$3:$G$32,6,FALSE) &gt;= (test!$B$35)/1440),1,0)</f>
        <v>0</v>
      </c>
      <c r="AA81" s="2">
        <f>IF(AND(VLOOKUP(AA$1,test!$A$3:$F$32,5,FALSE) - VLOOKUP($B81,test!$A$3:$G$32,6,FALSE) &gt;= (test!$B$35)/1440),1,0)</f>
        <v>0</v>
      </c>
      <c r="AB81" s="2">
        <f>IF(AND(VLOOKUP(AB$1,test!$A$3:$F$32,5,FALSE) - VLOOKUP($B81,test!$A$3:$G$32,6,FALSE) &gt;= (test!$B$35)/1440),1,0)</f>
        <v>0</v>
      </c>
      <c r="AC81" s="2">
        <f>IF(AND(VLOOKUP(AC$1,test!$A$3:$F$32,5,FALSE) - VLOOKUP($B81,test!$A$3:$G$32,6,FALSE) &gt;= (test!$B$35)/1440),1,0)</f>
        <v>1</v>
      </c>
      <c r="AD81" s="2">
        <f>IF(AND(VLOOKUP(AD$1,test!$A$3:$F$32,5,FALSE) - VLOOKUP($B81,test!$A$3:$G$32,6,FALSE) &gt;= (test!$B$35)/1440),1,0)</f>
        <v>1</v>
      </c>
      <c r="AE81" s="2">
        <f>IF(AND(VLOOKUP(AE$1,test!$A$3:$F$32,5,FALSE) - VLOOKUP($B81,test!$A$3:$G$32,6,FALSE) &gt;= (test!$B$35)/1440),1,0)</f>
        <v>0</v>
      </c>
      <c r="AF81" s="2">
        <f>IF(AND(VLOOKUP(AF$1,test!$A$3:$F$32,5,FALSE) - VLOOKUP($B81,test!$A$3:$G$32,6,FALSE) &gt;= (test!$B$35)/1440),1,0)</f>
        <v>0</v>
      </c>
      <c r="AG81" s="2">
        <f>IF(AND(VLOOKUP(AG$1,test!$A$3:$F$32,5,FALSE) - VLOOKUP($B81,test!$A$3:$G$32,6,FALSE) &gt;= (test!$B$35)/1440),1,0)</f>
        <v>0</v>
      </c>
    </row>
    <row r="82" spans="1:33" x14ac:dyDescent="0.25">
      <c r="A82" t="s">
        <v>60</v>
      </c>
      <c r="B82" t="s">
        <v>29</v>
      </c>
      <c r="C82">
        <v>0</v>
      </c>
      <c r="D82" s="2">
        <f>IF(AND(VLOOKUP(D$1,test!$A$3:$F$32,5,FALSE) - VLOOKUP($B82,test!$A$3:$G$32,6,FALSE) &gt;= (test!$B$35)/1440),1,0)</f>
        <v>0</v>
      </c>
      <c r="E82" s="2">
        <f>IF(AND(VLOOKUP(E$1,test!$A$3:$F$32,5,FALSE) - VLOOKUP($B82,test!$A$3:$G$32,6,FALSE) &gt;= (test!$B$35)/1440),1,0)</f>
        <v>0</v>
      </c>
      <c r="F82" s="2">
        <f>IF(AND(VLOOKUP(F$1,test!$A$3:$F$32,5,FALSE) - VLOOKUP($B82,test!$A$3:$G$32,6,FALSE) &gt;= (test!$B$35)/1440),1,0)</f>
        <v>0</v>
      </c>
      <c r="G82" s="2">
        <f>IF(AND(VLOOKUP(G$1,test!$A$3:$F$32,5,FALSE) - VLOOKUP($B82,test!$A$3:$G$32,6,FALSE) &gt;= (test!$B$35)/1440),1,0)</f>
        <v>0</v>
      </c>
      <c r="H82" s="2">
        <f>IF(AND(VLOOKUP(H$1,test!$A$3:$F$32,5,FALSE) - VLOOKUP($B82,test!$A$3:$G$32,6,FALSE) &gt;= (test!$B$35)/1440),1,0)</f>
        <v>0</v>
      </c>
      <c r="I82" s="2">
        <f>IF(AND(VLOOKUP(I$1,test!$A$3:$F$32,5,FALSE) - VLOOKUP($B82,test!$A$3:$G$32,6,FALSE) &gt;= (test!$B$35)/1440),1,0)</f>
        <v>1</v>
      </c>
      <c r="J82" s="2">
        <f>IF(AND(VLOOKUP(J$1,test!$A$3:$F$32,5,FALSE) - VLOOKUP($B82,test!$A$3:$G$32,6,FALSE) &gt;= (test!$B$35)/1440),1,0)</f>
        <v>1</v>
      </c>
      <c r="K82" s="2">
        <f>IF(AND(VLOOKUP(K$1,test!$A$3:$F$32,5,FALSE) - VLOOKUP($B82,test!$A$3:$G$32,6,FALSE) &gt;= (test!$B$35)/1440),1,0)</f>
        <v>1</v>
      </c>
      <c r="L82" s="2">
        <f>IF(AND(VLOOKUP(L$1,test!$A$3:$F$32,5,FALSE) - VLOOKUP($B82,test!$A$3:$G$32,6,FALSE) &gt;= (test!$B$35)/1440),1,0)</f>
        <v>0</v>
      </c>
      <c r="M82" s="2">
        <f>IF(AND(VLOOKUP(M$1,test!$A$3:$F$32,5,FALSE) - VLOOKUP($B82,test!$A$3:$G$32,6,FALSE) &gt;= (test!$B$35)/1440),1,0)</f>
        <v>0</v>
      </c>
      <c r="N82" s="2">
        <f>IF(AND(VLOOKUP(N$1,test!$A$3:$F$32,5,FALSE) - VLOOKUP($B82,test!$A$3:$G$32,6,FALSE) &gt;= (test!$B$35)/1440),1,0)</f>
        <v>0</v>
      </c>
      <c r="O82" s="2">
        <f>IF(AND(VLOOKUP(O$1,test!$A$3:$F$32,5,FALSE) - VLOOKUP($B82,test!$A$3:$G$32,6,FALSE) &gt;= (test!$B$35)/1440),1,0)</f>
        <v>1</v>
      </c>
      <c r="P82" s="2">
        <f>IF(AND(VLOOKUP(P$1,test!$A$3:$F$32,5,FALSE) - VLOOKUP($B82,test!$A$3:$G$32,6,FALSE) &gt;= (test!$B$35)/1440),1,0)</f>
        <v>1</v>
      </c>
      <c r="Q82" s="2">
        <f>IF(AND(VLOOKUP(Q$1,test!$A$3:$F$32,5,FALSE) - VLOOKUP($B82,test!$A$3:$G$32,6,FALSE) &gt;= (test!$B$35)/1440),1,0)</f>
        <v>0</v>
      </c>
      <c r="R82" s="2">
        <f>IF(AND(VLOOKUP(R$1,test!$A$3:$F$32,5,FALSE) - VLOOKUP($B82,test!$A$3:$G$32,6,FALSE) &gt;= (test!$B$35)/1440),1,0)</f>
        <v>0</v>
      </c>
      <c r="S82" s="2">
        <f>IF(AND(VLOOKUP(S$1,test!$A$3:$F$32,5,FALSE) - VLOOKUP($B82,test!$A$3:$G$32,6,FALSE) &gt;= (test!$B$35)/1440),1,0)</f>
        <v>0</v>
      </c>
      <c r="T82" s="2">
        <f>IF(AND(VLOOKUP(T$1,test!$A$3:$F$32,5,FALSE) - VLOOKUP($B82,test!$A$3:$G$32,6,FALSE) &gt;= (test!$B$35)/1440),1,0)</f>
        <v>0</v>
      </c>
      <c r="U82" s="2">
        <f>IF(AND(VLOOKUP(U$1,test!$A$3:$F$32,5,FALSE) - VLOOKUP($B82,test!$A$3:$G$32,6,FALSE) &gt;= (test!$B$35)/1440),1,0)</f>
        <v>0</v>
      </c>
      <c r="V82" s="2">
        <f>IF(AND(VLOOKUP(V$1,test!$A$3:$F$32,5,FALSE) - VLOOKUP($B82,test!$A$3:$G$32,6,FALSE) &gt;= (test!$B$35)/1440),1,0)</f>
        <v>0</v>
      </c>
      <c r="W82" s="2">
        <f>IF(AND(VLOOKUP(W$1,test!$A$3:$F$32,5,FALSE) - VLOOKUP($B82,test!$A$3:$G$32,6,FALSE) &gt;= (test!$B$35)/1440),1,0)</f>
        <v>0</v>
      </c>
      <c r="X82" s="2">
        <f>IF(AND(VLOOKUP(X$1,test!$A$3:$F$32,5,FALSE) - VLOOKUP($B82,test!$A$3:$G$32,6,FALSE) &gt;= (test!$B$35)/1440),1,0)</f>
        <v>1</v>
      </c>
      <c r="Y82" s="2">
        <f>IF(AND(VLOOKUP(Y$1,test!$A$3:$F$32,5,FALSE) - VLOOKUP($B82,test!$A$3:$G$32,6,FALSE) &gt;= (test!$B$35)/1440),1,0)</f>
        <v>1</v>
      </c>
      <c r="Z82" s="2">
        <f>IF(AND(VLOOKUP(Z$1,test!$A$3:$F$32,5,FALSE) - VLOOKUP($B82,test!$A$3:$G$32,6,FALSE) &gt;= (test!$B$35)/1440),1,0)</f>
        <v>0</v>
      </c>
      <c r="AA82" s="2">
        <f>IF(AND(VLOOKUP(AA$1,test!$A$3:$F$32,5,FALSE) - VLOOKUP($B82,test!$A$3:$G$32,6,FALSE) &gt;= (test!$B$35)/1440),1,0)</f>
        <v>0</v>
      </c>
      <c r="AB82" s="2">
        <f>IF(AND(VLOOKUP(AB$1,test!$A$3:$F$32,5,FALSE) - VLOOKUP($B82,test!$A$3:$G$32,6,FALSE) &gt;= (test!$B$35)/1440),1,0)</f>
        <v>0</v>
      </c>
      <c r="AC82" s="2">
        <f>IF(AND(VLOOKUP(AC$1,test!$A$3:$F$32,5,FALSE) - VLOOKUP($B82,test!$A$3:$G$32,6,FALSE) &gt;= (test!$B$35)/1440),1,0)</f>
        <v>0</v>
      </c>
      <c r="AD82" s="2">
        <f>IF(AND(VLOOKUP(AD$1,test!$A$3:$F$32,5,FALSE) - VLOOKUP($B82,test!$A$3:$G$32,6,FALSE) &gt;= (test!$B$35)/1440),1,0)</f>
        <v>1</v>
      </c>
      <c r="AE82" s="2">
        <f>IF(AND(VLOOKUP(AE$1,test!$A$3:$F$32,5,FALSE) - VLOOKUP($B82,test!$A$3:$G$32,6,FALSE) &gt;= (test!$B$35)/1440),1,0)</f>
        <v>0</v>
      </c>
      <c r="AF82" s="2">
        <f>IF(AND(VLOOKUP(AF$1,test!$A$3:$F$32,5,FALSE) - VLOOKUP($B82,test!$A$3:$G$32,6,FALSE) &gt;= (test!$B$35)/1440),1,0)</f>
        <v>0</v>
      </c>
      <c r="AG82" s="2">
        <f>IF(AND(VLOOKUP(AG$1,test!$A$3:$F$32,5,FALSE) - VLOOKUP($B82,test!$A$3:$G$32,6,FALSE) &gt;= (test!$B$35)/1440),1,0)</f>
        <v>0</v>
      </c>
    </row>
    <row r="83" spans="1:33" x14ac:dyDescent="0.25">
      <c r="A83" t="s">
        <v>60</v>
      </c>
      <c r="B83" t="s">
        <v>30</v>
      </c>
      <c r="C83">
        <v>0</v>
      </c>
      <c r="D83" s="2">
        <f>IF(AND(VLOOKUP(D$1,test!$A$3:$F$32,5,FALSE) - VLOOKUP($B83,test!$A$3:$G$32,6,FALSE) &gt;= (test!$B$35)/1440),1,0)</f>
        <v>0</v>
      </c>
      <c r="E83" s="2">
        <f>IF(AND(VLOOKUP(E$1,test!$A$3:$F$32,5,FALSE) - VLOOKUP($B83,test!$A$3:$G$32,6,FALSE) &gt;= (test!$B$35)/1440),1,0)</f>
        <v>0</v>
      </c>
      <c r="F83" s="2">
        <f>IF(AND(VLOOKUP(F$1,test!$A$3:$F$32,5,FALSE) - VLOOKUP($B83,test!$A$3:$G$32,6,FALSE) &gt;= (test!$B$35)/1440),1,0)</f>
        <v>0</v>
      </c>
      <c r="G83" s="2">
        <f>IF(AND(VLOOKUP(G$1,test!$A$3:$F$32,5,FALSE) - VLOOKUP($B83,test!$A$3:$G$32,6,FALSE) &gt;= (test!$B$35)/1440),1,0)</f>
        <v>0</v>
      </c>
      <c r="H83" s="2">
        <f>IF(AND(VLOOKUP(H$1,test!$A$3:$F$32,5,FALSE) - VLOOKUP($B83,test!$A$3:$G$32,6,FALSE) &gt;= (test!$B$35)/1440),1,0)</f>
        <v>0</v>
      </c>
      <c r="I83" s="2">
        <f>IF(AND(VLOOKUP(I$1,test!$A$3:$F$32,5,FALSE) - VLOOKUP($B83,test!$A$3:$G$32,6,FALSE) &gt;= (test!$B$35)/1440),1,0)</f>
        <v>0</v>
      </c>
      <c r="J83" s="2">
        <f>IF(AND(VLOOKUP(J$1,test!$A$3:$F$32,5,FALSE) - VLOOKUP($B83,test!$A$3:$G$32,6,FALSE) &gt;= (test!$B$35)/1440),1,0)</f>
        <v>1</v>
      </c>
      <c r="K83" s="2">
        <f>IF(AND(VLOOKUP(K$1,test!$A$3:$F$32,5,FALSE) - VLOOKUP($B83,test!$A$3:$G$32,6,FALSE) &gt;= (test!$B$35)/1440),1,0)</f>
        <v>1</v>
      </c>
      <c r="L83" s="2">
        <f>IF(AND(VLOOKUP(L$1,test!$A$3:$F$32,5,FALSE) - VLOOKUP($B83,test!$A$3:$G$32,6,FALSE) &gt;= (test!$B$35)/1440),1,0)</f>
        <v>0</v>
      </c>
      <c r="M83" s="2">
        <f>IF(AND(VLOOKUP(M$1,test!$A$3:$F$32,5,FALSE) - VLOOKUP($B83,test!$A$3:$G$32,6,FALSE) &gt;= (test!$B$35)/1440),1,0)</f>
        <v>0</v>
      </c>
      <c r="N83" s="2">
        <f>IF(AND(VLOOKUP(N$1,test!$A$3:$F$32,5,FALSE) - VLOOKUP($B83,test!$A$3:$G$32,6,FALSE) &gt;= (test!$B$35)/1440),1,0)</f>
        <v>0</v>
      </c>
      <c r="O83" s="2">
        <f>IF(AND(VLOOKUP(O$1,test!$A$3:$F$32,5,FALSE) - VLOOKUP($B83,test!$A$3:$G$32,6,FALSE) &gt;= (test!$B$35)/1440),1,0)</f>
        <v>1</v>
      </c>
      <c r="P83" s="2">
        <f>IF(AND(VLOOKUP(P$1,test!$A$3:$F$32,5,FALSE) - VLOOKUP($B83,test!$A$3:$G$32,6,FALSE) &gt;= (test!$B$35)/1440),1,0)</f>
        <v>1</v>
      </c>
      <c r="Q83" s="2">
        <f>IF(AND(VLOOKUP(Q$1,test!$A$3:$F$32,5,FALSE) - VLOOKUP($B83,test!$A$3:$G$32,6,FALSE) &gt;= (test!$B$35)/1440),1,0)</f>
        <v>0</v>
      </c>
      <c r="R83" s="2">
        <f>IF(AND(VLOOKUP(R$1,test!$A$3:$F$32,5,FALSE) - VLOOKUP($B83,test!$A$3:$G$32,6,FALSE) &gt;= (test!$B$35)/1440),1,0)</f>
        <v>0</v>
      </c>
      <c r="S83" s="2">
        <f>IF(AND(VLOOKUP(S$1,test!$A$3:$F$32,5,FALSE) - VLOOKUP($B83,test!$A$3:$G$32,6,FALSE) &gt;= (test!$B$35)/1440),1,0)</f>
        <v>0</v>
      </c>
      <c r="T83" s="2">
        <f>IF(AND(VLOOKUP(T$1,test!$A$3:$F$32,5,FALSE) - VLOOKUP($B83,test!$A$3:$G$32,6,FALSE) &gt;= (test!$B$35)/1440),1,0)</f>
        <v>0</v>
      </c>
      <c r="U83" s="2">
        <f>IF(AND(VLOOKUP(U$1,test!$A$3:$F$32,5,FALSE) - VLOOKUP($B83,test!$A$3:$G$32,6,FALSE) &gt;= (test!$B$35)/1440),1,0)</f>
        <v>0</v>
      </c>
      <c r="V83" s="2">
        <f>IF(AND(VLOOKUP(V$1,test!$A$3:$F$32,5,FALSE) - VLOOKUP($B83,test!$A$3:$G$32,6,FALSE) &gt;= (test!$B$35)/1440),1,0)</f>
        <v>0</v>
      </c>
      <c r="W83" s="2">
        <f>IF(AND(VLOOKUP(W$1,test!$A$3:$F$32,5,FALSE) - VLOOKUP($B83,test!$A$3:$G$32,6,FALSE) &gt;= (test!$B$35)/1440),1,0)</f>
        <v>0</v>
      </c>
      <c r="X83" s="2">
        <f>IF(AND(VLOOKUP(X$1,test!$A$3:$F$32,5,FALSE) - VLOOKUP($B83,test!$A$3:$G$32,6,FALSE) &gt;= (test!$B$35)/1440),1,0)</f>
        <v>0</v>
      </c>
      <c r="Y83" s="2">
        <f>IF(AND(VLOOKUP(Y$1,test!$A$3:$F$32,5,FALSE) - VLOOKUP($B83,test!$A$3:$G$32,6,FALSE) &gt;= (test!$B$35)/1440),1,0)</f>
        <v>1</v>
      </c>
      <c r="Z83" s="2">
        <f>IF(AND(VLOOKUP(Z$1,test!$A$3:$F$32,5,FALSE) - VLOOKUP($B83,test!$A$3:$G$32,6,FALSE) &gt;= (test!$B$35)/1440),1,0)</f>
        <v>0</v>
      </c>
      <c r="AA83" s="2">
        <f>IF(AND(VLOOKUP(AA$1,test!$A$3:$F$32,5,FALSE) - VLOOKUP($B83,test!$A$3:$G$32,6,FALSE) &gt;= (test!$B$35)/1440),1,0)</f>
        <v>0</v>
      </c>
      <c r="AB83" s="2">
        <f>IF(AND(VLOOKUP(AB$1,test!$A$3:$F$32,5,FALSE) - VLOOKUP($B83,test!$A$3:$G$32,6,FALSE) &gt;= (test!$B$35)/1440),1,0)</f>
        <v>0</v>
      </c>
      <c r="AC83" s="2">
        <f>IF(AND(VLOOKUP(AC$1,test!$A$3:$F$32,5,FALSE) - VLOOKUP($B83,test!$A$3:$G$32,6,FALSE) &gt;= (test!$B$35)/1440),1,0)</f>
        <v>0</v>
      </c>
      <c r="AD83" s="2">
        <f>IF(AND(VLOOKUP(AD$1,test!$A$3:$F$32,5,FALSE) - VLOOKUP($B83,test!$A$3:$G$32,6,FALSE) &gt;= (test!$B$35)/1440),1,0)</f>
        <v>0</v>
      </c>
      <c r="AE83" s="2">
        <f>IF(AND(VLOOKUP(AE$1,test!$A$3:$F$32,5,FALSE) - VLOOKUP($B83,test!$A$3:$G$32,6,FALSE) &gt;= (test!$B$35)/1440),1,0)</f>
        <v>0</v>
      </c>
      <c r="AF83" s="2">
        <f>IF(AND(VLOOKUP(AF$1,test!$A$3:$F$32,5,FALSE) - VLOOKUP($B83,test!$A$3:$G$32,6,FALSE) &gt;= (test!$B$35)/1440),1,0)</f>
        <v>0</v>
      </c>
      <c r="AG83" s="2">
        <f>IF(AND(VLOOKUP(AG$1,test!$A$3:$F$32,5,FALSE) - VLOOKUP($B83,test!$A$3:$G$32,6,FALSE) &gt;= (test!$B$35)/1440),1,0)</f>
        <v>0</v>
      </c>
    </row>
    <row r="84" spans="1:33" x14ac:dyDescent="0.25">
      <c r="A84" t="s">
        <v>60</v>
      </c>
      <c r="B84" t="s">
        <v>31</v>
      </c>
      <c r="C84">
        <v>0</v>
      </c>
      <c r="D84" s="2">
        <f>IF(AND(VLOOKUP(D$1,test!$A$3:$F$32,5,FALSE) - VLOOKUP($B84,test!$A$3:$G$32,6,FALSE) &gt;= (test!$B$35)/1440),1,0)</f>
        <v>0</v>
      </c>
      <c r="E84" s="2">
        <f>IF(AND(VLOOKUP(E$1,test!$A$3:$F$32,5,FALSE) - VLOOKUP($B84,test!$A$3:$G$32,6,FALSE) &gt;= (test!$B$35)/1440),1,0)</f>
        <v>0</v>
      </c>
      <c r="F84" s="2">
        <f>IF(AND(VLOOKUP(F$1,test!$A$3:$F$32,5,FALSE) - VLOOKUP($B84,test!$A$3:$G$32,6,FALSE) &gt;= (test!$B$35)/1440),1,0)</f>
        <v>0</v>
      </c>
      <c r="G84" s="2">
        <f>IF(AND(VLOOKUP(G$1,test!$A$3:$F$32,5,FALSE) - VLOOKUP($B84,test!$A$3:$G$32,6,FALSE) &gt;= (test!$B$35)/1440),1,0)</f>
        <v>0</v>
      </c>
      <c r="H84" s="2">
        <f>IF(AND(VLOOKUP(H$1,test!$A$3:$F$32,5,FALSE) - VLOOKUP($B84,test!$A$3:$G$32,6,FALSE) &gt;= (test!$B$35)/1440),1,0)</f>
        <v>0</v>
      </c>
      <c r="I84" s="2">
        <f>IF(AND(VLOOKUP(I$1,test!$A$3:$F$32,5,FALSE) - VLOOKUP($B84,test!$A$3:$G$32,6,FALSE) &gt;= (test!$B$35)/1440),1,0)</f>
        <v>0</v>
      </c>
      <c r="J84" s="2">
        <f>IF(AND(VLOOKUP(J$1,test!$A$3:$F$32,5,FALSE) - VLOOKUP($B84,test!$A$3:$G$32,6,FALSE) &gt;= (test!$B$35)/1440),1,0)</f>
        <v>0</v>
      </c>
      <c r="K84" s="2">
        <f>IF(AND(VLOOKUP(K$1,test!$A$3:$F$32,5,FALSE) - VLOOKUP($B84,test!$A$3:$G$32,6,FALSE) &gt;= (test!$B$35)/1440),1,0)</f>
        <v>1</v>
      </c>
      <c r="L84" s="2">
        <f>IF(AND(VLOOKUP(L$1,test!$A$3:$F$32,5,FALSE) - VLOOKUP($B84,test!$A$3:$G$32,6,FALSE) &gt;= (test!$B$35)/1440),1,0)</f>
        <v>0</v>
      </c>
      <c r="M84" s="2">
        <f>IF(AND(VLOOKUP(M$1,test!$A$3:$F$32,5,FALSE) - VLOOKUP($B84,test!$A$3:$G$32,6,FALSE) &gt;= (test!$B$35)/1440),1,0)</f>
        <v>0</v>
      </c>
      <c r="N84" s="2">
        <f>IF(AND(VLOOKUP(N$1,test!$A$3:$F$32,5,FALSE) - VLOOKUP($B84,test!$A$3:$G$32,6,FALSE) &gt;= (test!$B$35)/1440),1,0)</f>
        <v>0</v>
      </c>
      <c r="O84" s="2">
        <f>IF(AND(VLOOKUP(O$1,test!$A$3:$F$32,5,FALSE) - VLOOKUP($B84,test!$A$3:$G$32,6,FALSE) &gt;= (test!$B$35)/1440),1,0)</f>
        <v>0</v>
      </c>
      <c r="P84" s="2">
        <f>IF(AND(VLOOKUP(P$1,test!$A$3:$F$32,5,FALSE) - VLOOKUP($B84,test!$A$3:$G$32,6,FALSE) &gt;= (test!$B$35)/1440),1,0)</f>
        <v>1</v>
      </c>
      <c r="Q84" s="2">
        <f>IF(AND(VLOOKUP(Q$1,test!$A$3:$F$32,5,FALSE) - VLOOKUP($B84,test!$A$3:$G$32,6,FALSE) &gt;= (test!$B$35)/1440),1,0)</f>
        <v>0</v>
      </c>
      <c r="R84" s="2">
        <f>IF(AND(VLOOKUP(R$1,test!$A$3:$F$32,5,FALSE) - VLOOKUP($B84,test!$A$3:$G$32,6,FALSE) &gt;= (test!$B$35)/1440),1,0)</f>
        <v>0</v>
      </c>
      <c r="S84" s="2">
        <f>IF(AND(VLOOKUP(S$1,test!$A$3:$F$32,5,FALSE) - VLOOKUP($B84,test!$A$3:$G$32,6,FALSE) &gt;= (test!$B$35)/1440),1,0)</f>
        <v>0</v>
      </c>
      <c r="T84" s="2">
        <f>IF(AND(VLOOKUP(T$1,test!$A$3:$F$32,5,FALSE) - VLOOKUP($B84,test!$A$3:$G$32,6,FALSE) &gt;= (test!$B$35)/1440),1,0)</f>
        <v>0</v>
      </c>
      <c r="U84" s="2">
        <f>IF(AND(VLOOKUP(U$1,test!$A$3:$F$32,5,FALSE) - VLOOKUP($B84,test!$A$3:$G$32,6,FALSE) &gt;= (test!$B$35)/1440),1,0)</f>
        <v>0</v>
      </c>
      <c r="V84" s="2">
        <f>IF(AND(VLOOKUP(V$1,test!$A$3:$F$32,5,FALSE) - VLOOKUP($B84,test!$A$3:$G$32,6,FALSE) &gt;= (test!$B$35)/1440),1,0)</f>
        <v>0</v>
      </c>
      <c r="W84" s="2">
        <f>IF(AND(VLOOKUP(W$1,test!$A$3:$F$32,5,FALSE) - VLOOKUP($B84,test!$A$3:$G$32,6,FALSE) &gt;= (test!$B$35)/1440),1,0)</f>
        <v>0</v>
      </c>
      <c r="X84" s="2">
        <f>IF(AND(VLOOKUP(X$1,test!$A$3:$F$32,5,FALSE) - VLOOKUP($B84,test!$A$3:$G$32,6,FALSE) &gt;= (test!$B$35)/1440),1,0)</f>
        <v>0</v>
      </c>
      <c r="Y84" s="2">
        <f>IF(AND(VLOOKUP(Y$1,test!$A$3:$F$32,5,FALSE) - VLOOKUP($B84,test!$A$3:$G$32,6,FALSE) &gt;= (test!$B$35)/1440),1,0)</f>
        <v>0</v>
      </c>
      <c r="Z84" s="2">
        <f>IF(AND(VLOOKUP(Z$1,test!$A$3:$F$32,5,FALSE) - VLOOKUP($B84,test!$A$3:$G$32,6,FALSE) &gt;= (test!$B$35)/1440),1,0)</f>
        <v>0</v>
      </c>
      <c r="AA84" s="2">
        <f>IF(AND(VLOOKUP(AA$1,test!$A$3:$F$32,5,FALSE) - VLOOKUP($B84,test!$A$3:$G$32,6,FALSE) &gt;= (test!$B$35)/1440),1,0)</f>
        <v>0</v>
      </c>
      <c r="AB84" s="2">
        <f>IF(AND(VLOOKUP(AB$1,test!$A$3:$F$32,5,FALSE) - VLOOKUP($B84,test!$A$3:$G$32,6,FALSE) &gt;= (test!$B$35)/1440),1,0)</f>
        <v>0</v>
      </c>
      <c r="AC84" s="2">
        <f>IF(AND(VLOOKUP(AC$1,test!$A$3:$F$32,5,FALSE) - VLOOKUP($B84,test!$A$3:$G$32,6,FALSE) &gt;= (test!$B$35)/1440),1,0)</f>
        <v>0</v>
      </c>
      <c r="AD84" s="2">
        <f>IF(AND(VLOOKUP(AD$1,test!$A$3:$F$32,5,FALSE) - VLOOKUP($B84,test!$A$3:$G$32,6,FALSE) &gt;= (test!$B$35)/1440),1,0)</f>
        <v>0</v>
      </c>
      <c r="AE84" s="2">
        <f>IF(AND(VLOOKUP(AE$1,test!$A$3:$F$32,5,FALSE) - VLOOKUP($B84,test!$A$3:$G$32,6,FALSE) &gt;= (test!$B$35)/1440),1,0)</f>
        <v>0</v>
      </c>
      <c r="AF84" s="2">
        <f>IF(AND(VLOOKUP(AF$1,test!$A$3:$F$32,5,FALSE) - VLOOKUP($B84,test!$A$3:$G$32,6,FALSE) &gt;= (test!$B$35)/1440),1,0)</f>
        <v>0</v>
      </c>
      <c r="AG84" s="2">
        <f>IF(AND(VLOOKUP(AG$1,test!$A$3:$F$32,5,FALSE) - VLOOKUP($B84,test!$A$3:$G$32,6,FALSE) &gt;= (test!$B$35)/1440),1,0)</f>
        <v>0</v>
      </c>
    </row>
    <row r="85" spans="1:33" x14ac:dyDescent="0.25">
      <c r="A85" t="s">
        <v>60</v>
      </c>
      <c r="B85" t="s">
        <v>32</v>
      </c>
      <c r="C85">
        <v>0</v>
      </c>
      <c r="D85" s="2">
        <f>IF(AND(VLOOKUP(D$1,test!$A$3:$F$32,5,FALSE) - VLOOKUP($B85,test!$A$3:$G$32,6,FALSE) &gt;= (test!$B$35)/1440),1,0)</f>
        <v>0</v>
      </c>
      <c r="E85" s="2">
        <f>IF(AND(VLOOKUP(E$1,test!$A$3:$F$32,5,FALSE) - VLOOKUP($B85,test!$A$3:$G$32,6,FALSE) &gt;= (test!$B$35)/1440),1,0)</f>
        <v>0</v>
      </c>
      <c r="F85" s="2">
        <f>IF(AND(VLOOKUP(F$1,test!$A$3:$F$32,5,FALSE) - VLOOKUP($B85,test!$A$3:$G$32,6,FALSE) &gt;= (test!$B$35)/1440),1,0)</f>
        <v>0</v>
      </c>
      <c r="G85" s="2">
        <f>IF(AND(VLOOKUP(G$1,test!$A$3:$F$32,5,FALSE) - VLOOKUP($B85,test!$A$3:$G$32,6,FALSE) &gt;= (test!$B$35)/1440),1,0)</f>
        <v>0</v>
      </c>
      <c r="H85" s="2">
        <f>IF(AND(VLOOKUP(H$1,test!$A$3:$F$32,5,FALSE) - VLOOKUP($B85,test!$A$3:$G$32,6,FALSE) &gt;= (test!$B$35)/1440),1,0)</f>
        <v>0</v>
      </c>
      <c r="I85" s="2">
        <f>IF(AND(VLOOKUP(I$1,test!$A$3:$F$32,5,FALSE) - VLOOKUP($B85,test!$A$3:$G$32,6,FALSE) &gt;= (test!$B$35)/1440),1,0)</f>
        <v>0</v>
      </c>
      <c r="J85" s="2">
        <f>IF(AND(VLOOKUP(J$1,test!$A$3:$F$32,5,FALSE) - VLOOKUP($B85,test!$A$3:$G$32,6,FALSE) &gt;= (test!$B$35)/1440),1,0)</f>
        <v>0</v>
      </c>
      <c r="K85" s="2">
        <f>IF(AND(VLOOKUP(K$1,test!$A$3:$F$32,5,FALSE) - VLOOKUP($B85,test!$A$3:$G$32,6,FALSE) &gt;= (test!$B$35)/1440),1,0)</f>
        <v>0</v>
      </c>
      <c r="L85" s="2">
        <f>IF(AND(VLOOKUP(L$1,test!$A$3:$F$32,5,FALSE) - VLOOKUP($B85,test!$A$3:$G$32,6,FALSE) &gt;= (test!$B$35)/1440),1,0)</f>
        <v>0</v>
      </c>
      <c r="M85" s="2">
        <f>IF(AND(VLOOKUP(M$1,test!$A$3:$F$32,5,FALSE) - VLOOKUP($B85,test!$A$3:$G$32,6,FALSE) &gt;= (test!$B$35)/1440),1,0)</f>
        <v>0</v>
      </c>
      <c r="N85" s="2">
        <f>IF(AND(VLOOKUP(N$1,test!$A$3:$F$32,5,FALSE) - VLOOKUP($B85,test!$A$3:$G$32,6,FALSE) &gt;= (test!$B$35)/1440),1,0)</f>
        <v>0</v>
      </c>
      <c r="O85" s="2">
        <f>IF(AND(VLOOKUP(O$1,test!$A$3:$F$32,5,FALSE) - VLOOKUP($B85,test!$A$3:$G$32,6,FALSE) &gt;= (test!$B$35)/1440),1,0)</f>
        <v>0</v>
      </c>
      <c r="P85" s="2">
        <f>IF(AND(VLOOKUP(P$1,test!$A$3:$F$32,5,FALSE) - VLOOKUP($B85,test!$A$3:$G$32,6,FALSE) &gt;= (test!$B$35)/1440),1,0)</f>
        <v>0</v>
      </c>
      <c r="Q85" s="2">
        <f>IF(AND(VLOOKUP(Q$1,test!$A$3:$F$32,5,FALSE) - VLOOKUP($B85,test!$A$3:$G$32,6,FALSE) &gt;= (test!$B$35)/1440),1,0)</f>
        <v>0</v>
      </c>
      <c r="R85" s="2">
        <f>IF(AND(VLOOKUP(R$1,test!$A$3:$F$32,5,FALSE) - VLOOKUP($B85,test!$A$3:$G$32,6,FALSE) &gt;= (test!$B$35)/1440),1,0)</f>
        <v>0</v>
      </c>
      <c r="S85" s="2">
        <f>IF(AND(VLOOKUP(S$1,test!$A$3:$F$32,5,FALSE) - VLOOKUP($B85,test!$A$3:$G$32,6,FALSE) &gt;= (test!$B$35)/1440),1,0)</f>
        <v>0</v>
      </c>
      <c r="T85" s="2">
        <f>IF(AND(VLOOKUP(T$1,test!$A$3:$F$32,5,FALSE) - VLOOKUP($B85,test!$A$3:$G$32,6,FALSE) &gt;= (test!$B$35)/1440),1,0)</f>
        <v>0</v>
      </c>
      <c r="U85" s="2">
        <f>IF(AND(VLOOKUP(U$1,test!$A$3:$F$32,5,FALSE) - VLOOKUP($B85,test!$A$3:$G$32,6,FALSE) &gt;= (test!$B$35)/1440),1,0)</f>
        <v>0</v>
      </c>
      <c r="V85" s="2">
        <f>IF(AND(VLOOKUP(V$1,test!$A$3:$F$32,5,FALSE) - VLOOKUP($B85,test!$A$3:$G$32,6,FALSE) &gt;= (test!$B$35)/1440),1,0)</f>
        <v>0</v>
      </c>
      <c r="W85" s="2">
        <f>IF(AND(VLOOKUP(W$1,test!$A$3:$F$32,5,FALSE) - VLOOKUP($B85,test!$A$3:$G$32,6,FALSE) &gt;= (test!$B$35)/1440),1,0)</f>
        <v>0</v>
      </c>
      <c r="X85" s="2">
        <f>IF(AND(VLOOKUP(X$1,test!$A$3:$F$32,5,FALSE) - VLOOKUP($B85,test!$A$3:$G$32,6,FALSE) &gt;= (test!$B$35)/1440),1,0)</f>
        <v>0</v>
      </c>
      <c r="Y85" s="2">
        <f>IF(AND(VLOOKUP(Y$1,test!$A$3:$F$32,5,FALSE) - VLOOKUP($B85,test!$A$3:$G$32,6,FALSE) &gt;= (test!$B$35)/1440),1,0)</f>
        <v>0</v>
      </c>
      <c r="Z85" s="2">
        <f>IF(AND(VLOOKUP(Z$1,test!$A$3:$F$32,5,FALSE) - VLOOKUP($B85,test!$A$3:$G$32,6,FALSE) &gt;= (test!$B$35)/1440),1,0)</f>
        <v>0</v>
      </c>
      <c r="AA85" s="2">
        <f>IF(AND(VLOOKUP(AA$1,test!$A$3:$F$32,5,FALSE) - VLOOKUP($B85,test!$A$3:$G$32,6,FALSE) &gt;= (test!$B$35)/1440),1,0)</f>
        <v>0</v>
      </c>
      <c r="AB85" s="2">
        <f>IF(AND(VLOOKUP(AB$1,test!$A$3:$F$32,5,FALSE) - VLOOKUP($B85,test!$A$3:$G$32,6,FALSE) &gt;= (test!$B$35)/1440),1,0)</f>
        <v>0</v>
      </c>
      <c r="AC85" s="2">
        <f>IF(AND(VLOOKUP(AC$1,test!$A$3:$F$32,5,FALSE) - VLOOKUP($B85,test!$A$3:$G$32,6,FALSE) &gt;= (test!$B$35)/1440),1,0)</f>
        <v>0</v>
      </c>
      <c r="AD85" s="2">
        <f>IF(AND(VLOOKUP(AD$1,test!$A$3:$F$32,5,FALSE) - VLOOKUP($B85,test!$A$3:$G$32,6,FALSE) &gt;= (test!$B$35)/1440),1,0)</f>
        <v>0</v>
      </c>
      <c r="AE85" s="2">
        <f>IF(AND(VLOOKUP(AE$1,test!$A$3:$F$32,5,FALSE) - VLOOKUP($B85,test!$A$3:$G$32,6,FALSE) &gt;= (test!$B$35)/1440),1,0)</f>
        <v>0</v>
      </c>
      <c r="AF85" s="2">
        <f>IF(AND(VLOOKUP(AF$1,test!$A$3:$F$32,5,FALSE) - VLOOKUP($B85,test!$A$3:$G$32,6,FALSE) &gt;= (test!$B$35)/1440),1,0)</f>
        <v>0</v>
      </c>
      <c r="AG85" s="2">
        <f>IF(AND(VLOOKUP(AG$1,test!$A$3:$F$32,5,FALSE) - VLOOKUP($B85,test!$A$3:$G$32,6,FALSE) &gt;= (test!$B$35)/1440),1,0)</f>
        <v>0</v>
      </c>
    </row>
    <row r="86" spans="1:33" x14ac:dyDescent="0.25">
      <c r="A86" t="s">
        <v>60</v>
      </c>
      <c r="B86" t="s">
        <v>33</v>
      </c>
      <c r="C86">
        <v>0</v>
      </c>
      <c r="D86" s="2">
        <f>IF(AND(VLOOKUP(D$1,test!$A$3:$F$32,5,FALSE) - VLOOKUP($B86,test!$A$3:$G$32,6,FALSE) &gt;= (test!$B$35)/1440),1,0)</f>
        <v>0</v>
      </c>
      <c r="E86" s="2">
        <f>IF(AND(VLOOKUP(E$1,test!$A$3:$F$32,5,FALSE) - VLOOKUP($B86,test!$A$3:$G$32,6,FALSE) &gt;= (test!$B$35)/1440),1,0)</f>
        <v>0</v>
      </c>
      <c r="F86" s="2">
        <f>IF(AND(VLOOKUP(F$1,test!$A$3:$F$32,5,FALSE) - VLOOKUP($B86,test!$A$3:$G$32,6,FALSE) &gt;= (test!$B$35)/1440),1,0)</f>
        <v>0</v>
      </c>
      <c r="G86" s="2">
        <f>IF(AND(VLOOKUP(G$1,test!$A$3:$F$32,5,FALSE) - VLOOKUP($B86,test!$A$3:$G$32,6,FALSE) &gt;= (test!$B$35)/1440),1,0)</f>
        <v>0</v>
      </c>
      <c r="H86" s="2">
        <f>IF(AND(VLOOKUP(H$1,test!$A$3:$F$32,5,FALSE) - VLOOKUP($B86,test!$A$3:$G$32,6,FALSE) &gt;= (test!$B$35)/1440),1,0)</f>
        <v>0</v>
      </c>
      <c r="I86" s="2">
        <f>IF(AND(VLOOKUP(I$1,test!$A$3:$F$32,5,FALSE) - VLOOKUP($B86,test!$A$3:$G$32,6,FALSE) &gt;= (test!$B$35)/1440),1,0)</f>
        <v>0</v>
      </c>
      <c r="J86" s="2">
        <f>IF(AND(VLOOKUP(J$1,test!$A$3:$F$32,5,FALSE) - VLOOKUP($B86,test!$A$3:$G$32,6,FALSE) &gt;= (test!$B$35)/1440),1,0)</f>
        <v>0</v>
      </c>
      <c r="K86" s="2">
        <f>IF(AND(VLOOKUP(K$1,test!$A$3:$F$32,5,FALSE) - VLOOKUP($B86,test!$A$3:$G$32,6,FALSE) &gt;= (test!$B$35)/1440),1,0)</f>
        <v>0</v>
      </c>
      <c r="L86" s="2">
        <f>IF(AND(VLOOKUP(L$1,test!$A$3:$F$32,5,FALSE) - VLOOKUP($B86,test!$A$3:$G$32,6,FALSE) &gt;= (test!$B$35)/1440),1,0)</f>
        <v>0</v>
      </c>
      <c r="M86" s="2">
        <f>IF(AND(VLOOKUP(M$1,test!$A$3:$F$32,5,FALSE) - VLOOKUP($B86,test!$A$3:$G$32,6,FALSE) &gt;= (test!$B$35)/1440),1,0)</f>
        <v>0</v>
      </c>
      <c r="N86" s="2">
        <f>IF(AND(VLOOKUP(N$1,test!$A$3:$F$32,5,FALSE) - VLOOKUP($B86,test!$A$3:$G$32,6,FALSE) &gt;= (test!$B$35)/1440),1,0)</f>
        <v>0</v>
      </c>
      <c r="O86" s="2">
        <f>IF(AND(VLOOKUP(O$1,test!$A$3:$F$32,5,FALSE) - VLOOKUP($B86,test!$A$3:$G$32,6,FALSE) &gt;= (test!$B$35)/1440),1,0)</f>
        <v>0</v>
      </c>
      <c r="P86" s="2">
        <f>IF(AND(VLOOKUP(P$1,test!$A$3:$F$32,5,FALSE) - VLOOKUP($B86,test!$A$3:$G$32,6,FALSE) &gt;= (test!$B$35)/1440),1,0)</f>
        <v>0</v>
      </c>
      <c r="Q86" s="2">
        <f>IF(AND(VLOOKUP(Q$1,test!$A$3:$F$32,5,FALSE) - VLOOKUP($B86,test!$A$3:$G$32,6,FALSE) &gt;= (test!$B$35)/1440),1,0)</f>
        <v>0</v>
      </c>
      <c r="R86" s="2">
        <f>IF(AND(VLOOKUP(R$1,test!$A$3:$F$32,5,FALSE) - VLOOKUP($B86,test!$A$3:$G$32,6,FALSE) &gt;= (test!$B$35)/1440),1,0)</f>
        <v>0</v>
      </c>
      <c r="S86" s="2">
        <f>IF(AND(VLOOKUP(S$1,test!$A$3:$F$32,5,FALSE) - VLOOKUP($B86,test!$A$3:$G$32,6,FALSE) &gt;= (test!$B$35)/1440),1,0)</f>
        <v>0</v>
      </c>
      <c r="T86" s="2">
        <f>IF(AND(VLOOKUP(T$1,test!$A$3:$F$32,5,FALSE) - VLOOKUP($B86,test!$A$3:$G$32,6,FALSE) &gt;= (test!$B$35)/1440),1,0)</f>
        <v>0</v>
      </c>
      <c r="U86" s="2">
        <f>IF(AND(VLOOKUP(U$1,test!$A$3:$F$32,5,FALSE) - VLOOKUP($B86,test!$A$3:$G$32,6,FALSE) &gt;= (test!$B$35)/1440),1,0)</f>
        <v>0</v>
      </c>
      <c r="V86" s="2">
        <f>IF(AND(VLOOKUP(V$1,test!$A$3:$F$32,5,FALSE) - VLOOKUP($B86,test!$A$3:$G$32,6,FALSE) &gt;= (test!$B$35)/1440),1,0)</f>
        <v>0</v>
      </c>
      <c r="W86" s="2">
        <f>IF(AND(VLOOKUP(W$1,test!$A$3:$F$32,5,FALSE) - VLOOKUP($B86,test!$A$3:$G$32,6,FALSE) &gt;= (test!$B$35)/1440),1,0)</f>
        <v>0</v>
      </c>
      <c r="X86" s="2">
        <f>IF(AND(VLOOKUP(X$1,test!$A$3:$F$32,5,FALSE) - VLOOKUP($B86,test!$A$3:$G$32,6,FALSE) &gt;= (test!$B$35)/1440),1,0)</f>
        <v>0</v>
      </c>
      <c r="Y86" s="2">
        <f>IF(AND(VLOOKUP(Y$1,test!$A$3:$F$32,5,FALSE) - VLOOKUP($B86,test!$A$3:$G$32,6,FALSE) &gt;= (test!$B$35)/1440),1,0)</f>
        <v>0</v>
      </c>
      <c r="Z86" s="2">
        <f>IF(AND(VLOOKUP(Z$1,test!$A$3:$F$32,5,FALSE) - VLOOKUP($B86,test!$A$3:$G$32,6,FALSE) &gt;= (test!$B$35)/1440),1,0)</f>
        <v>0</v>
      </c>
      <c r="AA86" s="2">
        <f>IF(AND(VLOOKUP(AA$1,test!$A$3:$F$32,5,FALSE) - VLOOKUP($B86,test!$A$3:$G$32,6,FALSE) &gt;= (test!$B$35)/1440),1,0)</f>
        <v>0</v>
      </c>
      <c r="AB86" s="2">
        <f>IF(AND(VLOOKUP(AB$1,test!$A$3:$F$32,5,FALSE) - VLOOKUP($B86,test!$A$3:$G$32,6,FALSE) &gt;= (test!$B$35)/1440),1,0)</f>
        <v>0</v>
      </c>
      <c r="AC86" s="2">
        <f>IF(AND(VLOOKUP(AC$1,test!$A$3:$F$32,5,FALSE) - VLOOKUP($B86,test!$A$3:$G$32,6,FALSE) &gt;= (test!$B$35)/1440),1,0)</f>
        <v>0</v>
      </c>
      <c r="AD86" s="2">
        <f>IF(AND(VLOOKUP(AD$1,test!$A$3:$F$32,5,FALSE) - VLOOKUP($B86,test!$A$3:$G$32,6,FALSE) &gt;= (test!$B$35)/1440),1,0)</f>
        <v>0</v>
      </c>
      <c r="AE86" s="2">
        <f>IF(AND(VLOOKUP(AE$1,test!$A$3:$F$32,5,FALSE) - VLOOKUP($B86,test!$A$3:$G$32,6,FALSE) &gt;= (test!$B$35)/1440),1,0)</f>
        <v>0</v>
      </c>
      <c r="AF86" s="2">
        <f>IF(AND(VLOOKUP(AF$1,test!$A$3:$F$32,5,FALSE) - VLOOKUP($B86,test!$A$3:$G$32,6,FALSE) &gt;= (test!$B$35)/1440),1,0)</f>
        <v>0</v>
      </c>
      <c r="AG86" s="2">
        <f>IF(AND(VLOOKUP(AG$1,test!$A$3:$F$32,5,FALSE) - VLOOKUP($B86,test!$A$3:$G$32,6,FALSE) &gt;= (test!$B$35)/1440),1,0)</f>
        <v>0</v>
      </c>
    </row>
    <row r="87" spans="1:33" x14ac:dyDescent="0.25">
      <c r="A87" t="s">
        <v>60</v>
      </c>
      <c r="B87" t="s">
        <v>34</v>
      </c>
      <c r="C87">
        <v>0</v>
      </c>
      <c r="D87" s="2">
        <f>IF(AND(VLOOKUP(D$1,test!$A$3:$F$32,5,FALSE) - VLOOKUP($B87,test!$A$3:$G$32,6,FALSE) &gt;= (test!$B$35)/1440),1,0)</f>
        <v>0</v>
      </c>
      <c r="E87" s="2">
        <f>IF(AND(VLOOKUP(E$1,test!$A$3:$F$32,5,FALSE) - VLOOKUP($B87,test!$A$3:$G$32,6,FALSE) &gt;= (test!$B$35)/1440),1,0)</f>
        <v>0</v>
      </c>
      <c r="F87" s="2">
        <f>IF(AND(VLOOKUP(F$1,test!$A$3:$F$32,5,FALSE) - VLOOKUP($B87,test!$A$3:$G$32,6,FALSE) &gt;= (test!$B$35)/1440),1,0)</f>
        <v>1</v>
      </c>
      <c r="G87" s="2">
        <f>IF(AND(VLOOKUP(G$1,test!$A$3:$F$32,5,FALSE) - VLOOKUP($B87,test!$A$3:$G$32,6,FALSE) &gt;= (test!$B$35)/1440),1,0)</f>
        <v>1</v>
      </c>
      <c r="H87" s="2">
        <f>IF(AND(VLOOKUP(H$1,test!$A$3:$F$32,5,FALSE) - VLOOKUP($B87,test!$A$3:$G$32,6,FALSE) &gt;= (test!$B$35)/1440),1,0)</f>
        <v>1</v>
      </c>
      <c r="I87" s="2">
        <f>IF(AND(VLOOKUP(I$1,test!$A$3:$F$32,5,FALSE) - VLOOKUP($B87,test!$A$3:$G$32,6,FALSE) &gt;= (test!$B$35)/1440),1,0)</f>
        <v>1</v>
      </c>
      <c r="J87" s="2">
        <f>IF(AND(VLOOKUP(J$1,test!$A$3:$F$32,5,FALSE) - VLOOKUP($B87,test!$A$3:$G$32,6,FALSE) &gt;= (test!$B$35)/1440),1,0)</f>
        <v>1</v>
      </c>
      <c r="K87" s="2">
        <f>IF(AND(VLOOKUP(K$1,test!$A$3:$F$32,5,FALSE) - VLOOKUP($B87,test!$A$3:$G$32,6,FALSE) &gt;= (test!$B$35)/1440),1,0)</f>
        <v>1</v>
      </c>
      <c r="L87" s="2">
        <f>IF(AND(VLOOKUP(L$1,test!$A$3:$F$32,5,FALSE) - VLOOKUP($B87,test!$A$3:$G$32,6,FALSE) &gt;= (test!$B$35)/1440),1,0)</f>
        <v>0</v>
      </c>
      <c r="M87" s="2">
        <f>IF(AND(VLOOKUP(M$1,test!$A$3:$F$32,5,FALSE) - VLOOKUP($B87,test!$A$3:$G$32,6,FALSE) &gt;= (test!$B$35)/1440),1,0)</f>
        <v>0</v>
      </c>
      <c r="N87" s="2">
        <f>IF(AND(VLOOKUP(N$1,test!$A$3:$F$32,5,FALSE) - VLOOKUP($B87,test!$A$3:$G$32,6,FALSE) &gt;= (test!$B$35)/1440),1,0)</f>
        <v>1</v>
      </c>
      <c r="O87" s="2">
        <f>IF(AND(VLOOKUP(O$1,test!$A$3:$F$32,5,FALSE) - VLOOKUP($B87,test!$A$3:$G$32,6,FALSE) &gt;= (test!$B$35)/1440),1,0)</f>
        <v>1</v>
      </c>
      <c r="P87" s="2">
        <f>IF(AND(VLOOKUP(P$1,test!$A$3:$F$32,5,FALSE) - VLOOKUP($B87,test!$A$3:$G$32,6,FALSE) &gt;= (test!$B$35)/1440),1,0)</f>
        <v>1</v>
      </c>
      <c r="Q87" s="2">
        <f>IF(AND(VLOOKUP(Q$1,test!$A$3:$F$32,5,FALSE) - VLOOKUP($B87,test!$A$3:$G$32,6,FALSE) &gt;= (test!$B$35)/1440),1,0)</f>
        <v>0</v>
      </c>
      <c r="R87" s="2">
        <f>IF(AND(VLOOKUP(R$1,test!$A$3:$F$32,5,FALSE) - VLOOKUP($B87,test!$A$3:$G$32,6,FALSE) &gt;= (test!$B$35)/1440),1,0)</f>
        <v>0</v>
      </c>
      <c r="S87" s="2">
        <f>IF(AND(VLOOKUP(S$1,test!$A$3:$F$32,5,FALSE) - VLOOKUP($B87,test!$A$3:$G$32,6,FALSE) &gt;= (test!$B$35)/1440),1,0)</f>
        <v>0</v>
      </c>
      <c r="T87" s="2">
        <f>IF(AND(VLOOKUP(T$1,test!$A$3:$F$32,5,FALSE) - VLOOKUP($B87,test!$A$3:$G$32,6,FALSE) &gt;= (test!$B$35)/1440),1,0)</f>
        <v>0</v>
      </c>
      <c r="U87" s="2">
        <f>IF(AND(VLOOKUP(U$1,test!$A$3:$F$32,5,FALSE) - VLOOKUP($B87,test!$A$3:$G$32,6,FALSE) &gt;= (test!$B$35)/1440),1,0)</f>
        <v>1</v>
      </c>
      <c r="V87" s="2">
        <f>IF(AND(VLOOKUP(V$1,test!$A$3:$F$32,5,FALSE) - VLOOKUP($B87,test!$A$3:$G$32,6,FALSE) &gt;= (test!$B$35)/1440),1,0)</f>
        <v>1</v>
      </c>
      <c r="W87" s="2">
        <f>IF(AND(VLOOKUP(W$1,test!$A$3:$F$32,5,FALSE) - VLOOKUP($B87,test!$A$3:$G$32,6,FALSE) &gt;= (test!$B$35)/1440),1,0)</f>
        <v>1</v>
      </c>
      <c r="X87" s="2">
        <f>IF(AND(VLOOKUP(X$1,test!$A$3:$F$32,5,FALSE) - VLOOKUP($B87,test!$A$3:$G$32,6,FALSE) &gt;= (test!$B$35)/1440),1,0)</f>
        <v>1</v>
      </c>
      <c r="Y87" s="2">
        <f>IF(AND(VLOOKUP(Y$1,test!$A$3:$F$32,5,FALSE) - VLOOKUP($B87,test!$A$3:$G$32,6,FALSE) &gt;= (test!$B$35)/1440),1,0)</f>
        <v>1</v>
      </c>
      <c r="Z87" s="2">
        <f>IF(AND(VLOOKUP(Z$1,test!$A$3:$F$32,5,FALSE) - VLOOKUP($B87,test!$A$3:$G$32,6,FALSE) &gt;= (test!$B$35)/1440),1,0)</f>
        <v>0</v>
      </c>
      <c r="AA87" s="2">
        <f>IF(AND(VLOOKUP(AA$1,test!$A$3:$F$32,5,FALSE) - VLOOKUP($B87,test!$A$3:$G$32,6,FALSE) &gt;= (test!$B$35)/1440),1,0)</f>
        <v>0</v>
      </c>
      <c r="AB87" s="2">
        <f>IF(AND(VLOOKUP(AB$1,test!$A$3:$F$32,5,FALSE) - VLOOKUP($B87,test!$A$3:$G$32,6,FALSE) &gt;= (test!$B$35)/1440),1,0)</f>
        <v>1</v>
      </c>
      <c r="AC87" s="2">
        <f>IF(AND(VLOOKUP(AC$1,test!$A$3:$F$32,5,FALSE) - VLOOKUP($B87,test!$A$3:$G$32,6,FALSE) &gt;= (test!$B$35)/1440),1,0)</f>
        <v>1</v>
      </c>
      <c r="AD87" s="2">
        <f>IF(AND(VLOOKUP(AD$1,test!$A$3:$F$32,5,FALSE) - VLOOKUP($B87,test!$A$3:$G$32,6,FALSE) &gt;= (test!$B$35)/1440),1,0)</f>
        <v>1</v>
      </c>
      <c r="AE87" s="2">
        <f>IF(AND(VLOOKUP(AE$1,test!$A$3:$F$32,5,FALSE) - VLOOKUP($B87,test!$A$3:$G$32,6,FALSE) &gt;= (test!$B$35)/1440),1,0)</f>
        <v>0</v>
      </c>
      <c r="AF87" s="2">
        <f>IF(AND(VLOOKUP(AF$1,test!$A$3:$F$32,5,FALSE) - VLOOKUP($B87,test!$A$3:$G$32,6,FALSE) &gt;= (test!$B$35)/1440),1,0)</f>
        <v>1</v>
      </c>
      <c r="AG87" s="2">
        <f>IF(AND(VLOOKUP(AG$1,test!$A$3:$F$32,5,FALSE) - VLOOKUP($B87,test!$A$3:$G$32,6,FALSE) &gt;= (test!$B$35)/1440),1,0)</f>
        <v>1</v>
      </c>
    </row>
    <row r="88" spans="1:33" x14ac:dyDescent="0.25">
      <c r="A88" t="s">
        <v>60</v>
      </c>
      <c r="B88" t="s">
        <v>35</v>
      </c>
      <c r="C88">
        <v>0</v>
      </c>
      <c r="D88" s="2">
        <f>IF(AND(VLOOKUP(D$1,test!$A$3:$F$32,5,FALSE) - VLOOKUP($B88,test!$A$3:$G$32,6,FALSE) &gt;= (test!$B$35)/1440),1,0)</f>
        <v>0</v>
      </c>
      <c r="E88" s="2">
        <f>IF(AND(VLOOKUP(E$1,test!$A$3:$F$32,5,FALSE) - VLOOKUP($B88,test!$A$3:$G$32,6,FALSE) &gt;= (test!$B$35)/1440),1,0)</f>
        <v>0</v>
      </c>
      <c r="F88" s="2">
        <f>IF(AND(VLOOKUP(F$1,test!$A$3:$F$32,5,FALSE) - VLOOKUP($B88,test!$A$3:$G$32,6,FALSE) &gt;= (test!$B$35)/1440),1,0)</f>
        <v>0</v>
      </c>
      <c r="G88" s="2">
        <f>IF(AND(VLOOKUP(G$1,test!$A$3:$F$32,5,FALSE) - VLOOKUP($B88,test!$A$3:$G$32,6,FALSE) &gt;= (test!$B$35)/1440),1,0)</f>
        <v>0</v>
      </c>
      <c r="H88" s="2">
        <f>IF(AND(VLOOKUP(H$1,test!$A$3:$F$32,5,FALSE) - VLOOKUP($B88,test!$A$3:$G$32,6,FALSE) &gt;= (test!$B$35)/1440),1,0)</f>
        <v>1</v>
      </c>
      <c r="I88" s="2">
        <f>IF(AND(VLOOKUP(I$1,test!$A$3:$F$32,5,FALSE) - VLOOKUP($B88,test!$A$3:$G$32,6,FALSE) &gt;= (test!$B$35)/1440),1,0)</f>
        <v>1</v>
      </c>
      <c r="J88" s="2">
        <f>IF(AND(VLOOKUP(J$1,test!$A$3:$F$32,5,FALSE) - VLOOKUP($B88,test!$A$3:$G$32,6,FALSE) &gt;= (test!$B$35)/1440),1,0)</f>
        <v>1</v>
      </c>
      <c r="K88" s="2">
        <f>IF(AND(VLOOKUP(K$1,test!$A$3:$F$32,5,FALSE) - VLOOKUP($B88,test!$A$3:$G$32,6,FALSE) &gt;= (test!$B$35)/1440),1,0)</f>
        <v>1</v>
      </c>
      <c r="L88" s="2">
        <f>IF(AND(VLOOKUP(L$1,test!$A$3:$F$32,5,FALSE) - VLOOKUP($B88,test!$A$3:$G$32,6,FALSE) &gt;= (test!$B$35)/1440),1,0)</f>
        <v>0</v>
      </c>
      <c r="M88" s="2">
        <f>IF(AND(VLOOKUP(M$1,test!$A$3:$F$32,5,FALSE) - VLOOKUP($B88,test!$A$3:$G$32,6,FALSE) &gt;= (test!$B$35)/1440),1,0)</f>
        <v>0</v>
      </c>
      <c r="N88" s="2">
        <f>IF(AND(VLOOKUP(N$1,test!$A$3:$F$32,5,FALSE) - VLOOKUP($B88,test!$A$3:$G$32,6,FALSE) &gt;= (test!$B$35)/1440),1,0)</f>
        <v>0</v>
      </c>
      <c r="O88" s="2">
        <f>IF(AND(VLOOKUP(O$1,test!$A$3:$F$32,5,FALSE) - VLOOKUP($B88,test!$A$3:$G$32,6,FALSE) &gt;= (test!$B$35)/1440),1,0)</f>
        <v>1</v>
      </c>
      <c r="P88" s="2">
        <f>IF(AND(VLOOKUP(P$1,test!$A$3:$F$32,5,FALSE) - VLOOKUP($B88,test!$A$3:$G$32,6,FALSE) &gt;= (test!$B$35)/1440),1,0)</f>
        <v>1</v>
      </c>
      <c r="Q88" s="2">
        <f>IF(AND(VLOOKUP(Q$1,test!$A$3:$F$32,5,FALSE) - VLOOKUP($B88,test!$A$3:$G$32,6,FALSE) &gt;= (test!$B$35)/1440),1,0)</f>
        <v>0</v>
      </c>
      <c r="R88" s="2">
        <f>IF(AND(VLOOKUP(R$1,test!$A$3:$F$32,5,FALSE) - VLOOKUP($B88,test!$A$3:$G$32,6,FALSE) &gt;= (test!$B$35)/1440),1,0)</f>
        <v>0</v>
      </c>
      <c r="S88" s="2">
        <f>IF(AND(VLOOKUP(S$1,test!$A$3:$F$32,5,FALSE) - VLOOKUP($B88,test!$A$3:$G$32,6,FALSE) &gt;= (test!$B$35)/1440),1,0)</f>
        <v>0</v>
      </c>
      <c r="T88" s="2">
        <f>IF(AND(VLOOKUP(T$1,test!$A$3:$F$32,5,FALSE) - VLOOKUP($B88,test!$A$3:$G$32,6,FALSE) &gt;= (test!$B$35)/1440),1,0)</f>
        <v>0</v>
      </c>
      <c r="U88" s="2">
        <f>IF(AND(VLOOKUP(U$1,test!$A$3:$F$32,5,FALSE) - VLOOKUP($B88,test!$A$3:$G$32,6,FALSE) &gt;= (test!$B$35)/1440),1,0)</f>
        <v>0</v>
      </c>
      <c r="V88" s="2">
        <f>IF(AND(VLOOKUP(V$1,test!$A$3:$F$32,5,FALSE) - VLOOKUP($B88,test!$A$3:$G$32,6,FALSE) &gt;= (test!$B$35)/1440),1,0)</f>
        <v>0</v>
      </c>
      <c r="W88" s="2">
        <f>IF(AND(VLOOKUP(W$1,test!$A$3:$F$32,5,FALSE) - VLOOKUP($B88,test!$A$3:$G$32,6,FALSE) &gt;= (test!$B$35)/1440),1,0)</f>
        <v>1</v>
      </c>
      <c r="X88" s="2">
        <f>IF(AND(VLOOKUP(X$1,test!$A$3:$F$32,5,FALSE) - VLOOKUP($B88,test!$A$3:$G$32,6,FALSE) &gt;= (test!$B$35)/1440),1,0)</f>
        <v>1</v>
      </c>
      <c r="Y88" s="2">
        <f>IF(AND(VLOOKUP(Y$1,test!$A$3:$F$32,5,FALSE) - VLOOKUP($B88,test!$A$3:$G$32,6,FALSE) &gt;= (test!$B$35)/1440),1,0)</f>
        <v>1</v>
      </c>
      <c r="Z88" s="2">
        <f>IF(AND(VLOOKUP(Z$1,test!$A$3:$F$32,5,FALSE) - VLOOKUP($B88,test!$A$3:$G$32,6,FALSE) &gt;= (test!$B$35)/1440),1,0)</f>
        <v>0</v>
      </c>
      <c r="AA88" s="2">
        <f>IF(AND(VLOOKUP(AA$1,test!$A$3:$F$32,5,FALSE) - VLOOKUP($B88,test!$A$3:$G$32,6,FALSE) &gt;= (test!$B$35)/1440),1,0)</f>
        <v>0</v>
      </c>
      <c r="AB88" s="2">
        <f>IF(AND(VLOOKUP(AB$1,test!$A$3:$F$32,5,FALSE) - VLOOKUP($B88,test!$A$3:$G$32,6,FALSE) &gt;= (test!$B$35)/1440),1,0)</f>
        <v>0</v>
      </c>
      <c r="AC88" s="2">
        <f>IF(AND(VLOOKUP(AC$1,test!$A$3:$F$32,5,FALSE) - VLOOKUP($B88,test!$A$3:$G$32,6,FALSE) &gt;= (test!$B$35)/1440),1,0)</f>
        <v>0</v>
      </c>
      <c r="AD88" s="2">
        <f>IF(AND(VLOOKUP(AD$1,test!$A$3:$F$32,5,FALSE) - VLOOKUP($B88,test!$A$3:$G$32,6,FALSE) &gt;= (test!$B$35)/1440),1,0)</f>
        <v>1</v>
      </c>
      <c r="AE88" s="2">
        <f>IF(AND(VLOOKUP(AE$1,test!$A$3:$F$32,5,FALSE) - VLOOKUP($B88,test!$A$3:$G$32,6,FALSE) &gt;= (test!$B$35)/1440),1,0)</f>
        <v>0</v>
      </c>
      <c r="AF88" s="2">
        <f>IF(AND(VLOOKUP(AF$1,test!$A$3:$F$32,5,FALSE) - VLOOKUP($B88,test!$A$3:$G$32,6,FALSE) &gt;= (test!$B$35)/1440),1,0)</f>
        <v>0</v>
      </c>
      <c r="AG88" s="2">
        <f>IF(AND(VLOOKUP(AG$1,test!$A$3:$F$32,5,FALSE) - VLOOKUP($B88,test!$A$3:$G$32,6,FALSE) &gt;= (test!$B$35)/1440),1,0)</f>
        <v>0</v>
      </c>
    </row>
    <row r="89" spans="1:33" x14ac:dyDescent="0.25">
      <c r="A89" t="s">
        <v>60</v>
      </c>
      <c r="B89" t="s">
        <v>36</v>
      </c>
      <c r="C89">
        <v>0</v>
      </c>
      <c r="D89" s="2">
        <f>IF(AND(VLOOKUP(D$1,test!$A$3:$F$32,5,FALSE) - VLOOKUP($B89,test!$A$3:$G$32,6,FALSE) &gt;= (test!$B$35)/1440),1,0)</f>
        <v>0</v>
      </c>
      <c r="E89" s="2">
        <f>IF(AND(VLOOKUP(E$1,test!$A$3:$F$32,5,FALSE) - VLOOKUP($B89,test!$A$3:$G$32,6,FALSE) &gt;= (test!$B$35)/1440),1,0)</f>
        <v>0</v>
      </c>
      <c r="F89" s="2">
        <f>IF(AND(VLOOKUP(F$1,test!$A$3:$F$32,5,FALSE) - VLOOKUP($B89,test!$A$3:$G$32,6,FALSE) &gt;= (test!$B$35)/1440),1,0)</f>
        <v>0</v>
      </c>
      <c r="G89" s="2">
        <f>IF(AND(VLOOKUP(G$1,test!$A$3:$F$32,5,FALSE) - VLOOKUP($B89,test!$A$3:$G$32,6,FALSE) &gt;= (test!$B$35)/1440),1,0)</f>
        <v>0</v>
      </c>
      <c r="H89" s="2">
        <f>IF(AND(VLOOKUP(H$1,test!$A$3:$F$32,5,FALSE) - VLOOKUP($B89,test!$A$3:$G$32,6,FALSE) &gt;= (test!$B$35)/1440),1,0)</f>
        <v>0</v>
      </c>
      <c r="I89" s="2">
        <f>IF(AND(VLOOKUP(I$1,test!$A$3:$F$32,5,FALSE) - VLOOKUP($B89,test!$A$3:$G$32,6,FALSE) &gt;= (test!$B$35)/1440),1,0)</f>
        <v>0</v>
      </c>
      <c r="J89" s="2">
        <f>IF(AND(VLOOKUP(J$1,test!$A$3:$F$32,5,FALSE) - VLOOKUP($B89,test!$A$3:$G$32,6,FALSE) &gt;= (test!$B$35)/1440),1,0)</f>
        <v>1</v>
      </c>
      <c r="K89" s="2">
        <f>IF(AND(VLOOKUP(K$1,test!$A$3:$F$32,5,FALSE) - VLOOKUP($B89,test!$A$3:$G$32,6,FALSE) &gt;= (test!$B$35)/1440),1,0)</f>
        <v>1</v>
      </c>
      <c r="L89" s="2">
        <f>IF(AND(VLOOKUP(L$1,test!$A$3:$F$32,5,FALSE) - VLOOKUP($B89,test!$A$3:$G$32,6,FALSE) &gt;= (test!$B$35)/1440),1,0)</f>
        <v>0</v>
      </c>
      <c r="M89" s="2">
        <f>IF(AND(VLOOKUP(M$1,test!$A$3:$F$32,5,FALSE) - VLOOKUP($B89,test!$A$3:$G$32,6,FALSE) &gt;= (test!$B$35)/1440),1,0)</f>
        <v>0</v>
      </c>
      <c r="N89" s="2">
        <f>IF(AND(VLOOKUP(N$1,test!$A$3:$F$32,5,FALSE) - VLOOKUP($B89,test!$A$3:$G$32,6,FALSE) &gt;= (test!$B$35)/1440),1,0)</f>
        <v>0</v>
      </c>
      <c r="O89" s="2">
        <f>IF(AND(VLOOKUP(O$1,test!$A$3:$F$32,5,FALSE) - VLOOKUP($B89,test!$A$3:$G$32,6,FALSE) &gt;= (test!$B$35)/1440),1,0)</f>
        <v>1</v>
      </c>
      <c r="P89" s="2">
        <f>IF(AND(VLOOKUP(P$1,test!$A$3:$F$32,5,FALSE) - VLOOKUP($B89,test!$A$3:$G$32,6,FALSE) &gt;= (test!$B$35)/1440),1,0)</f>
        <v>1</v>
      </c>
      <c r="Q89" s="2">
        <f>IF(AND(VLOOKUP(Q$1,test!$A$3:$F$32,5,FALSE) - VLOOKUP($B89,test!$A$3:$G$32,6,FALSE) &gt;= (test!$B$35)/1440),1,0)</f>
        <v>0</v>
      </c>
      <c r="R89" s="2">
        <f>IF(AND(VLOOKUP(R$1,test!$A$3:$F$32,5,FALSE) - VLOOKUP($B89,test!$A$3:$G$32,6,FALSE) &gt;= (test!$B$35)/1440),1,0)</f>
        <v>0</v>
      </c>
      <c r="S89" s="2">
        <f>IF(AND(VLOOKUP(S$1,test!$A$3:$F$32,5,FALSE) - VLOOKUP($B89,test!$A$3:$G$32,6,FALSE) &gt;= (test!$B$35)/1440),1,0)</f>
        <v>0</v>
      </c>
      <c r="T89" s="2">
        <f>IF(AND(VLOOKUP(T$1,test!$A$3:$F$32,5,FALSE) - VLOOKUP($B89,test!$A$3:$G$32,6,FALSE) &gt;= (test!$B$35)/1440),1,0)</f>
        <v>0</v>
      </c>
      <c r="U89" s="2">
        <f>IF(AND(VLOOKUP(U$1,test!$A$3:$F$32,5,FALSE) - VLOOKUP($B89,test!$A$3:$G$32,6,FALSE) &gt;= (test!$B$35)/1440),1,0)</f>
        <v>0</v>
      </c>
      <c r="V89" s="2">
        <f>IF(AND(VLOOKUP(V$1,test!$A$3:$F$32,5,FALSE) - VLOOKUP($B89,test!$A$3:$G$32,6,FALSE) &gt;= (test!$B$35)/1440),1,0)</f>
        <v>0</v>
      </c>
      <c r="W89" s="2">
        <f>IF(AND(VLOOKUP(W$1,test!$A$3:$F$32,5,FALSE) - VLOOKUP($B89,test!$A$3:$G$32,6,FALSE) &gt;= (test!$B$35)/1440),1,0)</f>
        <v>0</v>
      </c>
      <c r="X89" s="2">
        <f>IF(AND(VLOOKUP(X$1,test!$A$3:$F$32,5,FALSE) - VLOOKUP($B89,test!$A$3:$G$32,6,FALSE) &gt;= (test!$B$35)/1440),1,0)</f>
        <v>1</v>
      </c>
      <c r="Y89" s="2">
        <f>IF(AND(VLOOKUP(Y$1,test!$A$3:$F$32,5,FALSE) - VLOOKUP($B89,test!$A$3:$G$32,6,FALSE) &gt;= (test!$B$35)/1440),1,0)</f>
        <v>1</v>
      </c>
      <c r="Z89" s="2">
        <f>IF(AND(VLOOKUP(Z$1,test!$A$3:$F$32,5,FALSE) - VLOOKUP($B89,test!$A$3:$G$32,6,FALSE) &gt;= (test!$B$35)/1440),1,0)</f>
        <v>0</v>
      </c>
      <c r="AA89" s="2">
        <f>IF(AND(VLOOKUP(AA$1,test!$A$3:$F$32,5,FALSE) - VLOOKUP($B89,test!$A$3:$G$32,6,FALSE) &gt;= (test!$B$35)/1440),1,0)</f>
        <v>0</v>
      </c>
      <c r="AB89" s="2">
        <f>IF(AND(VLOOKUP(AB$1,test!$A$3:$F$32,5,FALSE) - VLOOKUP($B89,test!$A$3:$G$32,6,FALSE) &gt;= (test!$B$35)/1440),1,0)</f>
        <v>0</v>
      </c>
      <c r="AC89" s="2">
        <f>IF(AND(VLOOKUP(AC$1,test!$A$3:$F$32,5,FALSE) - VLOOKUP($B89,test!$A$3:$G$32,6,FALSE) &gt;= (test!$B$35)/1440),1,0)</f>
        <v>0</v>
      </c>
      <c r="AD89" s="2">
        <f>IF(AND(VLOOKUP(AD$1,test!$A$3:$F$32,5,FALSE) - VLOOKUP($B89,test!$A$3:$G$32,6,FALSE) &gt;= (test!$B$35)/1440),1,0)</f>
        <v>0</v>
      </c>
      <c r="AE89" s="2">
        <f>IF(AND(VLOOKUP(AE$1,test!$A$3:$F$32,5,FALSE) - VLOOKUP($B89,test!$A$3:$G$32,6,FALSE) &gt;= (test!$B$35)/1440),1,0)</f>
        <v>0</v>
      </c>
      <c r="AF89" s="2">
        <f>IF(AND(VLOOKUP(AF$1,test!$A$3:$F$32,5,FALSE) - VLOOKUP($B89,test!$A$3:$G$32,6,FALSE) &gt;= (test!$B$35)/1440),1,0)</f>
        <v>0</v>
      </c>
      <c r="AG89" s="2">
        <f>IF(AND(VLOOKUP(AG$1,test!$A$3:$F$32,5,FALSE) - VLOOKUP($B89,test!$A$3:$G$32,6,FALSE) &gt;= (test!$B$35)/1440),1,0)</f>
        <v>0</v>
      </c>
    </row>
    <row r="90" spans="1:33" x14ac:dyDescent="0.25">
      <c r="A90" t="s">
        <v>60</v>
      </c>
      <c r="B90" t="s">
        <v>37</v>
      </c>
      <c r="C90">
        <v>0</v>
      </c>
      <c r="D90" s="2">
        <f>IF(AND(VLOOKUP(D$1,test!$A$3:$F$32,5,FALSE) - VLOOKUP($B90,test!$A$3:$G$32,6,FALSE) &gt;= (test!$B$35)/1440),1,0)</f>
        <v>0</v>
      </c>
      <c r="E90" s="2">
        <f>IF(AND(VLOOKUP(E$1,test!$A$3:$F$32,5,FALSE) - VLOOKUP($B90,test!$A$3:$G$32,6,FALSE) &gt;= (test!$B$35)/1440),1,0)</f>
        <v>0</v>
      </c>
      <c r="F90" s="2">
        <f>IF(AND(VLOOKUP(F$1,test!$A$3:$F$32,5,FALSE) - VLOOKUP($B90,test!$A$3:$G$32,6,FALSE) &gt;= (test!$B$35)/1440),1,0)</f>
        <v>0</v>
      </c>
      <c r="G90" s="2">
        <f>IF(AND(VLOOKUP(G$1,test!$A$3:$F$32,5,FALSE) - VLOOKUP($B90,test!$A$3:$G$32,6,FALSE) &gt;= (test!$B$35)/1440),1,0)</f>
        <v>0</v>
      </c>
      <c r="H90" s="2">
        <f>IF(AND(VLOOKUP(H$1,test!$A$3:$F$32,5,FALSE) - VLOOKUP($B90,test!$A$3:$G$32,6,FALSE) &gt;= (test!$B$35)/1440),1,0)</f>
        <v>0</v>
      </c>
      <c r="I90" s="2">
        <f>IF(AND(VLOOKUP(I$1,test!$A$3:$F$32,5,FALSE) - VLOOKUP($B90,test!$A$3:$G$32,6,FALSE) &gt;= (test!$B$35)/1440),1,0)</f>
        <v>0</v>
      </c>
      <c r="J90" s="2">
        <f>IF(AND(VLOOKUP(J$1,test!$A$3:$F$32,5,FALSE) - VLOOKUP($B90,test!$A$3:$G$32,6,FALSE) &gt;= (test!$B$35)/1440),1,0)</f>
        <v>0</v>
      </c>
      <c r="K90" s="2">
        <f>IF(AND(VLOOKUP(K$1,test!$A$3:$F$32,5,FALSE) - VLOOKUP($B90,test!$A$3:$G$32,6,FALSE) &gt;= (test!$B$35)/1440),1,0)</f>
        <v>1</v>
      </c>
      <c r="L90" s="2">
        <f>IF(AND(VLOOKUP(L$1,test!$A$3:$F$32,5,FALSE) - VLOOKUP($B90,test!$A$3:$G$32,6,FALSE) &gt;= (test!$B$35)/1440),1,0)</f>
        <v>0</v>
      </c>
      <c r="M90" s="2">
        <f>IF(AND(VLOOKUP(M$1,test!$A$3:$F$32,5,FALSE) - VLOOKUP($B90,test!$A$3:$G$32,6,FALSE) &gt;= (test!$B$35)/1440),1,0)</f>
        <v>0</v>
      </c>
      <c r="N90" s="2">
        <f>IF(AND(VLOOKUP(N$1,test!$A$3:$F$32,5,FALSE) - VLOOKUP($B90,test!$A$3:$G$32,6,FALSE) &gt;= (test!$B$35)/1440),1,0)</f>
        <v>0</v>
      </c>
      <c r="O90" s="2">
        <f>IF(AND(VLOOKUP(O$1,test!$A$3:$F$32,5,FALSE) - VLOOKUP($B90,test!$A$3:$G$32,6,FALSE) &gt;= (test!$B$35)/1440),1,0)</f>
        <v>1</v>
      </c>
      <c r="P90" s="2">
        <f>IF(AND(VLOOKUP(P$1,test!$A$3:$F$32,5,FALSE) - VLOOKUP($B90,test!$A$3:$G$32,6,FALSE) &gt;= (test!$B$35)/1440),1,0)</f>
        <v>1</v>
      </c>
      <c r="Q90" s="2">
        <f>IF(AND(VLOOKUP(Q$1,test!$A$3:$F$32,5,FALSE) - VLOOKUP($B90,test!$A$3:$G$32,6,FALSE) &gt;= (test!$B$35)/1440),1,0)</f>
        <v>0</v>
      </c>
      <c r="R90" s="2">
        <f>IF(AND(VLOOKUP(R$1,test!$A$3:$F$32,5,FALSE) - VLOOKUP($B90,test!$A$3:$G$32,6,FALSE) &gt;= (test!$B$35)/1440),1,0)</f>
        <v>0</v>
      </c>
      <c r="S90" s="2">
        <f>IF(AND(VLOOKUP(S$1,test!$A$3:$F$32,5,FALSE) - VLOOKUP($B90,test!$A$3:$G$32,6,FALSE) &gt;= (test!$B$35)/1440),1,0)</f>
        <v>0</v>
      </c>
      <c r="T90" s="2">
        <f>IF(AND(VLOOKUP(T$1,test!$A$3:$F$32,5,FALSE) - VLOOKUP($B90,test!$A$3:$G$32,6,FALSE) &gt;= (test!$B$35)/1440),1,0)</f>
        <v>0</v>
      </c>
      <c r="U90" s="2">
        <f>IF(AND(VLOOKUP(U$1,test!$A$3:$F$32,5,FALSE) - VLOOKUP($B90,test!$A$3:$G$32,6,FALSE) &gt;= (test!$B$35)/1440),1,0)</f>
        <v>0</v>
      </c>
      <c r="V90" s="2">
        <f>IF(AND(VLOOKUP(V$1,test!$A$3:$F$32,5,FALSE) - VLOOKUP($B90,test!$A$3:$G$32,6,FALSE) &gt;= (test!$B$35)/1440),1,0)</f>
        <v>0</v>
      </c>
      <c r="W90" s="2">
        <f>IF(AND(VLOOKUP(W$1,test!$A$3:$F$32,5,FALSE) - VLOOKUP($B90,test!$A$3:$G$32,6,FALSE) &gt;= (test!$B$35)/1440),1,0)</f>
        <v>0</v>
      </c>
      <c r="X90" s="2">
        <f>IF(AND(VLOOKUP(X$1,test!$A$3:$F$32,5,FALSE) - VLOOKUP($B90,test!$A$3:$G$32,6,FALSE) &gt;= (test!$B$35)/1440),1,0)</f>
        <v>0</v>
      </c>
      <c r="Y90" s="2">
        <f>IF(AND(VLOOKUP(Y$1,test!$A$3:$F$32,5,FALSE) - VLOOKUP($B90,test!$A$3:$G$32,6,FALSE) &gt;= (test!$B$35)/1440),1,0)</f>
        <v>1</v>
      </c>
      <c r="Z90" s="2">
        <f>IF(AND(VLOOKUP(Z$1,test!$A$3:$F$32,5,FALSE) - VLOOKUP($B90,test!$A$3:$G$32,6,FALSE) &gt;= (test!$B$35)/1440),1,0)</f>
        <v>0</v>
      </c>
      <c r="AA90" s="2">
        <f>IF(AND(VLOOKUP(AA$1,test!$A$3:$F$32,5,FALSE) - VLOOKUP($B90,test!$A$3:$G$32,6,FALSE) &gt;= (test!$B$35)/1440),1,0)</f>
        <v>0</v>
      </c>
      <c r="AB90" s="2">
        <f>IF(AND(VLOOKUP(AB$1,test!$A$3:$F$32,5,FALSE) - VLOOKUP($B90,test!$A$3:$G$32,6,FALSE) &gt;= (test!$B$35)/1440),1,0)</f>
        <v>0</v>
      </c>
      <c r="AC90" s="2">
        <f>IF(AND(VLOOKUP(AC$1,test!$A$3:$F$32,5,FALSE) - VLOOKUP($B90,test!$A$3:$G$32,6,FALSE) &gt;= (test!$B$35)/1440),1,0)</f>
        <v>0</v>
      </c>
      <c r="AD90" s="2">
        <f>IF(AND(VLOOKUP(AD$1,test!$A$3:$F$32,5,FALSE) - VLOOKUP($B90,test!$A$3:$G$32,6,FALSE) &gt;= (test!$B$35)/1440),1,0)</f>
        <v>0</v>
      </c>
      <c r="AE90" s="2">
        <f>IF(AND(VLOOKUP(AE$1,test!$A$3:$F$32,5,FALSE) - VLOOKUP($B90,test!$A$3:$G$32,6,FALSE) &gt;= (test!$B$35)/1440),1,0)</f>
        <v>0</v>
      </c>
      <c r="AF90" s="2">
        <f>IF(AND(VLOOKUP(AF$1,test!$A$3:$F$32,5,FALSE) - VLOOKUP($B90,test!$A$3:$G$32,6,FALSE) &gt;= (test!$B$35)/1440),1,0)</f>
        <v>0</v>
      </c>
      <c r="AG90" s="2">
        <f>IF(AND(VLOOKUP(AG$1,test!$A$3:$F$32,5,FALSE) - VLOOKUP($B90,test!$A$3:$G$32,6,FALSE) &gt;= (test!$B$35)/1440),1,0)</f>
        <v>0</v>
      </c>
    </row>
    <row r="91" spans="1:33" x14ac:dyDescent="0.25">
      <c r="A91" t="s">
        <v>60</v>
      </c>
      <c r="B91" t="s">
        <v>38</v>
      </c>
      <c r="C91">
        <v>0</v>
      </c>
      <c r="D91" s="2">
        <f>IF(AND(VLOOKUP(D$1,test!$A$3:$F$32,5,FALSE) - VLOOKUP($B91,test!$A$3:$G$32,6,FALSE) &gt;= (test!$B$35)/1440),1,0)</f>
        <v>0</v>
      </c>
      <c r="E91" s="2">
        <f>IF(AND(VLOOKUP(E$1,test!$A$3:$F$32,5,FALSE) - VLOOKUP($B91,test!$A$3:$G$32,6,FALSE) &gt;= (test!$B$35)/1440),1,0)</f>
        <v>0</v>
      </c>
      <c r="F91" s="2">
        <f>IF(AND(VLOOKUP(F$1,test!$A$3:$F$32,5,FALSE) - VLOOKUP($B91,test!$A$3:$G$32,6,FALSE) &gt;= (test!$B$35)/1440),1,0)</f>
        <v>0</v>
      </c>
      <c r="G91" s="2">
        <f>IF(AND(VLOOKUP(G$1,test!$A$3:$F$32,5,FALSE) - VLOOKUP($B91,test!$A$3:$G$32,6,FALSE) &gt;= (test!$B$35)/1440),1,0)</f>
        <v>0</v>
      </c>
      <c r="H91" s="2">
        <f>IF(AND(VLOOKUP(H$1,test!$A$3:$F$32,5,FALSE) - VLOOKUP($B91,test!$A$3:$G$32,6,FALSE) &gt;= (test!$B$35)/1440),1,0)</f>
        <v>0</v>
      </c>
      <c r="I91" s="2">
        <f>IF(AND(VLOOKUP(I$1,test!$A$3:$F$32,5,FALSE) - VLOOKUP($B91,test!$A$3:$G$32,6,FALSE) &gt;= (test!$B$35)/1440),1,0)</f>
        <v>0</v>
      </c>
      <c r="J91" s="2">
        <f>IF(AND(VLOOKUP(J$1,test!$A$3:$F$32,5,FALSE) - VLOOKUP($B91,test!$A$3:$G$32,6,FALSE) &gt;= (test!$B$35)/1440),1,0)</f>
        <v>0</v>
      </c>
      <c r="K91" s="2">
        <f>IF(AND(VLOOKUP(K$1,test!$A$3:$F$32,5,FALSE) - VLOOKUP($B91,test!$A$3:$G$32,6,FALSE) &gt;= (test!$B$35)/1440),1,0)</f>
        <v>0</v>
      </c>
      <c r="L91" s="2">
        <f>IF(AND(VLOOKUP(L$1,test!$A$3:$F$32,5,FALSE) - VLOOKUP($B91,test!$A$3:$G$32,6,FALSE) &gt;= (test!$B$35)/1440),1,0)</f>
        <v>0</v>
      </c>
      <c r="M91" s="2">
        <f>IF(AND(VLOOKUP(M$1,test!$A$3:$F$32,5,FALSE) - VLOOKUP($B91,test!$A$3:$G$32,6,FALSE) &gt;= (test!$B$35)/1440),1,0)</f>
        <v>0</v>
      </c>
      <c r="N91" s="2">
        <f>IF(AND(VLOOKUP(N$1,test!$A$3:$F$32,5,FALSE) - VLOOKUP($B91,test!$A$3:$G$32,6,FALSE) &gt;= (test!$B$35)/1440),1,0)</f>
        <v>0</v>
      </c>
      <c r="O91" s="2">
        <f>IF(AND(VLOOKUP(O$1,test!$A$3:$F$32,5,FALSE) - VLOOKUP($B91,test!$A$3:$G$32,6,FALSE) &gt;= (test!$B$35)/1440),1,0)</f>
        <v>0</v>
      </c>
      <c r="P91" s="2">
        <f>IF(AND(VLOOKUP(P$1,test!$A$3:$F$32,5,FALSE) - VLOOKUP($B91,test!$A$3:$G$32,6,FALSE) &gt;= (test!$B$35)/1440),1,0)</f>
        <v>0</v>
      </c>
      <c r="Q91" s="2">
        <f>IF(AND(VLOOKUP(Q$1,test!$A$3:$F$32,5,FALSE) - VLOOKUP($B91,test!$A$3:$G$32,6,FALSE) &gt;= (test!$B$35)/1440),1,0)</f>
        <v>0</v>
      </c>
      <c r="R91" s="2">
        <f>IF(AND(VLOOKUP(R$1,test!$A$3:$F$32,5,FALSE) - VLOOKUP($B91,test!$A$3:$G$32,6,FALSE) &gt;= (test!$B$35)/1440),1,0)</f>
        <v>0</v>
      </c>
      <c r="S91" s="2">
        <f>IF(AND(VLOOKUP(S$1,test!$A$3:$F$32,5,FALSE) - VLOOKUP($B91,test!$A$3:$G$32,6,FALSE) &gt;= (test!$B$35)/1440),1,0)</f>
        <v>0</v>
      </c>
      <c r="T91" s="2">
        <f>IF(AND(VLOOKUP(T$1,test!$A$3:$F$32,5,FALSE) - VLOOKUP($B91,test!$A$3:$G$32,6,FALSE) &gt;= (test!$B$35)/1440),1,0)</f>
        <v>0</v>
      </c>
      <c r="U91" s="2">
        <f>IF(AND(VLOOKUP(U$1,test!$A$3:$F$32,5,FALSE) - VLOOKUP($B91,test!$A$3:$G$32,6,FALSE) &gt;= (test!$B$35)/1440),1,0)</f>
        <v>0</v>
      </c>
      <c r="V91" s="2">
        <f>IF(AND(VLOOKUP(V$1,test!$A$3:$F$32,5,FALSE) - VLOOKUP($B91,test!$A$3:$G$32,6,FALSE) &gt;= (test!$B$35)/1440),1,0)</f>
        <v>0</v>
      </c>
      <c r="W91" s="2">
        <f>IF(AND(VLOOKUP(W$1,test!$A$3:$F$32,5,FALSE) - VLOOKUP($B91,test!$A$3:$G$32,6,FALSE) &gt;= (test!$B$35)/1440),1,0)</f>
        <v>0</v>
      </c>
      <c r="X91" s="2">
        <f>IF(AND(VLOOKUP(X$1,test!$A$3:$F$32,5,FALSE) - VLOOKUP($B91,test!$A$3:$G$32,6,FALSE) &gt;= (test!$B$35)/1440),1,0)</f>
        <v>0</v>
      </c>
      <c r="Y91" s="2">
        <f>IF(AND(VLOOKUP(Y$1,test!$A$3:$F$32,5,FALSE) - VLOOKUP($B91,test!$A$3:$G$32,6,FALSE) &gt;= (test!$B$35)/1440),1,0)</f>
        <v>0</v>
      </c>
      <c r="Z91" s="2">
        <f>IF(AND(VLOOKUP(Z$1,test!$A$3:$F$32,5,FALSE) - VLOOKUP($B91,test!$A$3:$G$32,6,FALSE) &gt;= (test!$B$35)/1440),1,0)</f>
        <v>0</v>
      </c>
      <c r="AA91" s="2">
        <f>IF(AND(VLOOKUP(AA$1,test!$A$3:$F$32,5,FALSE) - VLOOKUP($B91,test!$A$3:$G$32,6,FALSE) &gt;= (test!$B$35)/1440),1,0)</f>
        <v>0</v>
      </c>
      <c r="AB91" s="2">
        <f>IF(AND(VLOOKUP(AB$1,test!$A$3:$F$32,5,FALSE) - VLOOKUP($B91,test!$A$3:$G$32,6,FALSE) &gt;= (test!$B$35)/1440),1,0)</f>
        <v>0</v>
      </c>
      <c r="AC91" s="2">
        <f>IF(AND(VLOOKUP(AC$1,test!$A$3:$F$32,5,FALSE) - VLOOKUP($B91,test!$A$3:$G$32,6,FALSE) &gt;= (test!$B$35)/1440),1,0)</f>
        <v>0</v>
      </c>
      <c r="AD91" s="2">
        <f>IF(AND(VLOOKUP(AD$1,test!$A$3:$F$32,5,FALSE) - VLOOKUP($B91,test!$A$3:$G$32,6,FALSE) &gt;= (test!$B$35)/1440),1,0)</f>
        <v>0</v>
      </c>
      <c r="AE91" s="2">
        <f>IF(AND(VLOOKUP(AE$1,test!$A$3:$F$32,5,FALSE) - VLOOKUP($B91,test!$A$3:$G$32,6,FALSE) &gt;= (test!$B$35)/1440),1,0)</f>
        <v>0</v>
      </c>
      <c r="AF91" s="2">
        <f>IF(AND(VLOOKUP(AF$1,test!$A$3:$F$32,5,FALSE) - VLOOKUP($B91,test!$A$3:$G$32,6,FALSE) &gt;= (test!$B$35)/1440),1,0)</f>
        <v>0</v>
      </c>
      <c r="AG91" s="2">
        <f>IF(AND(VLOOKUP(AG$1,test!$A$3:$F$32,5,FALSE) - VLOOKUP($B91,test!$A$3:$G$32,6,FALSE) &gt;= (test!$B$35)/1440),1,0)</f>
        <v>0</v>
      </c>
    </row>
    <row r="92" spans="1:33" x14ac:dyDescent="0.25">
      <c r="A92" t="s">
        <v>60</v>
      </c>
      <c r="B92" t="s">
        <v>39</v>
      </c>
      <c r="C92">
        <v>0</v>
      </c>
      <c r="D92" s="2">
        <f>IF(AND(VLOOKUP(D$1,test!$A$3:$F$32,5,FALSE) - VLOOKUP($B92,test!$A$3:$G$32,6,FALSE) &gt;= (test!$B$35)/1440),1,0)</f>
        <v>0</v>
      </c>
      <c r="E92" s="2">
        <f>IF(AND(VLOOKUP(E$1,test!$A$3:$F$32,5,FALSE) - VLOOKUP($B92,test!$A$3:$G$32,6,FALSE) &gt;= (test!$B$35)/1440),1,0)</f>
        <v>0</v>
      </c>
      <c r="F92" s="2">
        <f>IF(AND(VLOOKUP(F$1,test!$A$3:$F$32,5,FALSE) - VLOOKUP($B92,test!$A$3:$G$32,6,FALSE) &gt;= (test!$B$35)/1440),1,0)</f>
        <v>1</v>
      </c>
      <c r="G92" s="2">
        <f>IF(AND(VLOOKUP(G$1,test!$A$3:$F$32,5,FALSE) - VLOOKUP($B92,test!$A$3:$G$32,6,FALSE) &gt;= (test!$B$35)/1440),1,0)</f>
        <v>1</v>
      </c>
      <c r="H92" s="2">
        <f>IF(AND(VLOOKUP(H$1,test!$A$3:$F$32,5,FALSE) - VLOOKUP($B92,test!$A$3:$G$32,6,FALSE) &gt;= (test!$B$35)/1440),1,0)</f>
        <v>1</v>
      </c>
      <c r="I92" s="2">
        <f>IF(AND(VLOOKUP(I$1,test!$A$3:$F$32,5,FALSE) - VLOOKUP($B92,test!$A$3:$G$32,6,FALSE) &gt;= (test!$B$35)/1440),1,0)</f>
        <v>1</v>
      </c>
      <c r="J92" s="2">
        <f>IF(AND(VLOOKUP(J$1,test!$A$3:$F$32,5,FALSE) - VLOOKUP($B92,test!$A$3:$G$32,6,FALSE) &gt;= (test!$B$35)/1440),1,0)</f>
        <v>1</v>
      </c>
      <c r="K92" s="2">
        <f>IF(AND(VLOOKUP(K$1,test!$A$3:$F$32,5,FALSE) - VLOOKUP($B92,test!$A$3:$G$32,6,FALSE) &gt;= (test!$B$35)/1440),1,0)</f>
        <v>1</v>
      </c>
      <c r="L92" s="2">
        <f>IF(AND(VLOOKUP(L$1,test!$A$3:$F$32,5,FALSE) - VLOOKUP($B92,test!$A$3:$G$32,6,FALSE) &gt;= (test!$B$35)/1440),1,0)</f>
        <v>0</v>
      </c>
      <c r="M92" s="2">
        <f>IF(AND(VLOOKUP(M$1,test!$A$3:$F$32,5,FALSE) - VLOOKUP($B92,test!$A$3:$G$32,6,FALSE) &gt;= (test!$B$35)/1440),1,0)</f>
        <v>0</v>
      </c>
      <c r="N92" s="2">
        <f>IF(AND(VLOOKUP(N$1,test!$A$3:$F$32,5,FALSE) - VLOOKUP($B92,test!$A$3:$G$32,6,FALSE) &gt;= (test!$B$35)/1440),1,0)</f>
        <v>1</v>
      </c>
      <c r="O92" s="2">
        <f>IF(AND(VLOOKUP(O$1,test!$A$3:$F$32,5,FALSE) - VLOOKUP($B92,test!$A$3:$G$32,6,FALSE) &gt;= (test!$B$35)/1440),1,0)</f>
        <v>1</v>
      </c>
      <c r="P92" s="2">
        <f>IF(AND(VLOOKUP(P$1,test!$A$3:$F$32,5,FALSE) - VLOOKUP($B92,test!$A$3:$G$32,6,FALSE) &gt;= (test!$B$35)/1440),1,0)</f>
        <v>1</v>
      </c>
      <c r="Q92" s="2">
        <f>IF(AND(VLOOKUP(Q$1,test!$A$3:$F$32,5,FALSE) - VLOOKUP($B92,test!$A$3:$G$32,6,FALSE) &gt;= (test!$B$35)/1440),1,0)</f>
        <v>0</v>
      </c>
      <c r="R92" s="2">
        <f>IF(AND(VLOOKUP(R$1,test!$A$3:$F$32,5,FALSE) - VLOOKUP($B92,test!$A$3:$G$32,6,FALSE) &gt;= (test!$B$35)/1440),1,0)</f>
        <v>0</v>
      </c>
      <c r="S92" s="2">
        <f>IF(AND(VLOOKUP(S$1,test!$A$3:$F$32,5,FALSE) - VLOOKUP($B92,test!$A$3:$G$32,6,FALSE) &gt;= (test!$B$35)/1440),1,0)</f>
        <v>0</v>
      </c>
      <c r="T92" s="2">
        <f>IF(AND(VLOOKUP(T$1,test!$A$3:$F$32,5,FALSE) - VLOOKUP($B92,test!$A$3:$G$32,6,FALSE) &gt;= (test!$B$35)/1440),1,0)</f>
        <v>0</v>
      </c>
      <c r="U92" s="2">
        <f>IF(AND(VLOOKUP(U$1,test!$A$3:$F$32,5,FALSE) - VLOOKUP($B92,test!$A$3:$G$32,6,FALSE) &gt;= (test!$B$35)/1440),1,0)</f>
        <v>1</v>
      </c>
      <c r="V92" s="2">
        <f>IF(AND(VLOOKUP(V$1,test!$A$3:$F$32,5,FALSE) - VLOOKUP($B92,test!$A$3:$G$32,6,FALSE) &gt;= (test!$B$35)/1440),1,0)</f>
        <v>1</v>
      </c>
      <c r="W92" s="2">
        <f>IF(AND(VLOOKUP(W$1,test!$A$3:$F$32,5,FALSE) - VLOOKUP($B92,test!$A$3:$G$32,6,FALSE) &gt;= (test!$B$35)/1440),1,0)</f>
        <v>1</v>
      </c>
      <c r="X92" s="2">
        <f>IF(AND(VLOOKUP(X$1,test!$A$3:$F$32,5,FALSE) - VLOOKUP($B92,test!$A$3:$G$32,6,FALSE) &gt;= (test!$B$35)/1440),1,0)</f>
        <v>1</v>
      </c>
      <c r="Y92" s="2">
        <f>IF(AND(VLOOKUP(Y$1,test!$A$3:$F$32,5,FALSE) - VLOOKUP($B92,test!$A$3:$G$32,6,FALSE) &gt;= (test!$B$35)/1440),1,0)</f>
        <v>1</v>
      </c>
      <c r="Z92" s="2">
        <f>IF(AND(VLOOKUP(Z$1,test!$A$3:$F$32,5,FALSE) - VLOOKUP($B92,test!$A$3:$G$32,6,FALSE) &gt;= (test!$B$35)/1440),1,0)</f>
        <v>0</v>
      </c>
      <c r="AA92" s="2">
        <f>IF(AND(VLOOKUP(AA$1,test!$A$3:$F$32,5,FALSE) - VLOOKUP($B92,test!$A$3:$G$32,6,FALSE) &gt;= (test!$B$35)/1440),1,0)</f>
        <v>0</v>
      </c>
      <c r="AB92" s="2">
        <f>IF(AND(VLOOKUP(AB$1,test!$A$3:$F$32,5,FALSE) - VLOOKUP($B92,test!$A$3:$G$32,6,FALSE) &gt;= (test!$B$35)/1440),1,0)</f>
        <v>1</v>
      </c>
      <c r="AC92" s="2">
        <f>IF(AND(VLOOKUP(AC$1,test!$A$3:$F$32,5,FALSE) - VLOOKUP($B92,test!$A$3:$G$32,6,FALSE) &gt;= (test!$B$35)/1440),1,0)</f>
        <v>1</v>
      </c>
      <c r="AD92" s="2">
        <f>IF(AND(VLOOKUP(AD$1,test!$A$3:$F$32,5,FALSE) - VLOOKUP($B92,test!$A$3:$G$32,6,FALSE) &gt;= (test!$B$35)/1440),1,0)</f>
        <v>1</v>
      </c>
      <c r="AE92" s="2">
        <f>IF(AND(VLOOKUP(AE$1,test!$A$3:$F$32,5,FALSE) - VLOOKUP($B92,test!$A$3:$G$32,6,FALSE) &gt;= (test!$B$35)/1440),1,0)</f>
        <v>0</v>
      </c>
      <c r="AF92" s="2">
        <f>IF(AND(VLOOKUP(AF$1,test!$A$3:$F$32,5,FALSE) - VLOOKUP($B92,test!$A$3:$G$32,6,FALSE) &gt;= (test!$B$35)/1440),1,0)</f>
        <v>1</v>
      </c>
      <c r="AG92" s="2">
        <f>IF(AND(VLOOKUP(AG$1,test!$A$3:$F$32,5,FALSE) - VLOOKUP($B92,test!$A$3:$G$32,6,FALSE) &gt;= (test!$B$35)/1440),1,0)</f>
        <v>1</v>
      </c>
    </row>
    <row r="93" spans="1:33" x14ac:dyDescent="0.25">
      <c r="A93" t="s">
        <v>60</v>
      </c>
      <c r="B93" t="s">
        <v>40</v>
      </c>
      <c r="C93">
        <v>0</v>
      </c>
      <c r="D93" s="2">
        <f>IF(AND(VLOOKUP(D$1,test!$A$3:$F$32,5,FALSE) - VLOOKUP($B93,test!$A$3:$G$32,6,FALSE) &gt;= (test!$B$35)/1440),1,0)</f>
        <v>0</v>
      </c>
      <c r="E93" s="2">
        <f>IF(AND(VLOOKUP(E$1,test!$A$3:$F$32,5,FALSE) - VLOOKUP($B93,test!$A$3:$G$32,6,FALSE) &gt;= (test!$B$35)/1440),1,0)</f>
        <v>0</v>
      </c>
      <c r="F93" s="2">
        <f>IF(AND(VLOOKUP(F$1,test!$A$3:$F$32,5,FALSE) - VLOOKUP($B93,test!$A$3:$G$32,6,FALSE) &gt;= (test!$B$35)/1440),1,0)</f>
        <v>0</v>
      </c>
      <c r="G93" s="2">
        <f>IF(AND(VLOOKUP(G$1,test!$A$3:$F$32,5,FALSE) - VLOOKUP($B93,test!$A$3:$G$32,6,FALSE) &gt;= (test!$B$35)/1440),1,0)</f>
        <v>0</v>
      </c>
      <c r="H93" s="2">
        <f>IF(AND(VLOOKUP(H$1,test!$A$3:$F$32,5,FALSE) - VLOOKUP($B93,test!$A$3:$G$32,6,FALSE) &gt;= (test!$B$35)/1440),1,0)</f>
        <v>0</v>
      </c>
      <c r="I93" s="2">
        <f>IF(AND(VLOOKUP(I$1,test!$A$3:$F$32,5,FALSE) - VLOOKUP($B93,test!$A$3:$G$32,6,FALSE) &gt;= (test!$B$35)/1440),1,0)</f>
        <v>0</v>
      </c>
      <c r="J93" s="2">
        <f>IF(AND(VLOOKUP(J$1,test!$A$3:$F$32,5,FALSE) - VLOOKUP($B93,test!$A$3:$G$32,6,FALSE) &gt;= (test!$B$35)/1440),1,0)</f>
        <v>0</v>
      </c>
      <c r="K93" s="2">
        <f>IF(AND(VLOOKUP(K$1,test!$A$3:$F$32,5,FALSE) - VLOOKUP($B93,test!$A$3:$G$32,6,FALSE) &gt;= (test!$B$35)/1440),1,0)</f>
        <v>1</v>
      </c>
      <c r="L93" s="2">
        <f>IF(AND(VLOOKUP(L$1,test!$A$3:$F$32,5,FALSE) - VLOOKUP($B93,test!$A$3:$G$32,6,FALSE) &gt;= (test!$B$35)/1440),1,0)</f>
        <v>0</v>
      </c>
      <c r="M93" s="2">
        <f>IF(AND(VLOOKUP(M$1,test!$A$3:$F$32,5,FALSE) - VLOOKUP($B93,test!$A$3:$G$32,6,FALSE) &gt;= (test!$B$35)/1440),1,0)</f>
        <v>0</v>
      </c>
      <c r="N93" s="2">
        <f>IF(AND(VLOOKUP(N$1,test!$A$3:$F$32,5,FALSE) - VLOOKUP($B93,test!$A$3:$G$32,6,FALSE) &gt;= (test!$B$35)/1440),1,0)</f>
        <v>0</v>
      </c>
      <c r="O93" s="2">
        <f>IF(AND(VLOOKUP(O$1,test!$A$3:$F$32,5,FALSE) - VLOOKUP($B93,test!$A$3:$G$32,6,FALSE) &gt;= (test!$B$35)/1440),1,0)</f>
        <v>1</v>
      </c>
      <c r="P93" s="2">
        <f>IF(AND(VLOOKUP(P$1,test!$A$3:$F$32,5,FALSE) - VLOOKUP($B93,test!$A$3:$G$32,6,FALSE) &gt;= (test!$B$35)/1440),1,0)</f>
        <v>1</v>
      </c>
      <c r="Q93" s="2">
        <f>IF(AND(VLOOKUP(Q$1,test!$A$3:$F$32,5,FALSE) - VLOOKUP($B93,test!$A$3:$G$32,6,FALSE) &gt;= (test!$B$35)/1440),1,0)</f>
        <v>0</v>
      </c>
      <c r="R93" s="2">
        <f>IF(AND(VLOOKUP(R$1,test!$A$3:$F$32,5,FALSE) - VLOOKUP($B93,test!$A$3:$G$32,6,FALSE) &gt;= (test!$B$35)/1440),1,0)</f>
        <v>0</v>
      </c>
      <c r="S93" s="2">
        <f>IF(AND(VLOOKUP(S$1,test!$A$3:$F$32,5,FALSE) - VLOOKUP($B93,test!$A$3:$G$32,6,FALSE) &gt;= (test!$B$35)/1440),1,0)</f>
        <v>0</v>
      </c>
      <c r="T93" s="2">
        <f>IF(AND(VLOOKUP(T$1,test!$A$3:$F$32,5,FALSE) - VLOOKUP($B93,test!$A$3:$G$32,6,FALSE) &gt;= (test!$B$35)/1440),1,0)</f>
        <v>0</v>
      </c>
      <c r="U93" s="2">
        <f>IF(AND(VLOOKUP(U$1,test!$A$3:$F$32,5,FALSE) - VLOOKUP($B93,test!$A$3:$G$32,6,FALSE) &gt;= (test!$B$35)/1440),1,0)</f>
        <v>0</v>
      </c>
      <c r="V93" s="2">
        <f>IF(AND(VLOOKUP(V$1,test!$A$3:$F$32,5,FALSE) - VLOOKUP($B93,test!$A$3:$G$32,6,FALSE) &gt;= (test!$B$35)/1440),1,0)</f>
        <v>0</v>
      </c>
      <c r="W93" s="2">
        <f>IF(AND(VLOOKUP(W$1,test!$A$3:$F$32,5,FALSE) - VLOOKUP($B93,test!$A$3:$G$32,6,FALSE) &gt;= (test!$B$35)/1440),1,0)</f>
        <v>0</v>
      </c>
      <c r="X93" s="2">
        <f>IF(AND(VLOOKUP(X$1,test!$A$3:$F$32,5,FALSE) - VLOOKUP($B93,test!$A$3:$G$32,6,FALSE) &gt;= (test!$B$35)/1440),1,0)</f>
        <v>0</v>
      </c>
      <c r="Y93" s="2">
        <f>IF(AND(VLOOKUP(Y$1,test!$A$3:$F$32,5,FALSE) - VLOOKUP($B93,test!$A$3:$G$32,6,FALSE) &gt;= (test!$B$35)/1440),1,0)</f>
        <v>1</v>
      </c>
      <c r="Z93" s="2">
        <f>IF(AND(VLOOKUP(Z$1,test!$A$3:$F$32,5,FALSE) - VLOOKUP($B93,test!$A$3:$G$32,6,FALSE) &gt;= (test!$B$35)/1440),1,0)</f>
        <v>0</v>
      </c>
      <c r="AA93" s="2">
        <f>IF(AND(VLOOKUP(AA$1,test!$A$3:$F$32,5,FALSE) - VLOOKUP($B93,test!$A$3:$G$32,6,FALSE) &gt;= (test!$B$35)/1440),1,0)</f>
        <v>0</v>
      </c>
      <c r="AB93" s="2">
        <f>IF(AND(VLOOKUP(AB$1,test!$A$3:$F$32,5,FALSE) - VLOOKUP($B93,test!$A$3:$G$32,6,FALSE) &gt;= (test!$B$35)/1440),1,0)</f>
        <v>0</v>
      </c>
      <c r="AC93" s="2">
        <f>IF(AND(VLOOKUP(AC$1,test!$A$3:$F$32,5,FALSE) - VLOOKUP($B93,test!$A$3:$G$32,6,FALSE) &gt;= (test!$B$35)/1440),1,0)</f>
        <v>0</v>
      </c>
      <c r="AD93" s="2">
        <f>IF(AND(VLOOKUP(AD$1,test!$A$3:$F$32,5,FALSE) - VLOOKUP($B93,test!$A$3:$G$32,6,FALSE) &gt;= (test!$B$35)/1440),1,0)</f>
        <v>0</v>
      </c>
      <c r="AE93" s="2">
        <f>IF(AND(VLOOKUP(AE$1,test!$A$3:$F$32,5,FALSE) - VLOOKUP($B93,test!$A$3:$G$32,6,FALSE) &gt;= (test!$B$35)/1440),1,0)</f>
        <v>0</v>
      </c>
      <c r="AF93" s="2">
        <f>IF(AND(VLOOKUP(AF$1,test!$A$3:$F$32,5,FALSE) - VLOOKUP($B93,test!$A$3:$G$32,6,FALSE) &gt;= (test!$B$35)/1440),1,0)</f>
        <v>0</v>
      </c>
      <c r="AG93" s="2">
        <f>IF(AND(VLOOKUP(AG$1,test!$A$3:$F$32,5,FALSE) - VLOOKUP($B93,test!$A$3:$G$32,6,FALSE) &gt;= (test!$B$35)/1440),1,0)</f>
        <v>0</v>
      </c>
    </row>
    <row r="94" spans="1:33" x14ac:dyDescent="0.25">
      <c r="A94" t="s">
        <v>60</v>
      </c>
      <c r="B94" t="s">
        <v>41</v>
      </c>
      <c r="C94">
        <v>0</v>
      </c>
      <c r="D94" s="2">
        <f>IF(AND(VLOOKUP(D$1,test!$A$3:$F$32,5,FALSE) - VLOOKUP($B94,test!$A$3:$G$32,6,FALSE) &gt;= (test!$B$35)/1440),1,0)</f>
        <v>0</v>
      </c>
      <c r="E94" s="2">
        <f>IF(AND(VLOOKUP(E$1,test!$A$3:$F$32,5,FALSE) - VLOOKUP($B94,test!$A$3:$G$32,6,FALSE) &gt;= (test!$B$35)/1440),1,0)</f>
        <v>0</v>
      </c>
      <c r="F94" s="2">
        <f>IF(AND(VLOOKUP(F$1,test!$A$3:$F$32,5,FALSE) - VLOOKUP($B94,test!$A$3:$G$32,6,FALSE) &gt;= (test!$B$35)/1440),1,0)</f>
        <v>0</v>
      </c>
      <c r="G94" s="2">
        <f>IF(AND(VLOOKUP(G$1,test!$A$3:$F$32,5,FALSE) - VLOOKUP($B94,test!$A$3:$G$32,6,FALSE) &gt;= (test!$B$35)/1440),1,0)</f>
        <v>0</v>
      </c>
      <c r="H94" s="2">
        <f>IF(AND(VLOOKUP(H$1,test!$A$3:$F$32,5,FALSE) - VLOOKUP($B94,test!$A$3:$G$32,6,FALSE) &gt;= (test!$B$35)/1440),1,0)</f>
        <v>0</v>
      </c>
      <c r="I94" s="2">
        <f>IF(AND(VLOOKUP(I$1,test!$A$3:$F$32,5,FALSE) - VLOOKUP($B94,test!$A$3:$G$32,6,FALSE) &gt;= (test!$B$35)/1440),1,0)</f>
        <v>0</v>
      </c>
      <c r="J94" s="2">
        <f>IF(AND(VLOOKUP(J$1,test!$A$3:$F$32,5,FALSE) - VLOOKUP($B94,test!$A$3:$G$32,6,FALSE) &gt;= (test!$B$35)/1440),1,0)</f>
        <v>0</v>
      </c>
      <c r="K94" s="2">
        <f>IF(AND(VLOOKUP(K$1,test!$A$3:$F$32,5,FALSE) - VLOOKUP($B94,test!$A$3:$G$32,6,FALSE) &gt;= (test!$B$35)/1440),1,0)</f>
        <v>1</v>
      </c>
      <c r="L94" s="2">
        <f>IF(AND(VLOOKUP(L$1,test!$A$3:$F$32,5,FALSE) - VLOOKUP($B94,test!$A$3:$G$32,6,FALSE) &gt;= (test!$B$35)/1440),1,0)</f>
        <v>0</v>
      </c>
      <c r="M94" s="2">
        <f>IF(AND(VLOOKUP(M$1,test!$A$3:$F$32,5,FALSE) - VLOOKUP($B94,test!$A$3:$G$32,6,FALSE) &gt;= (test!$B$35)/1440),1,0)</f>
        <v>0</v>
      </c>
      <c r="N94" s="2">
        <f>IF(AND(VLOOKUP(N$1,test!$A$3:$F$32,5,FALSE) - VLOOKUP($B94,test!$A$3:$G$32,6,FALSE) &gt;= (test!$B$35)/1440),1,0)</f>
        <v>0</v>
      </c>
      <c r="O94" s="2">
        <f>IF(AND(VLOOKUP(O$1,test!$A$3:$F$32,5,FALSE) - VLOOKUP($B94,test!$A$3:$G$32,6,FALSE) &gt;= (test!$B$35)/1440),1,0)</f>
        <v>1</v>
      </c>
      <c r="P94" s="2">
        <f>IF(AND(VLOOKUP(P$1,test!$A$3:$F$32,5,FALSE) - VLOOKUP($B94,test!$A$3:$G$32,6,FALSE) &gt;= (test!$B$35)/1440),1,0)</f>
        <v>1</v>
      </c>
      <c r="Q94" s="2">
        <f>IF(AND(VLOOKUP(Q$1,test!$A$3:$F$32,5,FALSE) - VLOOKUP($B94,test!$A$3:$G$32,6,FALSE) &gt;= (test!$B$35)/1440),1,0)</f>
        <v>0</v>
      </c>
      <c r="R94" s="2">
        <f>IF(AND(VLOOKUP(R$1,test!$A$3:$F$32,5,FALSE) - VLOOKUP($B94,test!$A$3:$G$32,6,FALSE) &gt;= (test!$B$35)/1440),1,0)</f>
        <v>0</v>
      </c>
      <c r="S94" s="2">
        <f>IF(AND(VLOOKUP(S$1,test!$A$3:$F$32,5,FALSE) - VLOOKUP($B94,test!$A$3:$G$32,6,FALSE) &gt;= (test!$B$35)/1440),1,0)</f>
        <v>0</v>
      </c>
      <c r="T94" s="2">
        <f>IF(AND(VLOOKUP(T$1,test!$A$3:$F$32,5,FALSE) - VLOOKUP($B94,test!$A$3:$G$32,6,FALSE) &gt;= (test!$B$35)/1440),1,0)</f>
        <v>0</v>
      </c>
      <c r="U94" s="2">
        <f>IF(AND(VLOOKUP(U$1,test!$A$3:$F$32,5,FALSE) - VLOOKUP($B94,test!$A$3:$G$32,6,FALSE) &gt;= (test!$B$35)/1440),1,0)</f>
        <v>0</v>
      </c>
      <c r="V94" s="2">
        <f>IF(AND(VLOOKUP(V$1,test!$A$3:$F$32,5,FALSE) - VLOOKUP($B94,test!$A$3:$G$32,6,FALSE) &gt;= (test!$B$35)/1440),1,0)</f>
        <v>0</v>
      </c>
      <c r="W94" s="2">
        <f>IF(AND(VLOOKUP(W$1,test!$A$3:$F$32,5,FALSE) - VLOOKUP($B94,test!$A$3:$G$32,6,FALSE) &gt;= (test!$B$35)/1440),1,0)</f>
        <v>0</v>
      </c>
      <c r="X94" s="2">
        <f>IF(AND(VLOOKUP(X$1,test!$A$3:$F$32,5,FALSE) - VLOOKUP($B94,test!$A$3:$G$32,6,FALSE) &gt;= (test!$B$35)/1440),1,0)</f>
        <v>0</v>
      </c>
      <c r="Y94" s="2">
        <f>IF(AND(VLOOKUP(Y$1,test!$A$3:$F$32,5,FALSE) - VLOOKUP($B94,test!$A$3:$G$32,6,FALSE) &gt;= (test!$B$35)/1440),1,0)</f>
        <v>0</v>
      </c>
      <c r="Z94" s="2">
        <f>IF(AND(VLOOKUP(Z$1,test!$A$3:$F$32,5,FALSE) - VLOOKUP($B94,test!$A$3:$G$32,6,FALSE) &gt;= (test!$B$35)/1440),1,0)</f>
        <v>0</v>
      </c>
      <c r="AA94" s="2">
        <f>IF(AND(VLOOKUP(AA$1,test!$A$3:$F$32,5,FALSE) - VLOOKUP($B94,test!$A$3:$G$32,6,FALSE) &gt;= (test!$B$35)/1440),1,0)</f>
        <v>0</v>
      </c>
      <c r="AB94" s="2">
        <f>IF(AND(VLOOKUP(AB$1,test!$A$3:$F$32,5,FALSE) - VLOOKUP($B94,test!$A$3:$G$32,6,FALSE) &gt;= (test!$B$35)/1440),1,0)</f>
        <v>0</v>
      </c>
      <c r="AC94" s="2">
        <f>IF(AND(VLOOKUP(AC$1,test!$A$3:$F$32,5,FALSE) - VLOOKUP($B94,test!$A$3:$G$32,6,FALSE) &gt;= (test!$B$35)/1440),1,0)</f>
        <v>0</v>
      </c>
      <c r="AD94" s="2">
        <f>IF(AND(VLOOKUP(AD$1,test!$A$3:$F$32,5,FALSE) - VLOOKUP($B94,test!$A$3:$G$32,6,FALSE) &gt;= (test!$B$35)/1440),1,0)</f>
        <v>0</v>
      </c>
      <c r="AE94" s="2">
        <f>IF(AND(VLOOKUP(AE$1,test!$A$3:$F$32,5,FALSE) - VLOOKUP($B94,test!$A$3:$G$32,6,FALSE) &gt;= (test!$B$35)/1440),1,0)</f>
        <v>0</v>
      </c>
      <c r="AF94" s="2">
        <f>IF(AND(VLOOKUP(AF$1,test!$A$3:$F$32,5,FALSE) - VLOOKUP($B94,test!$A$3:$G$32,6,FALSE) &gt;= (test!$B$35)/1440),1,0)</f>
        <v>0</v>
      </c>
      <c r="AG94" s="2">
        <f>IF(AND(VLOOKUP(AG$1,test!$A$3:$F$32,5,FALSE) - VLOOKUP($B94,test!$A$3:$G$32,6,FALSE) &gt;= (test!$B$35)/1440),1,0)</f>
        <v>0</v>
      </c>
    </row>
  </sheetData>
  <conditionalFormatting sqref="D3:AG32">
    <cfRule type="cellIs" dxfId="3" priority="3" operator="equal">
      <formula>1</formula>
    </cfRule>
  </conditionalFormatting>
  <conditionalFormatting sqref="D34:AG63">
    <cfRule type="cellIs" dxfId="2" priority="2" operator="equal">
      <formula>1</formula>
    </cfRule>
  </conditionalFormatting>
  <conditionalFormatting sqref="D65:AG94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EF36-2DE6-4E7F-B863-53B7C0B41BB7}">
  <dimension ref="A1:AF32"/>
  <sheetViews>
    <sheetView workbookViewId="0">
      <selection activeCell="AF32" sqref="AF32"/>
    </sheetView>
  </sheetViews>
  <sheetFormatPr defaultRowHeight="15" x14ac:dyDescent="0.25"/>
  <sheetData>
    <row r="1" spans="1:32" x14ac:dyDescent="0.25">
      <c r="B1" t="s">
        <v>47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18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</row>
    <row r="2" spans="1:32" x14ac:dyDescent="0.25">
      <c r="A2" t="s">
        <v>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6</v>
      </c>
      <c r="B3">
        <v>0</v>
      </c>
      <c r="C3" s="2">
        <f>IF(AND(VLOOKUP(C$1,test!$A$3:$F$32,5,FALSE) - VLOOKUP($A3,test!$A$3:$G$32,6,FALSE) &gt;= (test!$B$33)/1440),1,0)</f>
        <v>0</v>
      </c>
      <c r="D3" s="2">
        <f>IF(AND(VLOOKUP(D$1,test!$A$3:$F$32,5,FALSE) - VLOOKUP($A3,test!$A$3:$G$32,6,FALSE) &gt;= (test!$B$33)/1440),1,0)</f>
        <v>0</v>
      </c>
      <c r="E3" s="2">
        <f>IF(AND(VLOOKUP(E$1,test!$A$3:$F$32,5,FALSE) - VLOOKUP($A3,test!$A$3:$G$32,6,FALSE) &gt;= (test!$B$33)/1440),1,0)</f>
        <v>1</v>
      </c>
      <c r="F3" s="2">
        <f>IF(AND(VLOOKUP(F$1,test!$A$3:$F$32,5,FALSE) - VLOOKUP($A3,test!$A$3:$G$32,6,FALSE) &gt;= (test!$B$33)/1440),1,0)</f>
        <v>1</v>
      </c>
      <c r="G3" s="2">
        <f>IF(AND(VLOOKUP(G$1,test!$A$3:$F$32,5,FALSE) - VLOOKUP($A3,test!$A$3:$G$32,6,FALSE) &gt;= (test!$B$33)/1440),1,0)</f>
        <v>1</v>
      </c>
      <c r="H3" s="2">
        <f>IF(AND(VLOOKUP(H$1,test!$A$3:$F$32,5,FALSE) - VLOOKUP($A3,test!$A$3:$G$32,6,FALSE) &gt;= (test!$B$33)/1440),1,0)</f>
        <v>1</v>
      </c>
      <c r="I3" s="2">
        <f>IF(AND(VLOOKUP(I$1,test!$A$3:$F$32,5,FALSE) - VLOOKUP($A3,test!$A$3:$G$32,6,FALSE) &gt;= (test!$B$33)/1440),1,0)</f>
        <v>1</v>
      </c>
      <c r="J3" s="2">
        <f>IF(AND(VLOOKUP(J$1,test!$A$3:$F$32,5,FALSE) - VLOOKUP($A3,test!$A$3:$G$32,6,FALSE) &gt;= (test!$B$33)/1440),1,0)</f>
        <v>1</v>
      </c>
      <c r="K3" s="2">
        <f>IF(AND(VLOOKUP(K$1,test!$A$3:$F$32,5,FALSE) - VLOOKUP($A3,test!$A$3:$G$32,6,FALSE) &gt;= (test!$B$33)/1440),1,0)</f>
        <v>0</v>
      </c>
      <c r="L3" s="2">
        <f>IF(AND(VLOOKUP(L$1,test!$A$3:$F$32,5,FALSE) - VLOOKUP($A3,test!$A$3:$G$32,6,FALSE) &gt;= (test!$B$33)/1440),1,0)</f>
        <v>0</v>
      </c>
      <c r="M3" s="2">
        <f>IF(AND(VLOOKUP(M$1,test!$A$3:$F$32,5,FALSE) - VLOOKUP($A3,test!$A$3:$G$32,6,FALSE) &gt;= (test!$B$33)/1440),1,0)</f>
        <v>1</v>
      </c>
      <c r="N3" s="2">
        <f>IF(AND(VLOOKUP(N$1,test!$A$3:$F$32,5,FALSE) - VLOOKUP($A3,test!$A$3:$G$32,6,FALSE) &gt;= (test!$B$33)/1440),1,0)</f>
        <v>1</v>
      </c>
      <c r="O3" s="2">
        <f>IF(AND(VLOOKUP(O$1,test!$A$3:$F$32,5,FALSE) - VLOOKUP($A3,test!$A$3:$G$32,6,FALSE) &gt;= (test!$B$33)/1440),1,0)</f>
        <v>1</v>
      </c>
      <c r="P3" s="2">
        <f>IF(AND(VLOOKUP(P$1,test!$A$3:$F$32,5,FALSE) - VLOOKUP($A3,test!$A$3:$G$32,6,FALSE) &gt;= (test!$B$33)/1440),1,0)</f>
        <v>0</v>
      </c>
      <c r="Q3" s="2">
        <f>IF(AND(VLOOKUP(Q$1,test!$A$3:$F$32,5,FALSE) - VLOOKUP($A3,test!$A$3:$G$32,6,FALSE) &gt;= (test!$B$33)/1440),1,0)</f>
        <v>0</v>
      </c>
      <c r="R3" s="2">
        <f>IF(AND(VLOOKUP(R$1,test!$A$3:$F$32,5,FALSE) - VLOOKUP($A3,test!$A$3:$G$32,6,FALSE) &gt;= (test!$B$33)/1440),1,0)</f>
        <v>0</v>
      </c>
      <c r="S3" s="2">
        <f>IF(AND(VLOOKUP(S$1,test!$A$3:$F$32,5,FALSE) - VLOOKUP($A3,test!$A$3:$G$32,6,FALSE) &gt;= (test!$B$33)/1440),1,0)</f>
        <v>0</v>
      </c>
      <c r="T3" s="2">
        <f>IF(AND(VLOOKUP(T$1,test!$A$3:$F$32,5,FALSE) - VLOOKUP($A3,test!$A$3:$G$32,6,FALSE) &gt;= (test!$B$33)/1440),1,0)</f>
        <v>1</v>
      </c>
      <c r="U3" s="2">
        <f>IF(AND(VLOOKUP(U$1,test!$A$3:$F$32,5,FALSE) - VLOOKUP($A3,test!$A$3:$G$32,6,FALSE) &gt;= (test!$B$33)/1440),1,0)</f>
        <v>1</v>
      </c>
      <c r="V3" s="2">
        <f>IF(AND(VLOOKUP(V$1,test!$A$3:$F$32,5,FALSE) - VLOOKUP($A3,test!$A$3:$G$32,6,FALSE) &gt;= (test!$B$33)/1440),1,0)</f>
        <v>1</v>
      </c>
      <c r="W3" s="2">
        <f>IF(AND(VLOOKUP(W$1,test!$A$3:$F$32,5,FALSE) - VLOOKUP($A3,test!$A$3:$G$32,6,FALSE) &gt;= (test!$B$33)/1440),1,0)</f>
        <v>1</v>
      </c>
      <c r="X3" s="2">
        <f>IF(AND(VLOOKUP(X$1,test!$A$3:$F$32,5,FALSE) - VLOOKUP($A3,test!$A$3:$G$32,6,FALSE) &gt;= (test!$B$33)/1440),1,0)</f>
        <v>1</v>
      </c>
      <c r="Y3" s="2">
        <f>IF(AND(VLOOKUP(Y$1,test!$A$3:$F$32,5,FALSE) - VLOOKUP($A3,test!$A$3:$G$32,6,FALSE) &gt;= (test!$B$33)/1440),1,0)</f>
        <v>0</v>
      </c>
      <c r="Z3" s="2">
        <f>IF(AND(VLOOKUP(Z$1,test!$A$3:$F$32,5,FALSE) - VLOOKUP($A3,test!$A$3:$G$32,6,FALSE) &gt;= (test!$B$33)/1440),1,0)</f>
        <v>0</v>
      </c>
      <c r="AA3" s="2">
        <f>IF(AND(VLOOKUP(AA$1,test!$A$3:$F$32,5,FALSE) - VLOOKUP($A3,test!$A$3:$G$32,6,FALSE) &gt;= (test!$B$33)/1440),1,0)</f>
        <v>1</v>
      </c>
      <c r="AB3" s="2">
        <f>IF(AND(VLOOKUP(AB$1,test!$A$3:$F$32,5,FALSE) - VLOOKUP($A3,test!$A$3:$G$32,6,FALSE) &gt;= (test!$B$33)/1440),1,0)</f>
        <v>1</v>
      </c>
      <c r="AC3" s="2">
        <f>IF(AND(VLOOKUP(AC$1,test!$A$3:$F$32,5,FALSE) - VLOOKUP($A3,test!$A$3:$G$32,6,FALSE) &gt;= (test!$B$33)/1440),1,0)</f>
        <v>1</v>
      </c>
      <c r="AD3" s="2">
        <f>IF(AND(VLOOKUP(AD$1,test!$A$3:$F$32,5,FALSE) - VLOOKUP($A3,test!$A$3:$G$32,6,FALSE) &gt;= (test!$B$33)/1440),1,0)</f>
        <v>0</v>
      </c>
      <c r="AE3" s="2">
        <f>IF(AND(VLOOKUP(AE$1,test!$A$3:$F$32,5,FALSE) - VLOOKUP($A3,test!$A$3:$G$32,6,FALSE) &gt;= (test!$B$33)/1440),1,0)</f>
        <v>1</v>
      </c>
      <c r="AF3" s="2">
        <f>IF(AND(VLOOKUP(AF$1,test!$A$3:$F$32,5,FALSE) - VLOOKUP($A3,test!$A$3:$G$32,6,FALSE) &gt;= (test!$B$33)/1440),1,0)</f>
        <v>1</v>
      </c>
    </row>
    <row r="4" spans="1:32" x14ac:dyDescent="0.25">
      <c r="A4" t="s">
        <v>9</v>
      </c>
      <c r="B4">
        <v>0</v>
      </c>
      <c r="C4" s="2">
        <f>IF(AND(VLOOKUP(C$1,test!$A$3:$F$32,5,FALSE) - VLOOKUP($A4,test!$A$3:$G$32,6,FALSE) &gt;= (test!$B$33)/1440),1,0)</f>
        <v>0</v>
      </c>
      <c r="D4" s="2">
        <f>IF(AND(VLOOKUP(D$1,test!$A$3:$F$32,5,FALSE) - VLOOKUP($A4,test!$A$3:$G$32,6,FALSE) &gt;= (test!$B$33)/1440),1,0)</f>
        <v>0</v>
      </c>
      <c r="E4" s="2">
        <f>IF(AND(VLOOKUP(E$1,test!$A$3:$F$32,5,FALSE) - VLOOKUP($A4,test!$A$3:$G$32,6,FALSE) &gt;= (test!$B$33)/1440),1,0)</f>
        <v>0</v>
      </c>
      <c r="F4" s="2">
        <f>IF(AND(VLOOKUP(F$1,test!$A$3:$F$32,5,FALSE) - VLOOKUP($A4,test!$A$3:$G$32,6,FALSE) &gt;= (test!$B$33)/1440),1,0)</f>
        <v>0</v>
      </c>
      <c r="G4" s="2">
        <f>IF(AND(VLOOKUP(G$1,test!$A$3:$F$32,5,FALSE) - VLOOKUP($A4,test!$A$3:$G$32,6,FALSE) &gt;= (test!$B$33)/1440),1,0)</f>
        <v>1</v>
      </c>
      <c r="H4" s="2">
        <f>IF(AND(VLOOKUP(H$1,test!$A$3:$F$32,5,FALSE) - VLOOKUP($A4,test!$A$3:$G$32,6,FALSE) &gt;= (test!$B$33)/1440),1,0)</f>
        <v>1</v>
      </c>
      <c r="I4" s="2">
        <f>IF(AND(VLOOKUP(I$1,test!$A$3:$F$32,5,FALSE) - VLOOKUP($A4,test!$A$3:$G$32,6,FALSE) &gt;= (test!$B$33)/1440),1,0)</f>
        <v>1</v>
      </c>
      <c r="J4" s="2">
        <f>IF(AND(VLOOKUP(J$1,test!$A$3:$F$32,5,FALSE) - VLOOKUP($A4,test!$A$3:$G$32,6,FALSE) &gt;= (test!$B$33)/1440),1,0)</f>
        <v>1</v>
      </c>
      <c r="K4" s="2">
        <f>IF(AND(VLOOKUP(K$1,test!$A$3:$F$32,5,FALSE) - VLOOKUP($A4,test!$A$3:$G$32,6,FALSE) &gt;= (test!$B$33)/1440),1,0)</f>
        <v>0</v>
      </c>
      <c r="L4" s="2">
        <f>IF(AND(VLOOKUP(L$1,test!$A$3:$F$32,5,FALSE) - VLOOKUP($A4,test!$A$3:$G$32,6,FALSE) &gt;= (test!$B$33)/1440),1,0)</f>
        <v>0</v>
      </c>
      <c r="M4" s="2">
        <f>IF(AND(VLOOKUP(M$1,test!$A$3:$F$32,5,FALSE) - VLOOKUP($A4,test!$A$3:$G$32,6,FALSE) &gt;= (test!$B$33)/1440),1,0)</f>
        <v>0</v>
      </c>
      <c r="N4" s="2">
        <f>IF(AND(VLOOKUP(N$1,test!$A$3:$F$32,5,FALSE) - VLOOKUP($A4,test!$A$3:$G$32,6,FALSE) &gt;= (test!$B$33)/1440),1,0)</f>
        <v>1</v>
      </c>
      <c r="O4" s="2">
        <f>IF(AND(VLOOKUP(O$1,test!$A$3:$F$32,5,FALSE) - VLOOKUP($A4,test!$A$3:$G$32,6,FALSE) &gt;= (test!$B$33)/1440),1,0)</f>
        <v>1</v>
      </c>
      <c r="P4" s="2">
        <f>IF(AND(VLOOKUP(P$1,test!$A$3:$F$32,5,FALSE) - VLOOKUP($A4,test!$A$3:$G$32,6,FALSE) &gt;= (test!$B$33)/1440),1,0)</f>
        <v>0</v>
      </c>
      <c r="Q4" s="2">
        <f>IF(AND(VLOOKUP(Q$1,test!$A$3:$F$32,5,FALSE) - VLOOKUP($A4,test!$A$3:$G$32,6,FALSE) &gt;= (test!$B$33)/1440),1,0)</f>
        <v>0</v>
      </c>
      <c r="R4" s="2">
        <f>IF(AND(VLOOKUP(R$1,test!$A$3:$F$32,5,FALSE) - VLOOKUP($A4,test!$A$3:$G$32,6,FALSE) &gt;= (test!$B$33)/1440),1,0)</f>
        <v>0</v>
      </c>
      <c r="S4" s="2">
        <f>IF(AND(VLOOKUP(S$1,test!$A$3:$F$32,5,FALSE) - VLOOKUP($A4,test!$A$3:$G$32,6,FALSE) &gt;= (test!$B$33)/1440),1,0)</f>
        <v>0</v>
      </c>
      <c r="T4" s="2">
        <f>IF(AND(VLOOKUP(T$1,test!$A$3:$F$32,5,FALSE) - VLOOKUP($A4,test!$A$3:$G$32,6,FALSE) &gt;= (test!$B$33)/1440),1,0)</f>
        <v>0</v>
      </c>
      <c r="U4" s="2">
        <f>IF(AND(VLOOKUP(U$1,test!$A$3:$F$32,5,FALSE) - VLOOKUP($A4,test!$A$3:$G$32,6,FALSE) &gt;= (test!$B$33)/1440),1,0)</f>
        <v>0</v>
      </c>
      <c r="V4" s="2">
        <f>IF(AND(VLOOKUP(V$1,test!$A$3:$F$32,5,FALSE) - VLOOKUP($A4,test!$A$3:$G$32,6,FALSE) &gt;= (test!$B$33)/1440),1,0)</f>
        <v>1</v>
      </c>
      <c r="W4" s="2">
        <f>IF(AND(VLOOKUP(W$1,test!$A$3:$F$32,5,FALSE) - VLOOKUP($A4,test!$A$3:$G$32,6,FALSE) &gt;= (test!$B$33)/1440),1,0)</f>
        <v>1</v>
      </c>
      <c r="X4" s="2">
        <f>IF(AND(VLOOKUP(X$1,test!$A$3:$F$32,5,FALSE) - VLOOKUP($A4,test!$A$3:$G$32,6,FALSE) &gt;= (test!$B$33)/1440),1,0)</f>
        <v>1</v>
      </c>
      <c r="Y4" s="2">
        <f>IF(AND(VLOOKUP(Y$1,test!$A$3:$F$32,5,FALSE) - VLOOKUP($A4,test!$A$3:$G$32,6,FALSE) &gt;= (test!$B$33)/1440),1,0)</f>
        <v>0</v>
      </c>
      <c r="Z4" s="2">
        <f>IF(AND(VLOOKUP(Z$1,test!$A$3:$F$32,5,FALSE) - VLOOKUP($A4,test!$A$3:$G$32,6,FALSE) &gt;= (test!$B$33)/1440),1,0)</f>
        <v>0</v>
      </c>
      <c r="AA4" s="2">
        <f>IF(AND(VLOOKUP(AA$1,test!$A$3:$F$32,5,FALSE) - VLOOKUP($A4,test!$A$3:$G$32,6,FALSE) &gt;= (test!$B$33)/1440),1,0)</f>
        <v>0</v>
      </c>
      <c r="AB4" s="2">
        <f>IF(AND(VLOOKUP(AB$1,test!$A$3:$F$32,5,FALSE) - VLOOKUP($A4,test!$A$3:$G$32,6,FALSE) &gt;= (test!$B$33)/1440),1,0)</f>
        <v>0</v>
      </c>
      <c r="AC4" s="2">
        <f>IF(AND(VLOOKUP(AC$1,test!$A$3:$F$32,5,FALSE) - VLOOKUP($A4,test!$A$3:$G$32,6,FALSE) &gt;= (test!$B$33)/1440),1,0)</f>
        <v>1</v>
      </c>
      <c r="AD4" s="2">
        <f>IF(AND(VLOOKUP(AD$1,test!$A$3:$F$32,5,FALSE) - VLOOKUP($A4,test!$A$3:$G$32,6,FALSE) &gt;= (test!$B$33)/1440),1,0)</f>
        <v>0</v>
      </c>
      <c r="AE4" s="2">
        <f>IF(AND(VLOOKUP(AE$1,test!$A$3:$F$32,5,FALSE) - VLOOKUP($A4,test!$A$3:$G$32,6,FALSE) &gt;= (test!$B$33)/1440),1,0)</f>
        <v>0</v>
      </c>
      <c r="AF4" s="2">
        <f>IF(AND(VLOOKUP(AF$1,test!$A$3:$F$32,5,FALSE) - VLOOKUP($A4,test!$A$3:$G$32,6,FALSE) &gt;= (test!$B$33)/1440),1,0)</f>
        <v>0</v>
      </c>
    </row>
    <row r="5" spans="1:32" x14ac:dyDescent="0.25">
      <c r="A5" t="s">
        <v>10</v>
      </c>
      <c r="B5">
        <v>0</v>
      </c>
      <c r="C5" s="2">
        <f>IF(AND(VLOOKUP(C$1,test!$A$3:$F$32,5,FALSE) - VLOOKUP($A5,test!$A$3:$G$32,6,FALSE) &gt;= (test!$B$33)/1440),1,0)</f>
        <v>0</v>
      </c>
      <c r="D5" s="2">
        <f>IF(AND(VLOOKUP(D$1,test!$A$3:$F$32,5,FALSE) - VLOOKUP($A5,test!$A$3:$G$32,6,FALSE) &gt;= (test!$B$33)/1440),1,0)</f>
        <v>0</v>
      </c>
      <c r="E5" s="2">
        <f>IF(AND(VLOOKUP(E$1,test!$A$3:$F$32,5,FALSE) - VLOOKUP($A5,test!$A$3:$G$32,6,FALSE) &gt;= (test!$B$33)/1440),1,0)</f>
        <v>0</v>
      </c>
      <c r="F5" s="2">
        <f>IF(AND(VLOOKUP(F$1,test!$A$3:$F$32,5,FALSE) - VLOOKUP($A5,test!$A$3:$G$32,6,FALSE) &gt;= (test!$B$33)/1440),1,0)</f>
        <v>0</v>
      </c>
      <c r="G5" s="2">
        <f>IF(AND(VLOOKUP(G$1,test!$A$3:$F$32,5,FALSE) - VLOOKUP($A5,test!$A$3:$G$32,6,FALSE) &gt;= (test!$B$33)/1440),1,0)</f>
        <v>0</v>
      </c>
      <c r="H5" s="2">
        <f>IF(AND(VLOOKUP(H$1,test!$A$3:$F$32,5,FALSE) - VLOOKUP($A5,test!$A$3:$G$32,6,FALSE) &gt;= (test!$B$33)/1440),1,0)</f>
        <v>1</v>
      </c>
      <c r="I5" s="2">
        <f>IF(AND(VLOOKUP(I$1,test!$A$3:$F$32,5,FALSE) - VLOOKUP($A5,test!$A$3:$G$32,6,FALSE) &gt;= (test!$B$33)/1440),1,0)</f>
        <v>1</v>
      </c>
      <c r="J5" s="2">
        <f>IF(AND(VLOOKUP(J$1,test!$A$3:$F$32,5,FALSE) - VLOOKUP($A5,test!$A$3:$G$32,6,FALSE) &gt;= (test!$B$33)/1440),1,0)</f>
        <v>1</v>
      </c>
      <c r="K5" s="2">
        <f>IF(AND(VLOOKUP(K$1,test!$A$3:$F$32,5,FALSE) - VLOOKUP($A5,test!$A$3:$G$32,6,FALSE) &gt;= (test!$B$33)/1440),1,0)</f>
        <v>0</v>
      </c>
      <c r="L5" s="2">
        <f>IF(AND(VLOOKUP(L$1,test!$A$3:$F$32,5,FALSE) - VLOOKUP($A5,test!$A$3:$G$32,6,FALSE) &gt;= (test!$B$33)/1440),1,0)</f>
        <v>0</v>
      </c>
      <c r="M5" s="2">
        <f>IF(AND(VLOOKUP(M$1,test!$A$3:$F$32,5,FALSE) - VLOOKUP($A5,test!$A$3:$G$32,6,FALSE) &gt;= (test!$B$33)/1440),1,0)</f>
        <v>0</v>
      </c>
      <c r="N5" s="2">
        <f>IF(AND(VLOOKUP(N$1,test!$A$3:$F$32,5,FALSE) - VLOOKUP($A5,test!$A$3:$G$32,6,FALSE) &gt;= (test!$B$33)/1440),1,0)</f>
        <v>1</v>
      </c>
      <c r="O5" s="2">
        <f>IF(AND(VLOOKUP(O$1,test!$A$3:$F$32,5,FALSE) - VLOOKUP($A5,test!$A$3:$G$32,6,FALSE) &gt;= (test!$B$33)/1440),1,0)</f>
        <v>1</v>
      </c>
      <c r="P5" s="2">
        <f>IF(AND(VLOOKUP(P$1,test!$A$3:$F$32,5,FALSE) - VLOOKUP($A5,test!$A$3:$G$32,6,FALSE) &gt;= (test!$B$33)/1440),1,0)</f>
        <v>0</v>
      </c>
      <c r="Q5" s="2">
        <f>IF(AND(VLOOKUP(Q$1,test!$A$3:$F$32,5,FALSE) - VLOOKUP($A5,test!$A$3:$G$32,6,FALSE) &gt;= (test!$B$33)/1440),1,0)</f>
        <v>0</v>
      </c>
      <c r="R5" s="2">
        <f>IF(AND(VLOOKUP(R$1,test!$A$3:$F$32,5,FALSE) - VLOOKUP($A5,test!$A$3:$G$32,6,FALSE) &gt;= (test!$B$33)/1440),1,0)</f>
        <v>0</v>
      </c>
      <c r="S5" s="2">
        <f>IF(AND(VLOOKUP(S$1,test!$A$3:$F$32,5,FALSE) - VLOOKUP($A5,test!$A$3:$G$32,6,FALSE) &gt;= (test!$B$33)/1440),1,0)</f>
        <v>0</v>
      </c>
      <c r="T5" s="2">
        <f>IF(AND(VLOOKUP(T$1,test!$A$3:$F$32,5,FALSE) - VLOOKUP($A5,test!$A$3:$G$32,6,FALSE) &gt;= (test!$B$33)/1440),1,0)</f>
        <v>0</v>
      </c>
      <c r="U5" s="2">
        <f>IF(AND(VLOOKUP(U$1,test!$A$3:$F$32,5,FALSE) - VLOOKUP($A5,test!$A$3:$G$32,6,FALSE) &gt;= (test!$B$33)/1440),1,0)</f>
        <v>0</v>
      </c>
      <c r="V5" s="2">
        <f>IF(AND(VLOOKUP(V$1,test!$A$3:$F$32,5,FALSE) - VLOOKUP($A5,test!$A$3:$G$32,6,FALSE) &gt;= (test!$B$33)/1440),1,0)</f>
        <v>0</v>
      </c>
      <c r="W5" s="2">
        <f>IF(AND(VLOOKUP(W$1,test!$A$3:$F$32,5,FALSE) - VLOOKUP($A5,test!$A$3:$G$32,6,FALSE) &gt;= (test!$B$33)/1440),1,0)</f>
        <v>1</v>
      </c>
      <c r="X5" s="2">
        <f>IF(AND(VLOOKUP(X$1,test!$A$3:$F$32,5,FALSE) - VLOOKUP($A5,test!$A$3:$G$32,6,FALSE) &gt;= (test!$B$33)/1440),1,0)</f>
        <v>1</v>
      </c>
      <c r="Y5" s="2">
        <f>IF(AND(VLOOKUP(Y$1,test!$A$3:$F$32,5,FALSE) - VLOOKUP($A5,test!$A$3:$G$32,6,FALSE) &gt;= (test!$B$33)/1440),1,0)</f>
        <v>0</v>
      </c>
      <c r="Z5" s="2">
        <f>IF(AND(VLOOKUP(Z$1,test!$A$3:$F$32,5,FALSE) - VLOOKUP($A5,test!$A$3:$G$32,6,FALSE) &gt;= (test!$B$33)/1440),1,0)</f>
        <v>0</v>
      </c>
      <c r="AA5" s="2">
        <f>IF(AND(VLOOKUP(AA$1,test!$A$3:$F$32,5,FALSE) - VLOOKUP($A5,test!$A$3:$G$32,6,FALSE) &gt;= (test!$B$33)/1440),1,0)</f>
        <v>0</v>
      </c>
      <c r="AB5" s="2">
        <f>IF(AND(VLOOKUP(AB$1,test!$A$3:$F$32,5,FALSE) - VLOOKUP($A5,test!$A$3:$G$32,6,FALSE) &gt;= (test!$B$33)/1440),1,0)</f>
        <v>0</v>
      </c>
      <c r="AC5" s="2">
        <f>IF(AND(VLOOKUP(AC$1,test!$A$3:$F$32,5,FALSE) - VLOOKUP($A5,test!$A$3:$G$32,6,FALSE) &gt;= (test!$B$33)/1440),1,0)</f>
        <v>1</v>
      </c>
      <c r="AD5" s="2">
        <f>IF(AND(VLOOKUP(AD$1,test!$A$3:$F$32,5,FALSE) - VLOOKUP($A5,test!$A$3:$G$32,6,FALSE) &gt;= (test!$B$33)/1440),1,0)</f>
        <v>0</v>
      </c>
      <c r="AE5" s="2">
        <f>IF(AND(VLOOKUP(AE$1,test!$A$3:$F$32,5,FALSE) - VLOOKUP($A5,test!$A$3:$G$32,6,FALSE) &gt;= (test!$B$33)/1440),1,0)</f>
        <v>0</v>
      </c>
      <c r="AF5" s="2">
        <f>IF(AND(VLOOKUP(AF$1,test!$A$3:$F$32,5,FALSE) - VLOOKUP($A5,test!$A$3:$G$32,6,FALSE) &gt;= (test!$B$33)/1440),1,0)</f>
        <v>0</v>
      </c>
    </row>
    <row r="6" spans="1:32" x14ac:dyDescent="0.25">
      <c r="A6" t="s">
        <v>11</v>
      </c>
      <c r="B6">
        <v>0</v>
      </c>
      <c r="C6" s="2">
        <f>IF(AND(VLOOKUP(C$1,test!$A$3:$F$32,5,FALSE) - VLOOKUP($A6,test!$A$3:$G$32,6,FALSE) &gt;= (test!$B$33)/1440),1,0)</f>
        <v>0</v>
      </c>
      <c r="D6" s="2">
        <f>IF(AND(VLOOKUP(D$1,test!$A$3:$F$32,5,FALSE) - VLOOKUP($A6,test!$A$3:$G$32,6,FALSE) &gt;= (test!$B$33)/1440),1,0)</f>
        <v>0</v>
      </c>
      <c r="E6" s="2">
        <f>IF(AND(VLOOKUP(E$1,test!$A$3:$F$32,5,FALSE) - VLOOKUP($A6,test!$A$3:$G$32,6,FALSE) &gt;= (test!$B$33)/1440),1,0)</f>
        <v>0</v>
      </c>
      <c r="F6" s="2">
        <f>IF(AND(VLOOKUP(F$1,test!$A$3:$F$32,5,FALSE) - VLOOKUP($A6,test!$A$3:$G$32,6,FALSE) &gt;= (test!$B$33)/1440),1,0)</f>
        <v>0</v>
      </c>
      <c r="G6" s="2">
        <f>IF(AND(VLOOKUP(G$1,test!$A$3:$F$32,5,FALSE) - VLOOKUP($A6,test!$A$3:$G$32,6,FALSE) &gt;= (test!$B$33)/1440),1,0)</f>
        <v>0</v>
      </c>
      <c r="H6" s="2">
        <f>IF(AND(VLOOKUP(H$1,test!$A$3:$F$32,5,FALSE) - VLOOKUP($A6,test!$A$3:$G$32,6,FALSE) &gt;= (test!$B$33)/1440),1,0)</f>
        <v>0</v>
      </c>
      <c r="I6" s="2">
        <f>IF(AND(VLOOKUP(I$1,test!$A$3:$F$32,5,FALSE) - VLOOKUP($A6,test!$A$3:$G$32,6,FALSE) &gt;= (test!$B$33)/1440),1,0)</f>
        <v>0</v>
      </c>
      <c r="J6" s="2">
        <f>IF(AND(VLOOKUP(J$1,test!$A$3:$F$32,5,FALSE) - VLOOKUP($A6,test!$A$3:$G$32,6,FALSE) &gt;= (test!$B$33)/1440),1,0)</f>
        <v>1</v>
      </c>
      <c r="K6" s="2">
        <f>IF(AND(VLOOKUP(K$1,test!$A$3:$F$32,5,FALSE) - VLOOKUP($A6,test!$A$3:$G$32,6,FALSE) &gt;= (test!$B$33)/1440),1,0)</f>
        <v>0</v>
      </c>
      <c r="L6" s="2">
        <f>IF(AND(VLOOKUP(L$1,test!$A$3:$F$32,5,FALSE) - VLOOKUP($A6,test!$A$3:$G$32,6,FALSE) &gt;= (test!$B$33)/1440),1,0)</f>
        <v>0</v>
      </c>
      <c r="M6" s="2">
        <f>IF(AND(VLOOKUP(M$1,test!$A$3:$F$32,5,FALSE) - VLOOKUP($A6,test!$A$3:$G$32,6,FALSE) &gt;= (test!$B$33)/1440),1,0)</f>
        <v>0</v>
      </c>
      <c r="N6" s="2">
        <f>IF(AND(VLOOKUP(N$1,test!$A$3:$F$32,5,FALSE) - VLOOKUP($A6,test!$A$3:$G$32,6,FALSE) &gt;= (test!$B$33)/1440),1,0)</f>
        <v>1</v>
      </c>
      <c r="O6" s="2">
        <f>IF(AND(VLOOKUP(O$1,test!$A$3:$F$32,5,FALSE) - VLOOKUP($A6,test!$A$3:$G$32,6,FALSE) &gt;= (test!$B$33)/1440),1,0)</f>
        <v>1</v>
      </c>
      <c r="P6" s="2">
        <f>IF(AND(VLOOKUP(P$1,test!$A$3:$F$32,5,FALSE) - VLOOKUP($A6,test!$A$3:$G$32,6,FALSE) &gt;= (test!$B$33)/1440),1,0)</f>
        <v>0</v>
      </c>
      <c r="Q6" s="2">
        <f>IF(AND(VLOOKUP(Q$1,test!$A$3:$F$32,5,FALSE) - VLOOKUP($A6,test!$A$3:$G$32,6,FALSE) &gt;= (test!$B$33)/1440),1,0)</f>
        <v>0</v>
      </c>
      <c r="R6" s="2">
        <f>IF(AND(VLOOKUP(R$1,test!$A$3:$F$32,5,FALSE) - VLOOKUP($A6,test!$A$3:$G$32,6,FALSE) &gt;= (test!$B$33)/1440),1,0)</f>
        <v>0</v>
      </c>
      <c r="S6" s="2">
        <f>IF(AND(VLOOKUP(S$1,test!$A$3:$F$32,5,FALSE) - VLOOKUP($A6,test!$A$3:$G$32,6,FALSE) &gt;= (test!$B$33)/1440),1,0)</f>
        <v>0</v>
      </c>
      <c r="T6" s="2">
        <f>IF(AND(VLOOKUP(T$1,test!$A$3:$F$32,5,FALSE) - VLOOKUP($A6,test!$A$3:$G$32,6,FALSE) &gt;= (test!$B$33)/1440),1,0)</f>
        <v>0</v>
      </c>
      <c r="U6" s="2">
        <f>IF(AND(VLOOKUP(U$1,test!$A$3:$F$32,5,FALSE) - VLOOKUP($A6,test!$A$3:$G$32,6,FALSE) &gt;= (test!$B$33)/1440),1,0)</f>
        <v>0</v>
      </c>
      <c r="V6" s="2">
        <f>IF(AND(VLOOKUP(V$1,test!$A$3:$F$32,5,FALSE) - VLOOKUP($A6,test!$A$3:$G$32,6,FALSE) &gt;= (test!$B$33)/1440),1,0)</f>
        <v>0</v>
      </c>
      <c r="W6" s="2">
        <f>IF(AND(VLOOKUP(W$1,test!$A$3:$F$32,5,FALSE) - VLOOKUP($A6,test!$A$3:$G$32,6,FALSE) &gt;= (test!$B$33)/1440),1,0)</f>
        <v>0</v>
      </c>
      <c r="X6" s="2">
        <f>IF(AND(VLOOKUP(X$1,test!$A$3:$F$32,5,FALSE) - VLOOKUP($A6,test!$A$3:$G$32,6,FALSE) &gt;= (test!$B$33)/1440),1,0)</f>
        <v>1</v>
      </c>
      <c r="Y6" s="2">
        <f>IF(AND(VLOOKUP(Y$1,test!$A$3:$F$32,5,FALSE) - VLOOKUP($A6,test!$A$3:$G$32,6,FALSE) &gt;= (test!$B$33)/1440),1,0)</f>
        <v>0</v>
      </c>
      <c r="Z6" s="2">
        <f>IF(AND(VLOOKUP(Z$1,test!$A$3:$F$32,5,FALSE) - VLOOKUP($A6,test!$A$3:$G$32,6,FALSE) &gt;= (test!$B$33)/1440),1,0)</f>
        <v>0</v>
      </c>
      <c r="AA6" s="2">
        <f>IF(AND(VLOOKUP(AA$1,test!$A$3:$F$32,5,FALSE) - VLOOKUP($A6,test!$A$3:$G$32,6,FALSE) &gt;= (test!$B$33)/1440),1,0)</f>
        <v>0</v>
      </c>
      <c r="AB6" s="2">
        <f>IF(AND(VLOOKUP(AB$1,test!$A$3:$F$32,5,FALSE) - VLOOKUP($A6,test!$A$3:$G$32,6,FALSE) &gt;= (test!$B$33)/1440),1,0)</f>
        <v>0</v>
      </c>
      <c r="AC6" s="2">
        <f>IF(AND(VLOOKUP(AC$1,test!$A$3:$F$32,5,FALSE) - VLOOKUP($A6,test!$A$3:$G$32,6,FALSE) &gt;= (test!$B$33)/1440),1,0)</f>
        <v>0</v>
      </c>
      <c r="AD6" s="2">
        <f>IF(AND(VLOOKUP(AD$1,test!$A$3:$F$32,5,FALSE) - VLOOKUP($A6,test!$A$3:$G$32,6,FALSE) &gt;= (test!$B$33)/1440),1,0)</f>
        <v>0</v>
      </c>
      <c r="AE6" s="2">
        <f>IF(AND(VLOOKUP(AE$1,test!$A$3:$F$32,5,FALSE) - VLOOKUP($A6,test!$A$3:$G$32,6,FALSE) &gt;= (test!$B$33)/1440),1,0)</f>
        <v>0</v>
      </c>
      <c r="AF6" s="2">
        <f>IF(AND(VLOOKUP(AF$1,test!$A$3:$F$32,5,FALSE) - VLOOKUP($A6,test!$A$3:$G$32,6,FALSE) &gt;= (test!$B$33)/1440),1,0)</f>
        <v>0</v>
      </c>
    </row>
    <row r="7" spans="1:32" x14ac:dyDescent="0.25">
      <c r="A7" t="s">
        <v>12</v>
      </c>
      <c r="B7">
        <v>0</v>
      </c>
      <c r="C7" s="2">
        <f>IF(AND(VLOOKUP(C$1,test!$A$3:$F$32,5,FALSE) - VLOOKUP($A7,test!$A$3:$G$32,6,FALSE) &gt;= (test!$B$33)/1440),1,0)</f>
        <v>0</v>
      </c>
      <c r="D7" s="2">
        <f>IF(AND(VLOOKUP(D$1,test!$A$3:$F$32,5,FALSE) - VLOOKUP($A7,test!$A$3:$G$32,6,FALSE) &gt;= (test!$B$33)/1440),1,0)</f>
        <v>0</v>
      </c>
      <c r="E7" s="2">
        <f>IF(AND(VLOOKUP(E$1,test!$A$3:$F$32,5,FALSE) - VLOOKUP($A7,test!$A$3:$G$32,6,FALSE) &gt;= (test!$B$33)/1440),1,0)</f>
        <v>0</v>
      </c>
      <c r="F7" s="2">
        <f>IF(AND(VLOOKUP(F$1,test!$A$3:$F$32,5,FALSE) - VLOOKUP($A7,test!$A$3:$G$32,6,FALSE) &gt;= (test!$B$33)/1440),1,0)</f>
        <v>0</v>
      </c>
      <c r="G7" s="2">
        <f>IF(AND(VLOOKUP(G$1,test!$A$3:$F$32,5,FALSE) - VLOOKUP($A7,test!$A$3:$G$32,6,FALSE) &gt;= (test!$B$33)/1440),1,0)</f>
        <v>0</v>
      </c>
      <c r="H7" s="2">
        <f>IF(AND(VLOOKUP(H$1,test!$A$3:$F$32,5,FALSE) - VLOOKUP($A7,test!$A$3:$G$32,6,FALSE) &gt;= (test!$B$33)/1440),1,0)</f>
        <v>0</v>
      </c>
      <c r="I7" s="2">
        <f>IF(AND(VLOOKUP(I$1,test!$A$3:$F$32,5,FALSE) - VLOOKUP($A7,test!$A$3:$G$32,6,FALSE) &gt;= (test!$B$33)/1440),1,0)</f>
        <v>0</v>
      </c>
      <c r="J7" s="2">
        <f>IF(AND(VLOOKUP(J$1,test!$A$3:$F$32,5,FALSE) - VLOOKUP($A7,test!$A$3:$G$32,6,FALSE) &gt;= (test!$B$33)/1440),1,0)</f>
        <v>1</v>
      </c>
      <c r="K7" s="2">
        <f>IF(AND(VLOOKUP(K$1,test!$A$3:$F$32,5,FALSE) - VLOOKUP($A7,test!$A$3:$G$32,6,FALSE) &gt;= (test!$B$33)/1440),1,0)</f>
        <v>0</v>
      </c>
      <c r="L7" s="2">
        <f>IF(AND(VLOOKUP(L$1,test!$A$3:$F$32,5,FALSE) - VLOOKUP($A7,test!$A$3:$G$32,6,FALSE) &gt;= (test!$B$33)/1440),1,0)</f>
        <v>0</v>
      </c>
      <c r="M7" s="2">
        <f>IF(AND(VLOOKUP(M$1,test!$A$3:$F$32,5,FALSE) - VLOOKUP($A7,test!$A$3:$G$32,6,FALSE) &gt;= (test!$B$33)/1440),1,0)</f>
        <v>0</v>
      </c>
      <c r="N7" s="2">
        <f>IF(AND(VLOOKUP(N$1,test!$A$3:$F$32,5,FALSE) - VLOOKUP($A7,test!$A$3:$G$32,6,FALSE) &gt;= (test!$B$33)/1440),1,0)</f>
        <v>0</v>
      </c>
      <c r="O7" s="2">
        <f>IF(AND(VLOOKUP(O$1,test!$A$3:$F$32,5,FALSE) - VLOOKUP($A7,test!$A$3:$G$32,6,FALSE) &gt;= (test!$B$33)/1440),1,0)</f>
        <v>1</v>
      </c>
      <c r="P7" s="2">
        <f>IF(AND(VLOOKUP(P$1,test!$A$3:$F$32,5,FALSE) - VLOOKUP($A7,test!$A$3:$G$32,6,FALSE) &gt;= (test!$B$33)/1440),1,0)</f>
        <v>0</v>
      </c>
      <c r="Q7" s="2">
        <f>IF(AND(VLOOKUP(Q$1,test!$A$3:$F$32,5,FALSE) - VLOOKUP($A7,test!$A$3:$G$32,6,FALSE) &gt;= (test!$B$33)/1440),1,0)</f>
        <v>0</v>
      </c>
      <c r="R7" s="2">
        <f>IF(AND(VLOOKUP(R$1,test!$A$3:$F$32,5,FALSE) - VLOOKUP($A7,test!$A$3:$G$32,6,FALSE) &gt;= (test!$B$33)/1440),1,0)</f>
        <v>0</v>
      </c>
      <c r="S7" s="2">
        <f>IF(AND(VLOOKUP(S$1,test!$A$3:$F$32,5,FALSE) - VLOOKUP($A7,test!$A$3:$G$32,6,FALSE) &gt;= (test!$B$33)/1440),1,0)</f>
        <v>0</v>
      </c>
      <c r="T7" s="2">
        <f>IF(AND(VLOOKUP(T$1,test!$A$3:$F$32,5,FALSE) - VLOOKUP($A7,test!$A$3:$G$32,6,FALSE) &gt;= (test!$B$33)/1440),1,0)</f>
        <v>0</v>
      </c>
      <c r="U7" s="2">
        <f>IF(AND(VLOOKUP(U$1,test!$A$3:$F$32,5,FALSE) - VLOOKUP($A7,test!$A$3:$G$32,6,FALSE) &gt;= (test!$B$33)/1440),1,0)</f>
        <v>0</v>
      </c>
      <c r="V7" s="2">
        <f>IF(AND(VLOOKUP(V$1,test!$A$3:$F$32,5,FALSE) - VLOOKUP($A7,test!$A$3:$G$32,6,FALSE) &gt;= (test!$B$33)/1440),1,0)</f>
        <v>0</v>
      </c>
      <c r="W7" s="2">
        <f>IF(AND(VLOOKUP(W$1,test!$A$3:$F$32,5,FALSE) - VLOOKUP($A7,test!$A$3:$G$32,6,FALSE) &gt;= (test!$B$33)/1440),1,0)</f>
        <v>0</v>
      </c>
      <c r="X7" s="2">
        <f>IF(AND(VLOOKUP(X$1,test!$A$3:$F$32,5,FALSE) - VLOOKUP($A7,test!$A$3:$G$32,6,FALSE) &gt;= (test!$B$33)/1440),1,0)</f>
        <v>0</v>
      </c>
      <c r="Y7" s="2">
        <f>IF(AND(VLOOKUP(Y$1,test!$A$3:$F$32,5,FALSE) - VLOOKUP($A7,test!$A$3:$G$32,6,FALSE) &gt;= (test!$B$33)/1440),1,0)</f>
        <v>0</v>
      </c>
      <c r="Z7" s="2">
        <f>IF(AND(VLOOKUP(Z$1,test!$A$3:$F$32,5,FALSE) - VLOOKUP($A7,test!$A$3:$G$32,6,FALSE) &gt;= (test!$B$33)/1440),1,0)</f>
        <v>0</v>
      </c>
      <c r="AA7" s="2">
        <f>IF(AND(VLOOKUP(AA$1,test!$A$3:$F$32,5,FALSE) - VLOOKUP($A7,test!$A$3:$G$32,6,FALSE) &gt;= (test!$B$33)/1440),1,0)</f>
        <v>0</v>
      </c>
      <c r="AB7" s="2">
        <f>IF(AND(VLOOKUP(AB$1,test!$A$3:$F$32,5,FALSE) - VLOOKUP($A7,test!$A$3:$G$32,6,FALSE) &gt;= (test!$B$33)/1440),1,0)</f>
        <v>0</v>
      </c>
      <c r="AC7" s="2">
        <f>IF(AND(VLOOKUP(AC$1,test!$A$3:$F$32,5,FALSE) - VLOOKUP($A7,test!$A$3:$G$32,6,FALSE) &gt;= (test!$B$33)/1440),1,0)</f>
        <v>0</v>
      </c>
      <c r="AD7" s="2">
        <f>IF(AND(VLOOKUP(AD$1,test!$A$3:$F$32,5,FALSE) - VLOOKUP($A7,test!$A$3:$G$32,6,FALSE) &gt;= (test!$B$33)/1440),1,0)</f>
        <v>0</v>
      </c>
      <c r="AE7" s="2">
        <f>IF(AND(VLOOKUP(AE$1,test!$A$3:$F$32,5,FALSE) - VLOOKUP($A7,test!$A$3:$G$32,6,FALSE) &gt;= (test!$B$33)/1440),1,0)</f>
        <v>0</v>
      </c>
      <c r="AF7" s="2">
        <f>IF(AND(VLOOKUP(AF$1,test!$A$3:$F$32,5,FALSE) - VLOOKUP($A7,test!$A$3:$G$32,6,FALSE) &gt;= (test!$B$33)/1440),1,0)</f>
        <v>0</v>
      </c>
    </row>
    <row r="8" spans="1:32" x14ac:dyDescent="0.25">
      <c r="A8" t="s">
        <v>13</v>
      </c>
      <c r="B8">
        <v>0</v>
      </c>
      <c r="C8" s="2">
        <f>IF(AND(VLOOKUP(C$1,test!$A$3:$F$32,5,FALSE) - VLOOKUP($A8,test!$A$3:$G$32,6,FALSE) &gt;= (test!$B$33)/1440),1,0)</f>
        <v>0</v>
      </c>
      <c r="D8" s="2">
        <f>IF(AND(VLOOKUP(D$1,test!$A$3:$F$32,5,FALSE) - VLOOKUP($A8,test!$A$3:$G$32,6,FALSE) &gt;= (test!$B$33)/1440),1,0)</f>
        <v>0</v>
      </c>
      <c r="E8" s="2">
        <f>IF(AND(VLOOKUP(E$1,test!$A$3:$F$32,5,FALSE) - VLOOKUP($A8,test!$A$3:$G$32,6,FALSE) &gt;= (test!$B$33)/1440),1,0)</f>
        <v>0</v>
      </c>
      <c r="F8" s="2">
        <f>IF(AND(VLOOKUP(F$1,test!$A$3:$F$32,5,FALSE) - VLOOKUP($A8,test!$A$3:$G$32,6,FALSE) &gt;= (test!$B$33)/1440),1,0)</f>
        <v>0</v>
      </c>
      <c r="G8" s="2">
        <f>IF(AND(VLOOKUP(G$1,test!$A$3:$F$32,5,FALSE) - VLOOKUP($A8,test!$A$3:$G$32,6,FALSE) &gt;= (test!$B$33)/1440),1,0)</f>
        <v>0</v>
      </c>
      <c r="H8" s="2">
        <f>IF(AND(VLOOKUP(H$1,test!$A$3:$F$32,5,FALSE) - VLOOKUP($A8,test!$A$3:$G$32,6,FALSE) &gt;= (test!$B$33)/1440),1,0)</f>
        <v>0</v>
      </c>
      <c r="I8" s="2">
        <f>IF(AND(VLOOKUP(I$1,test!$A$3:$F$32,5,FALSE) - VLOOKUP($A8,test!$A$3:$G$32,6,FALSE) &gt;= (test!$B$33)/1440),1,0)</f>
        <v>0</v>
      </c>
      <c r="J8" s="2">
        <f>IF(AND(VLOOKUP(J$1,test!$A$3:$F$32,5,FALSE) - VLOOKUP($A8,test!$A$3:$G$32,6,FALSE) &gt;= (test!$B$33)/1440),1,0)</f>
        <v>0</v>
      </c>
      <c r="K8" s="2">
        <f>IF(AND(VLOOKUP(K$1,test!$A$3:$F$32,5,FALSE) - VLOOKUP($A8,test!$A$3:$G$32,6,FALSE) &gt;= (test!$B$33)/1440),1,0)</f>
        <v>0</v>
      </c>
      <c r="L8" s="2">
        <f>IF(AND(VLOOKUP(L$1,test!$A$3:$F$32,5,FALSE) - VLOOKUP($A8,test!$A$3:$G$32,6,FALSE) &gt;= (test!$B$33)/1440),1,0)</f>
        <v>0</v>
      </c>
      <c r="M8" s="2">
        <f>IF(AND(VLOOKUP(M$1,test!$A$3:$F$32,5,FALSE) - VLOOKUP($A8,test!$A$3:$G$32,6,FALSE) &gt;= (test!$B$33)/1440),1,0)</f>
        <v>0</v>
      </c>
      <c r="N8" s="2">
        <f>IF(AND(VLOOKUP(N$1,test!$A$3:$F$32,5,FALSE) - VLOOKUP($A8,test!$A$3:$G$32,6,FALSE) &gt;= (test!$B$33)/1440),1,0)</f>
        <v>0</v>
      </c>
      <c r="O8" s="2">
        <f>IF(AND(VLOOKUP(O$1,test!$A$3:$F$32,5,FALSE) - VLOOKUP($A8,test!$A$3:$G$32,6,FALSE) &gt;= (test!$B$33)/1440),1,0)</f>
        <v>0</v>
      </c>
      <c r="P8" s="2">
        <f>IF(AND(VLOOKUP(P$1,test!$A$3:$F$32,5,FALSE) - VLOOKUP($A8,test!$A$3:$G$32,6,FALSE) &gt;= (test!$B$33)/1440),1,0)</f>
        <v>0</v>
      </c>
      <c r="Q8" s="2">
        <f>IF(AND(VLOOKUP(Q$1,test!$A$3:$F$32,5,FALSE) - VLOOKUP($A8,test!$A$3:$G$32,6,FALSE) &gt;= (test!$B$33)/1440),1,0)</f>
        <v>0</v>
      </c>
      <c r="R8" s="2">
        <f>IF(AND(VLOOKUP(R$1,test!$A$3:$F$32,5,FALSE) - VLOOKUP($A8,test!$A$3:$G$32,6,FALSE) &gt;= (test!$B$33)/1440),1,0)</f>
        <v>0</v>
      </c>
      <c r="S8" s="2">
        <f>IF(AND(VLOOKUP(S$1,test!$A$3:$F$32,5,FALSE) - VLOOKUP($A8,test!$A$3:$G$32,6,FALSE) &gt;= (test!$B$33)/1440),1,0)</f>
        <v>0</v>
      </c>
      <c r="T8" s="2">
        <f>IF(AND(VLOOKUP(T$1,test!$A$3:$F$32,5,FALSE) - VLOOKUP($A8,test!$A$3:$G$32,6,FALSE) &gt;= (test!$B$33)/1440),1,0)</f>
        <v>0</v>
      </c>
      <c r="U8" s="2">
        <f>IF(AND(VLOOKUP(U$1,test!$A$3:$F$32,5,FALSE) - VLOOKUP($A8,test!$A$3:$G$32,6,FALSE) &gt;= (test!$B$33)/1440),1,0)</f>
        <v>0</v>
      </c>
      <c r="V8" s="2">
        <f>IF(AND(VLOOKUP(V$1,test!$A$3:$F$32,5,FALSE) - VLOOKUP($A8,test!$A$3:$G$32,6,FALSE) &gt;= (test!$B$33)/1440),1,0)</f>
        <v>0</v>
      </c>
      <c r="W8" s="2">
        <f>IF(AND(VLOOKUP(W$1,test!$A$3:$F$32,5,FALSE) - VLOOKUP($A8,test!$A$3:$G$32,6,FALSE) &gt;= (test!$B$33)/1440),1,0)</f>
        <v>0</v>
      </c>
      <c r="X8" s="2">
        <f>IF(AND(VLOOKUP(X$1,test!$A$3:$F$32,5,FALSE) - VLOOKUP($A8,test!$A$3:$G$32,6,FALSE) &gt;= (test!$B$33)/1440),1,0)</f>
        <v>0</v>
      </c>
      <c r="Y8" s="2">
        <f>IF(AND(VLOOKUP(Y$1,test!$A$3:$F$32,5,FALSE) - VLOOKUP($A8,test!$A$3:$G$32,6,FALSE) &gt;= (test!$B$33)/1440),1,0)</f>
        <v>0</v>
      </c>
      <c r="Z8" s="2">
        <f>IF(AND(VLOOKUP(Z$1,test!$A$3:$F$32,5,FALSE) - VLOOKUP($A8,test!$A$3:$G$32,6,FALSE) &gt;= (test!$B$33)/1440),1,0)</f>
        <v>0</v>
      </c>
      <c r="AA8" s="2">
        <f>IF(AND(VLOOKUP(AA$1,test!$A$3:$F$32,5,FALSE) - VLOOKUP($A8,test!$A$3:$G$32,6,FALSE) &gt;= (test!$B$33)/1440),1,0)</f>
        <v>0</v>
      </c>
      <c r="AB8" s="2">
        <f>IF(AND(VLOOKUP(AB$1,test!$A$3:$F$32,5,FALSE) - VLOOKUP($A8,test!$A$3:$G$32,6,FALSE) &gt;= (test!$B$33)/1440),1,0)</f>
        <v>0</v>
      </c>
      <c r="AC8" s="2">
        <f>IF(AND(VLOOKUP(AC$1,test!$A$3:$F$32,5,FALSE) - VLOOKUP($A8,test!$A$3:$G$32,6,FALSE) &gt;= (test!$B$33)/1440),1,0)</f>
        <v>0</v>
      </c>
      <c r="AD8" s="2">
        <f>IF(AND(VLOOKUP(AD$1,test!$A$3:$F$32,5,FALSE) - VLOOKUP($A8,test!$A$3:$G$32,6,FALSE) &gt;= (test!$B$33)/1440),1,0)</f>
        <v>0</v>
      </c>
      <c r="AE8" s="2">
        <f>IF(AND(VLOOKUP(AE$1,test!$A$3:$F$32,5,FALSE) - VLOOKUP($A8,test!$A$3:$G$32,6,FALSE) &gt;= (test!$B$33)/1440),1,0)</f>
        <v>0</v>
      </c>
      <c r="AF8" s="2">
        <f>IF(AND(VLOOKUP(AF$1,test!$A$3:$F$32,5,FALSE) - VLOOKUP($A8,test!$A$3:$G$32,6,FALSE) &gt;= (test!$B$33)/1440),1,0)</f>
        <v>0</v>
      </c>
    </row>
    <row r="9" spans="1:32" x14ac:dyDescent="0.25">
      <c r="A9" t="s">
        <v>14</v>
      </c>
      <c r="B9">
        <v>0</v>
      </c>
      <c r="C9" s="2">
        <f>IF(AND(VLOOKUP(C$1,test!$A$3:$F$32,5,FALSE) - VLOOKUP($A9,test!$A$3:$G$32,6,FALSE) &gt;= (test!$B$33)/1440),1,0)</f>
        <v>0</v>
      </c>
      <c r="D9" s="2">
        <f>IF(AND(VLOOKUP(D$1,test!$A$3:$F$32,5,FALSE) - VLOOKUP($A9,test!$A$3:$G$32,6,FALSE) &gt;= (test!$B$33)/1440),1,0)</f>
        <v>0</v>
      </c>
      <c r="E9" s="2">
        <f>IF(AND(VLOOKUP(E$1,test!$A$3:$F$32,5,FALSE) - VLOOKUP($A9,test!$A$3:$G$32,6,FALSE) &gt;= (test!$B$33)/1440),1,0)</f>
        <v>0</v>
      </c>
      <c r="F9" s="2">
        <f>IF(AND(VLOOKUP(F$1,test!$A$3:$F$32,5,FALSE) - VLOOKUP($A9,test!$A$3:$G$32,6,FALSE) &gt;= (test!$B$33)/1440),1,0)</f>
        <v>0</v>
      </c>
      <c r="G9" s="2">
        <f>IF(AND(VLOOKUP(G$1,test!$A$3:$F$32,5,FALSE) - VLOOKUP($A9,test!$A$3:$G$32,6,FALSE) &gt;= (test!$B$33)/1440),1,0)</f>
        <v>0</v>
      </c>
      <c r="H9" s="2">
        <f>IF(AND(VLOOKUP(H$1,test!$A$3:$F$32,5,FALSE) - VLOOKUP($A9,test!$A$3:$G$32,6,FALSE) &gt;= (test!$B$33)/1440),1,0)</f>
        <v>0</v>
      </c>
      <c r="I9" s="2">
        <f>IF(AND(VLOOKUP(I$1,test!$A$3:$F$32,5,FALSE) - VLOOKUP($A9,test!$A$3:$G$32,6,FALSE) &gt;= (test!$B$33)/1440),1,0)</f>
        <v>0</v>
      </c>
      <c r="J9" s="2">
        <f>IF(AND(VLOOKUP(J$1,test!$A$3:$F$32,5,FALSE) - VLOOKUP($A9,test!$A$3:$G$32,6,FALSE) &gt;= (test!$B$33)/1440),1,0)</f>
        <v>0</v>
      </c>
      <c r="K9" s="2">
        <f>IF(AND(VLOOKUP(K$1,test!$A$3:$F$32,5,FALSE) - VLOOKUP($A9,test!$A$3:$G$32,6,FALSE) &gt;= (test!$B$33)/1440),1,0)</f>
        <v>0</v>
      </c>
      <c r="L9" s="2">
        <f>IF(AND(VLOOKUP(L$1,test!$A$3:$F$32,5,FALSE) - VLOOKUP($A9,test!$A$3:$G$32,6,FALSE) &gt;= (test!$B$33)/1440),1,0)</f>
        <v>0</v>
      </c>
      <c r="M9" s="2">
        <f>IF(AND(VLOOKUP(M$1,test!$A$3:$F$32,5,FALSE) - VLOOKUP($A9,test!$A$3:$G$32,6,FALSE) &gt;= (test!$B$33)/1440),1,0)</f>
        <v>0</v>
      </c>
      <c r="N9" s="2">
        <f>IF(AND(VLOOKUP(N$1,test!$A$3:$F$32,5,FALSE) - VLOOKUP($A9,test!$A$3:$G$32,6,FALSE) &gt;= (test!$B$33)/1440),1,0)</f>
        <v>0</v>
      </c>
      <c r="O9" s="2">
        <f>IF(AND(VLOOKUP(O$1,test!$A$3:$F$32,5,FALSE) - VLOOKUP($A9,test!$A$3:$G$32,6,FALSE) &gt;= (test!$B$33)/1440),1,0)</f>
        <v>0</v>
      </c>
      <c r="P9" s="2">
        <f>IF(AND(VLOOKUP(P$1,test!$A$3:$F$32,5,FALSE) - VLOOKUP($A9,test!$A$3:$G$32,6,FALSE) &gt;= (test!$B$33)/1440),1,0)</f>
        <v>0</v>
      </c>
      <c r="Q9" s="2">
        <f>IF(AND(VLOOKUP(Q$1,test!$A$3:$F$32,5,FALSE) - VLOOKUP($A9,test!$A$3:$G$32,6,FALSE) &gt;= (test!$B$33)/1440),1,0)</f>
        <v>0</v>
      </c>
      <c r="R9" s="2">
        <f>IF(AND(VLOOKUP(R$1,test!$A$3:$F$32,5,FALSE) - VLOOKUP($A9,test!$A$3:$G$32,6,FALSE) &gt;= (test!$B$33)/1440),1,0)</f>
        <v>0</v>
      </c>
      <c r="S9" s="2">
        <f>IF(AND(VLOOKUP(S$1,test!$A$3:$F$32,5,FALSE) - VLOOKUP($A9,test!$A$3:$G$32,6,FALSE) &gt;= (test!$B$33)/1440),1,0)</f>
        <v>0</v>
      </c>
      <c r="T9" s="2">
        <f>IF(AND(VLOOKUP(T$1,test!$A$3:$F$32,5,FALSE) - VLOOKUP($A9,test!$A$3:$G$32,6,FALSE) &gt;= (test!$B$33)/1440),1,0)</f>
        <v>0</v>
      </c>
      <c r="U9" s="2">
        <f>IF(AND(VLOOKUP(U$1,test!$A$3:$F$32,5,FALSE) - VLOOKUP($A9,test!$A$3:$G$32,6,FALSE) &gt;= (test!$B$33)/1440),1,0)</f>
        <v>0</v>
      </c>
      <c r="V9" s="2">
        <f>IF(AND(VLOOKUP(V$1,test!$A$3:$F$32,5,FALSE) - VLOOKUP($A9,test!$A$3:$G$32,6,FALSE) &gt;= (test!$B$33)/1440),1,0)</f>
        <v>0</v>
      </c>
      <c r="W9" s="2">
        <f>IF(AND(VLOOKUP(W$1,test!$A$3:$F$32,5,FALSE) - VLOOKUP($A9,test!$A$3:$G$32,6,FALSE) &gt;= (test!$B$33)/1440),1,0)</f>
        <v>0</v>
      </c>
      <c r="X9" s="2">
        <f>IF(AND(VLOOKUP(X$1,test!$A$3:$F$32,5,FALSE) - VLOOKUP($A9,test!$A$3:$G$32,6,FALSE) &gt;= (test!$B$33)/1440),1,0)</f>
        <v>0</v>
      </c>
      <c r="Y9" s="2">
        <f>IF(AND(VLOOKUP(Y$1,test!$A$3:$F$32,5,FALSE) - VLOOKUP($A9,test!$A$3:$G$32,6,FALSE) &gt;= (test!$B$33)/1440),1,0)</f>
        <v>0</v>
      </c>
      <c r="Z9" s="2">
        <f>IF(AND(VLOOKUP(Z$1,test!$A$3:$F$32,5,FALSE) - VLOOKUP($A9,test!$A$3:$G$32,6,FALSE) &gt;= (test!$B$33)/1440),1,0)</f>
        <v>0</v>
      </c>
      <c r="AA9" s="2">
        <f>IF(AND(VLOOKUP(AA$1,test!$A$3:$F$32,5,FALSE) - VLOOKUP($A9,test!$A$3:$G$32,6,FALSE) &gt;= (test!$B$33)/1440),1,0)</f>
        <v>0</v>
      </c>
      <c r="AB9" s="2">
        <f>IF(AND(VLOOKUP(AB$1,test!$A$3:$F$32,5,FALSE) - VLOOKUP($A9,test!$A$3:$G$32,6,FALSE) &gt;= (test!$B$33)/1440),1,0)</f>
        <v>0</v>
      </c>
      <c r="AC9" s="2">
        <f>IF(AND(VLOOKUP(AC$1,test!$A$3:$F$32,5,FALSE) - VLOOKUP($A9,test!$A$3:$G$32,6,FALSE) &gt;= (test!$B$33)/1440),1,0)</f>
        <v>0</v>
      </c>
      <c r="AD9" s="2">
        <f>IF(AND(VLOOKUP(AD$1,test!$A$3:$F$32,5,FALSE) - VLOOKUP($A9,test!$A$3:$G$32,6,FALSE) &gt;= (test!$B$33)/1440),1,0)</f>
        <v>0</v>
      </c>
      <c r="AE9" s="2">
        <f>IF(AND(VLOOKUP(AE$1,test!$A$3:$F$32,5,FALSE) - VLOOKUP($A9,test!$A$3:$G$32,6,FALSE) &gt;= (test!$B$33)/1440),1,0)</f>
        <v>0</v>
      </c>
      <c r="AF9" s="2">
        <f>IF(AND(VLOOKUP(AF$1,test!$A$3:$F$32,5,FALSE) - VLOOKUP($A9,test!$A$3:$G$32,6,FALSE) &gt;= (test!$B$33)/1440),1,0)</f>
        <v>0</v>
      </c>
    </row>
    <row r="10" spans="1:32" x14ac:dyDescent="0.25">
      <c r="A10" t="s">
        <v>15</v>
      </c>
      <c r="B10">
        <v>0</v>
      </c>
      <c r="C10" s="2">
        <f>IF(AND(VLOOKUP(C$1,test!$A$3:$F$32,5,FALSE) - VLOOKUP($A10,test!$A$3:$G$32,6,FALSE) &gt;= (test!$B$33)/1440),1,0)</f>
        <v>0</v>
      </c>
      <c r="D10" s="2">
        <f>IF(AND(VLOOKUP(D$1,test!$A$3:$F$32,5,FALSE) - VLOOKUP($A10,test!$A$3:$G$32,6,FALSE) &gt;= (test!$B$33)/1440),1,0)</f>
        <v>0</v>
      </c>
      <c r="E10" s="2">
        <f>IF(AND(VLOOKUP(E$1,test!$A$3:$F$32,5,FALSE) - VLOOKUP($A10,test!$A$3:$G$32,6,FALSE) &gt;= (test!$B$33)/1440),1,0)</f>
        <v>0</v>
      </c>
      <c r="F10" s="2">
        <f>IF(AND(VLOOKUP(F$1,test!$A$3:$F$32,5,FALSE) - VLOOKUP($A10,test!$A$3:$G$32,6,FALSE) &gt;= (test!$B$33)/1440),1,0)</f>
        <v>0</v>
      </c>
      <c r="G10" s="2">
        <f>IF(AND(VLOOKUP(G$1,test!$A$3:$F$32,5,FALSE) - VLOOKUP($A10,test!$A$3:$G$32,6,FALSE) &gt;= (test!$B$33)/1440),1,0)</f>
        <v>0</v>
      </c>
      <c r="H10" s="2">
        <f>IF(AND(VLOOKUP(H$1,test!$A$3:$F$32,5,FALSE) - VLOOKUP($A10,test!$A$3:$G$32,6,FALSE) &gt;= (test!$B$33)/1440),1,0)</f>
        <v>0</v>
      </c>
      <c r="I10" s="2">
        <f>IF(AND(VLOOKUP(I$1,test!$A$3:$F$32,5,FALSE) - VLOOKUP($A10,test!$A$3:$G$32,6,FALSE) &gt;= (test!$B$33)/1440),1,0)</f>
        <v>0</v>
      </c>
      <c r="J10" s="2">
        <f>IF(AND(VLOOKUP(J$1,test!$A$3:$F$32,5,FALSE) - VLOOKUP($A10,test!$A$3:$G$32,6,FALSE) &gt;= (test!$B$33)/1440),1,0)</f>
        <v>0</v>
      </c>
      <c r="K10" s="2">
        <f>IF(AND(VLOOKUP(K$1,test!$A$3:$F$32,5,FALSE) - VLOOKUP($A10,test!$A$3:$G$32,6,FALSE) &gt;= (test!$B$33)/1440),1,0)</f>
        <v>0</v>
      </c>
      <c r="L10" s="2">
        <f>IF(AND(VLOOKUP(L$1,test!$A$3:$F$32,5,FALSE) - VLOOKUP($A10,test!$A$3:$G$32,6,FALSE) &gt;= (test!$B$33)/1440),1,0)</f>
        <v>0</v>
      </c>
      <c r="M10" s="2">
        <f>IF(AND(VLOOKUP(M$1,test!$A$3:$F$32,5,FALSE) - VLOOKUP($A10,test!$A$3:$G$32,6,FALSE) &gt;= (test!$B$33)/1440),1,0)</f>
        <v>0</v>
      </c>
      <c r="N10" s="2">
        <f>IF(AND(VLOOKUP(N$1,test!$A$3:$F$32,5,FALSE) - VLOOKUP($A10,test!$A$3:$G$32,6,FALSE) &gt;= (test!$B$33)/1440),1,0)</f>
        <v>0</v>
      </c>
      <c r="O10" s="2">
        <f>IF(AND(VLOOKUP(O$1,test!$A$3:$F$32,5,FALSE) - VLOOKUP($A10,test!$A$3:$G$32,6,FALSE) &gt;= (test!$B$33)/1440),1,0)</f>
        <v>0</v>
      </c>
      <c r="P10" s="2">
        <f>IF(AND(VLOOKUP(P$1,test!$A$3:$F$32,5,FALSE) - VLOOKUP($A10,test!$A$3:$G$32,6,FALSE) &gt;= (test!$B$33)/1440),1,0)</f>
        <v>0</v>
      </c>
      <c r="Q10" s="2">
        <f>IF(AND(VLOOKUP(Q$1,test!$A$3:$F$32,5,FALSE) - VLOOKUP($A10,test!$A$3:$G$32,6,FALSE) &gt;= (test!$B$33)/1440),1,0)</f>
        <v>0</v>
      </c>
      <c r="R10" s="2">
        <f>IF(AND(VLOOKUP(R$1,test!$A$3:$F$32,5,FALSE) - VLOOKUP($A10,test!$A$3:$G$32,6,FALSE) &gt;= (test!$B$33)/1440),1,0)</f>
        <v>0</v>
      </c>
      <c r="S10" s="2">
        <f>IF(AND(VLOOKUP(S$1,test!$A$3:$F$32,5,FALSE) - VLOOKUP($A10,test!$A$3:$G$32,6,FALSE) &gt;= (test!$B$33)/1440),1,0)</f>
        <v>0</v>
      </c>
      <c r="T10" s="2">
        <f>IF(AND(VLOOKUP(T$1,test!$A$3:$F$32,5,FALSE) - VLOOKUP($A10,test!$A$3:$G$32,6,FALSE) &gt;= (test!$B$33)/1440),1,0)</f>
        <v>0</v>
      </c>
      <c r="U10" s="2">
        <f>IF(AND(VLOOKUP(U$1,test!$A$3:$F$32,5,FALSE) - VLOOKUP($A10,test!$A$3:$G$32,6,FALSE) &gt;= (test!$B$33)/1440),1,0)</f>
        <v>0</v>
      </c>
      <c r="V10" s="2">
        <f>IF(AND(VLOOKUP(V$1,test!$A$3:$F$32,5,FALSE) - VLOOKUP($A10,test!$A$3:$G$32,6,FALSE) &gt;= (test!$B$33)/1440),1,0)</f>
        <v>0</v>
      </c>
      <c r="W10" s="2">
        <f>IF(AND(VLOOKUP(W$1,test!$A$3:$F$32,5,FALSE) - VLOOKUP($A10,test!$A$3:$G$32,6,FALSE) &gt;= (test!$B$33)/1440),1,0)</f>
        <v>0</v>
      </c>
      <c r="X10" s="2">
        <f>IF(AND(VLOOKUP(X$1,test!$A$3:$F$32,5,FALSE) - VLOOKUP($A10,test!$A$3:$G$32,6,FALSE) &gt;= (test!$B$33)/1440),1,0)</f>
        <v>0</v>
      </c>
      <c r="Y10" s="2">
        <f>IF(AND(VLOOKUP(Y$1,test!$A$3:$F$32,5,FALSE) - VLOOKUP($A10,test!$A$3:$G$32,6,FALSE) &gt;= (test!$B$33)/1440),1,0)</f>
        <v>0</v>
      </c>
      <c r="Z10" s="2">
        <f>IF(AND(VLOOKUP(Z$1,test!$A$3:$F$32,5,FALSE) - VLOOKUP($A10,test!$A$3:$G$32,6,FALSE) &gt;= (test!$B$33)/1440),1,0)</f>
        <v>0</v>
      </c>
      <c r="AA10" s="2">
        <f>IF(AND(VLOOKUP(AA$1,test!$A$3:$F$32,5,FALSE) - VLOOKUP($A10,test!$A$3:$G$32,6,FALSE) &gt;= (test!$B$33)/1440),1,0)</f>
        <v>0</v>
      </c>
      <c r="AB10" s="2">
        <f>IF(AND(VLOOKUP(AB$1,test!$A$3:$F$32,5,FALSE) - VLOOKUP($A10,test!$A$3:$G$32,6,FALSE) &gt;= (test!$B$33)/1440),1,0)</f>
        <v>0</v>
      </c>
      <c r="AC10" s="2">
        <f>IF(AND(VLOOKUP(AC$1,test!$A$3:$F$32,5,FALSE) - VLOOKUP($A10,test!$A$3:$G$32,6,FALSE) &gt;= (test!$B$33)/1440),1,0)</f>
        <v>0</v>
      </c>
      <c r="AD10" s="2">
        <f>IF(AND(VLOOKUP(AD$1,test!$A$3:$F$32,5,FALSE) - VLOOKUP($A10,test!$A$3:$G$32,6,FALSE) &gt;= (test!$B$33)/1440),1,0)</f>
        <v>0</v>
      </c>
      <c r="AE10" s="2">
        <f>IF(AND(VLOOKUP(AE$1,test!$A$3:$F$32,5,FALSE) - VLOOKUP($A10,test!$A$3:$G$32,6,FALSE) &gt;= (test!$B$33)/1440),1,0)</f>
        <v>0</v>
      </c>
      <c r="AF10" s="2">
        <f>IF(AND(VLOOKUP(AF$1,test!$A$3:$F$32,5,FALSE) - VLOOKUP($A10,test!$A$3:$G$32,6,FALSE) &gt;= (test!$B$33)/1440),1,0)</f>
        <v>0</v>
      </c>
    </row>
    <row r="11" spans="1:32" x14ac:dyDescent="0.25">
      <c r="A11" t="s">
        <v>18</v>
      </c>
      <c r="B11">
        <v>0</v>
      </c>
      <c r="C11" s="2">
        <f>IF(AND(VLOOKUP(C$1,test!$A$3:$F$32,5,FALSE) - VLOOKUP($A11,test!$A$3:$G$32,6,FALSE) &gt;= (test!$B$33)/1440),1,0)</f>
        <v>0</v>
      </c>
      <c r="D11" s="2">
        <f>IF(AND(VLOOKUP(D$1,test!$A$3:$F$32,5,FALSE) - VLOOKUP($A11,test!$A$3:$G$32,6,FALSE) &gt;= (test!$B$33)/1440),1,0)</f>
        <v>0</v>
      </c>
      <c r="E11" s="2">
        <f>IF(AND(VLOOKUP(E$1,test!$A$3:$F$32,5,FALSE) - VLOOKUP($A11,test!$A$3:$G$32,6,FALSE) &gt;= (test!$B$33)/1440),1,0)</f>
        <v>1</v>
      </c>
      <c r="F11" s="2">
        <f>IF(AND(VLOOKUP(F$1,test!$A$3:$F$32,5,FALSE) - VLOOKUP($A11,test!$A$3:$G$32,6,FALSE) &gt;= (test!$B$33)/1440),1,0)</f>
        <v>1</v>
      </c>
      <c r="G11" s="2">
        <f>IF(AND(VLOOKUP(G$1,test!$A$3:$F$32,5,FALSE) - VLOOKUP($A11,test!$A$3:$G$32,6,FALSE) &gt;= (test!$B$33)/1440),1,0)</f>
        <v>1</v>
      </c>
      <c r="H11" s="2">
        <f>IF(AND(VLOOKUP(H$1,test!$A$3:$F$32,5,FALSE) - VLOOKUP($A11,test!$A$3:$G$32,6,FALSE) &gt;= (test!$B$33)/1440),1,0)</f>
        <v>1</v>
      </c>
      <c r="I11" s="2">
        <f>IF(AND(VLOOKUP(I$1,test!$A$3:$F$32,5,FALSE) - VLOOKUP($A11,test!$A$3:$G$32,6,FALSE) &gt;= (test!$B$33)/1440),1,0)</f>
        <v>1</v>
      </c>
      <c r="J11" s="2">
        <f>IF(AND(VLOOKUP(J$1,test!$A$3:$F$32,5,FALSE) - VLOOKUP($A11,test!$A$3:$G$32,6,FALSE) &gt;= (test!$B$33)/1440),1,0)</f>
        <v>1</v>
      </c>
      <c r="K11" s="2">
        <f>IF(AND(VLOOKUP(K$1,test!$A$3:$F$32,5,FALSE) - VLOOKUP($A11,test!$A$3:$G$32,6,FALSE) &gt;= (test!$B$33)/1440),1,0)</f>
        <v>0</v>
      </c>
      <c r="L11" s="2">
        <f>IF(AND(VLOOKUP(L$1,test!$A$3:$F$32,5,FALSE) - VLOOKUP($A11,test!$A$3:$G$32,6,FALSE) &gt;= (test!$B$33)/1440),1,0)</f>
        <v>0</v>
      </c>
      <c r="M11" s="2">
        <f>IF(AND(VLOOKUP(M$1,test!$A$3:$F$32,5,FALSE) - VLOOKUP($A11,test!$A$3:$G$32,6,FALSE) &gt;= (test!$B$33)/1440),1,0)</f>
        <v>1</v>
      </c>
      <c r="N11" s="2">
        <f>IF(AND(VLOOKUP(N$1,test!$A$3:$F$32,5,FALSE) - VLOOKUP($A11,test!$A$3:$G$32,6,FALSE) &gt;= (test!$B$33)/1440),1,0)</f>
        <v>1</v>
      </c>
      <c r="O11" s="2">
        <f>IF(AND(VLOOKUP(O$1,test!$A$3:$F$32,5,FALSE) - VLOOKUP($A11,test!$A$3:$G$32,6,FALSE) &gt;= (test!$B$33)/1440),1,0)</f>
        <v>1</v>
      </c>
      <c r="P11" s="2">
        <f>IF(AND(VLOOKUP(P$1,test!$A$3:$F$32,5,FALSE) - VLOOKUP($A11,test!$A$3:$G$32,6,FALSE) &gt;= (test!$B$33)/1440),1,0)</f>
        <v>0</v>
      </c>
      <c r="Q11" s="2">
        <f>IF(AND(VLOOKUP(Q$1,test!$A$3:$F$32,5,FALSE) - VLOOKUP($A11,test!$A$3:$G$32,6,FALSE) &gt;= (test!$B$33)/1440),1,0)</f>
        <v>0</v>
      </c>
      <c r="R11" s="2">
        <f>IF(AND(VLOOKUP(R$1,test!$A$3:$F$32,5,FALSE) - VLOOKUP($A11,test!$A$3:$G$32,6,FALSE) &gt;= (test!$B$33)/1440),1,0)</f>
        <v>0</v>
      </c>
      <c r="S11" s="2">
        <f>IF(AND(VLOOKUP(S$1,test!$A$3:$F$32,5,FALSE) - VLOOKUP($A11,test!$A$3:$G$32,6,FALSE) &gt;= (test!$B$33)/1440),1,0)</f>
        <v>0</v>
      </c>
      <c r="T11" s="2">
        <f>IF(AND(VLOOKUP(T$1,test!$A$3:$F$32,5,FALSE) - VLOOKUP($A11,test!$A$3:$G$32,6,FALSE) &gt;= (test!$B$33)/1440),1,0)</f>
        <v>1</v>
      </c>
      <c r="U11" s="2">
        <f>IF(AND(VLOOKUP(U$1,test!$A$3:$F$32,5,FALSE) - VLOOKUP($A11,test!$A$3:$G$32,6,FALSE) &gt;= (test!$B$33)/1440),1,0)</f>
        <v>1</v>
      </c>
      <c r="V11" s="2">
        <f>IF(AND(VLOOKUP(V$1,test!$A$3:$F$32,5,FALSE) - VLOOKUP($A11,test!$A$3:$G$32,6,FALSE) &gt;= (test!$B$33)/1440),1,0)</f>
        <v>1</v>
      </c>
      <c r="W11" s="2">
        <f>IF(AND(VLOOKUP(W$1,test!$A$3:$F$32,5,FALSE) - VLOOKUP($A11,test!$A$3:$G$32,6,FALSE) &gt;= (test!$B$33)/1440),1,0)</f>
        <v>1</v>
      </c>
      <c r="X11" s="2">
        <f>IF(AND(VLOOKUP(X$1,test!$A$3:$F$32,5,FALSE) - VLOOKUP($A11,test!$A$3:$G$32,6,FALSE) &gt;= (test!$B$33)/1440),1,0)</f>
        <v>1</v>
      </c>
      <c r="Y11" s="2">
        <f>IF(AND(VLOOKUP(Y$1,test!$A$3:$F$32,5,FALSE) - VLOOKUP($A11,test!$A$3:$G$32,6,FALSE) &gt;= (test!$B$33)/1440),1,0)</f>
        <v>0</v>
      </c>
      <c r="Z11" s="2">
        <f>IF(AND(VLOOKUP(Z$1,test!$A$3:$F$32,5,FALSE) - VLOOKUP($A11,test!$A$3:$G$32,6,FALSE) &gt;= (test!$B$33)/1440),1,0)</f>
        <v>0</v>
      </c>
      <c r="AA11" s="2">
        <f>IF(AND(VLOOKUP(AA$1,test!$A$3:$F$32,5,FALSE) - VLOOKUP($A11,test!$A$3:$G$32,6,FALSE) &gt;= (test!$B$33)/1440),1,0)</f>
        <v>1</v>
      </c>
      <c r="AB11" s="2">
        <f>IF(AND(VLOOKUP(AB$1,test!$A$3:$F$32,5,FALSE) - VLOOKUP($A11,test!$A$3:$G$32,6,FALSE) &gt;= (test!$B$33)/1440),1,0)</f>
        <v>1</v>
      </c>
      <c r="AC11" s="2">
        <f>IF(AND(VLOOKUP(AC$1,test!$A$3:$F$32,5,FALSE) - VLOOKUP($A11,test!$A$3:$G$32,6,FALSE) &gt;= (test!$B$33)/1440),1,0)</f>
        <v>1</v>
      </c>
      <c r="AD11" s="2">
        <f>IF(AND(VLOOKUP(AD$1,test!$A$3:$F$32,5,FALSE) - VLOOKUP($A11,test!$A$3:$G$32,6,FALSE) &gt;= (test!$B$33)/1440),1,0)</f>
        <v>0</v>
      </c>
      <c r="AE11" s="2">
        <f>IF(AND(VLOOKUP(AE$1,test!$A$3:$F$32,5,FALSE) - VLOOKUP($A11,test!$A$3:$G$32,6,FALSE) &gt;= (test!$B$33)/1440),1,0)</f>
        <v>1</v>
      </c>
      <c r="AF11" s="2">
        <f>IF(AND(VLOOKUP(AF$1,test!$A$3:$F$32,5,FALSE) - VLOOKUP($A11,test!$A$3:$G$32,6,FALSE) &gt;= (test!$B$33)/1440),1,0)</f>
        <v>1</v>
      </c>
    </row>
    <row r="12" spans="1:32" x14ac:dyDescent="0.25">
      <c r="A12" t="s">
        <v>20</v>
      </c>
      <c r="B12">
        <v>0</v>
      </c>
      <c r="C12" s="2">
        <f>IF(AND(VLOOKUP(C$1,test!$A$3:$F$32,5,FALSE) - VLOOKUP($A12,test!$A$3:$G$32,6,FALSE) &gt;= (test!$B$33)/1440),1,0)</f>
        <v>0</v>
      </c>
      <c r="D12" s="2">
        <f>IF(AND(VLOOKUP(D$1,test!$A$3:$F$32,5,FALSE) - VLOOKUP($A12,test!$A$3:$G$32,6,FALSE) &gt;= (test!$B$33)/1440),1,0)</f>
        <v>0</v>
      </c>
      <c r="E12" s="2">
        <f>IF(AND(VLOOKUP(E$1,test!$A$3:$F$32,5,FALSE) - VLOOKUP($A12,test!$A$3:$G$32,6,FALSE) &gt;= (test!$B$33)/1440),1,0)</f>
        <v>0</v>
      </c>
      <c r="F12" s="2">
        <f>IF(AND(VLOOKUP(F$1,test!$A$3:$F$32,5,FALSE) - VLOOKUP($A12,test!$A$3:$G$32,6,FALSE) &gt;= (test!$B$33)/1440),1,0)</f>
        <v>1</v>
      </c>
      <c r="G12" s="2">
        <f>IF(AND(VLOOKUP(G$1,test!$A$3:$F$32,5,FALSE) - VLOOKUP($A12,test!$A$3:$G$32,6,FALSE) &gt;= (test!$B$33)/1440),1,0)</f>
        <v>1</v>
      </c>
      <c r="H12" s="2">
        <f>IF(AND(VLOOKUP(H$1,test!$A$3:$F$32,5,FALSE) - VLOOKUP($A12,test!$A$3:$G$32,6,FALSE) &gt;= (test!$B$33)/1440),1,0)</f>
        <v>1</v>
      </c>
      <c r="I12" s="2">
        <f>IF(AND(VLOOKUP(I$1,test!$A$3:$F$32,5,FALSE) - VLOOKUP($A12,test!$A$3:$G$32,6,FALSE) &gt;= (test!$B$33)/1440),1,0)</f>
        <v>1</v>
      </c>
      <c r="J12" s="2">
        <f>IF(AND(VLOOKUP(J$1,test!$A$3:$F$32,5,FALSE) - VLOOKUP($A12,test!$A$3:$G$32,6,FALSE) &gt;= (test!$B$33)/1440),1,0)</f>
        <v>1</v>
      </c>
      <c r="K12" s="2">
        <f>IF(AND(VLOOKUP(K$1,test!$A$3:$F$32,5,FALSE) - VLOOKUP($A12,test!$A$3:$G$32,6,FALSE) &gt;= (test!$B$33)/1440),1,0)</f>
        <v>0</v>
      </c>
      <c r="L12" s="2">
        <f>IF(AND(VLOOKUP(L$1,test!$A$3:$F$32,5,FALSE) - VLOOKUP($A12,test!$A$3:$G$32,6,FALSE) &gt;= (test!$B$33)/1440),1,0)</f>
        <v>0</v>
      </c>
      <c r="M12" s="2">
        <f>IF(AND(VLOOKUP(M$1,test!$A$3:$F$32,5,FALSE) - VLOOKUP($A12,test!$A$3:$G$32,6,FALSE) &gt;= (test!$B$33)/1440),1,0)</f>
        <v>0</v>
      </c>
      <c r="N12" s="2">
        <f>IF(AND(VLOOKUP(N$1,test!$A$3:$F$32,5,FALSE) - VLOOKUP($A12,test!$A$3:$G$32,6,FALSE) &gt;= (test!$B$33)/1440),1,0)</f>
        <v>1</v>
      </c>
      <c r="O12" s="2">
        <f>IF(AND(VLOOKUP(O$1,test!$A$3:$F$32,5,FALSE) - VLOOKUP($A12,test!$A$3:$G$32,6,FALSE) &gt;= (test!$B$33)/1440),1,0)</f>
        <v>1</v>
      </c>
      <c r="P12" s="2">
        <f>IF(AND(VLOOKUP(P$1,test!$A$3:$F$32,5,FALSE) - VLOOKUP($A12,test!$A$3:$G$32,6,FALSE) &gt;= (test!$B$33)/1440),1,0)</f>
        <v>0</v>
      </c>
      <c r="Q12" s="2">
        <f>IF(AND(VLOOKUP(Q$1,test!$A$3:$F$32,5,FALSE) - VLOOKUP($A12,test!$A$3:$G$32,6,FALSE) &gt;= (test!$B$33)/1440),1,0)</f>
        <v>0</v>
      </c>
      <c r="R12" s="2">
        <f>IF(AND(VLOOKUP(R$1,test!$A$3:$F$32,5,FALSE) - VLOOKUP($A12,test!$A$3:$G$32,6,FALSE) &gt;= (test!$B$33)/1440),1,0)</f>
        <v>0</v>
      </c>
      <c r="S12" s="2">
        <f>IF(AND(VLOOKUP(S$1,test!$A$3:$F$32,5,FALSE) - VLOOKUP($A12,test!$A$3:$G$32,6,FALSE) &gt;= (test!$B$33)/1440),1,0)</f>
        <v>0</v>
      </c>
      <c r="T12" s="2">
        <f>IF(AND(VLOOKUP(T$1,test!$A$3:$F$32,5,FALSE) - VLOOKUP($A12,test!$A$3:$G$32,6,FALSE) &gt;= (test!$B$33)/1440),1,0)</f>
        <v>0</v>
      </c>
      <c r="U12" s="2">
        <f>IF(AND(VLOOKUP(U$1,test!$A$3:$F$32,5,FALSE) - VLOOKUP($A12,test!$A$3:$G$32,6,FALSE) &gt;= (test!$B$33)/1440),1,0)</f>
        <v>1</v>
      </c>
      <c r="V12" s="2">
        <f>IF(AND(VLOOKUP(V$1,test!$A$3:$F$32,5,FALSE) - VLOOKUP($A12,test!$A$3:$G$32,6,FALSE) &gt;= (test!$B$33)/1440),1,0)</f>
        <v>1</v>
      </c>
      <c r="W12" s="2">
        <f>IF(AND(VLOOKUP(W$1,test!$A$3:$F$32,5,FALSE) - VLOOKUP($A12,test!$A$3:$G$32,6,FALSE) &gt;= (test!$B$33)/1440),1,0)</f>
        <v>1</v>
      </c>
      <c r="X12" s="2">
        <f>IF(AND(VLOOKUP(X$1,test!$A$3:$F$32,5,FALSE) - VLOOKUP($A12,test!$A$3:$G$32,6,FALSE) &gt;= (test!$B$33)/1440),1,0)</f>
        <v>1</v>
      </c>
      <c r="Y12" s="2">
        <f>IF(AND(VLOOKUP(Y$1,test!$A$3:$F$32,5,FALSE) - VLOOKUP($A12,test!$A$3:$G$32,6,FALSE) &gt;= (test!$B$33)/1440),1,0)</f>
        <v>0</v>
      </c>
      <c r="Z12" s="2">
        <f>IF(AND(VLOOKUP(Z$1,test!$A$3:$F$32,5,FALSE) - VLOOKUP($A12,test!$A$3:$G$32,6,FALSE) &gt;= (test!$B$33)/1440),1,0)</f>
        <v>0</v>
      </c>
      <c r="AA12" s="2">
        <f>IF(AND(VLOOKUP(AA$1,test!$A$3:$F$32,5,FALSE) - VLOOKUP($A12,test!$A$3:$G$32,6,FALSE) &gt;= (test!$B$33)/1440),1,0)</f>
        <v>0</v>
      </c>
      <c r="AB12" s="2">
        <f>IF(AND(VLOOKUP(AB$1,test!$A$3:$F$32,5,FALSE) - VLOOKUP($A12,test!$A$3:$G$32,6,FALSE) &gt;= (test!$B$33)/1440),1,0)</f>
        <v>1</v>
      </c>
      <c r="AC12" s="2">
        <f>IF(AND(VLOOKUP(AC$1,test!$A$3:$F$32,5,FALSE) - VLOOKUP($A12,test!$A$3:$G$32,6,FALSE) &gt;= (test!$B$33)/1440),1,0)</f>
        <v>1</v>
      </c>
      <c r="AD12" s="2">
        <f>IF(AND(VLOOKUP(AD$1,test!$A$3:$F$32,5,FALSE) - VLOOKUP($A12,test!$A$3:$G$32,6,FALSE) &gt;= (test!$B$33)/1440),1,0)</f>
        <v>0</v>
      </c>
      <c r="AE12" s="2">
        <f>IF(AND(VLOOKUP(AE$1,test!$A$3:$F$32,5,FALSE) - VLOOKUP($A12,test!$A$3:$G$32,6,FALSE) &gt;= (test!$B$33)/1440),1,0)</f>
        <v>0</v>
      </c>
      <c r="AF12" s="2">
        <f>IF(AND(VLOOKUP(AF$1,test!$A$3:$F$32,5,FALSE) - VLOOKUP($A12,test!$A$3:$G$32,6,FALSE) &gt;= (test!$B$33)/1440),1,0)</f>
        <v>0</v>
      </c>
    </row>
    <row r="13" spans="1:32" x14ac:dyDescent="0.25">
      <c r="A13" t="s">
        <v>21</v>
      </c>
      <c r="B13">
        <v>0</v>
      </c>
      <c r="C13" s="2">
        <f>IF(AND(VLOOKUP(C$1,test!$A$3:$F$32,5,FALSE) - VLOOKUP($A13,test!$A$3:$G$32,6,FALSE) &gt;= (test!$B$33)/1440),1,0)</f>
        <v>0</v>
      </c>
      <c r="D13" s="2">
        <f>IF(AND(VLOOKUP(D$1,test!$A$3:$F$32,5,FALSE) - VLOOKUP($A13,test!$A$3:$G$32,6,FALSE) &gt;= (test!$B$33)/1440),1,0)</f>
        <v>0</v>
      </c>
      <c r="E13" s="2">
        <f>IF(AND(VLOOKUP(E$1,test!$A$3:$F$32,5,FALSE) - VLOOKUP($A13,test!$A$3:$G$32,6,FALSE) &gt;= (test!$B$33)/1440),1,0)</f>
        <v>0</v>
      </c>
      <c r="F13" s="2">
        <f>IF(AND(VLOOKUP(F$1,test!$A$3:$F$32,5,FALSE) - VLOOKUP($A13,test!$A$3:$G$32,6,FALSE) &gt;= (test!$B$33)/1440),1,0)</f>
        <v>0</v>
      </c>
      <c r="G13" s="2">
        <f>IF(AND(VLOOKUP(G$1,test!$A$3:$F$32,5,FALSE) - VLOOKUP($A13,test!$A$3:$G$32,6,FALSE) &gt;= (test!$B$33)/1440),1,0)</f>
        <v>0</v>
      </c>
      <c r="H13" s="2">
        <f>IF(AND(VLOOKUP(H$1,test!$A$3:$F$32,5,FALSE) - VLOOKUP($A13,test!$A$3:$G$32,6,FALSE) &gt;= (test!$B$33)/1440),1,0)</f>
        <v>1</v>
      </c>
      <c r="I13" s="2">
        <f>IF(AND(VLOOKUP(I$1,test!$A$3:$F$32,5,FALSE) - VLOOKUP($A13,test!$A$3:$G$32,6,FALSE) &gt;= (test!$B$33)/1440),1,0)</f>
        <v>1</v>
      </c>
      <c r="J13" s="2">
        <f>IF(AND(VLOOKUP(J$1,test!$A$3:$F$32,5,FALSE) - VLOOKUP($A13,test!$A$3:$G$32,6,FALSE) &gt;= (test!$B$33)/1440),1,0)</f>
        <v>1</v>
      </c>
      <c r="K13" s="2">
        <f>IF(AND(VLOOKUP(K$1,test!$A$3:$F$32,5,FALSE) - VLOOKUP($A13,test!$A$3:$G$32,6,FALSE) &gt;= (test!$B$33)/1440),1,0)</f>
        <v>0</v>
      </c>
      <c r="L13" s="2">
        <f>IF(AND(VLOOKUP(L$1,test!$A$3:$F$32,5,FALSE) - VLOOKUP($A13,test!$A$3:$G$32,6,FALSE) &gt;= (test!$B$33)/1440),1,0)</f>
        <v>0</v>
      </c>
      <c r="M13" s="2">
        <f>IF(AND(VLOOKUP(M$1,test!$A$3:$F$32,5,FALSE) - VLOOKUP($A13,test!$A$3:$G$32,6,FALSE) &gt;= (test!$B$33)/1440),1,0)</f>
        <v>0</v>
      </c>
      <c r="N13" s="2">
        <f>IF(AND(VLOOKUP(N$1,test!$A$3:$F$32,5,FALSE) - VLOOKUP($A13,test!$A$3:$G$32,6,FALSE) &gt;= (test!$B$33)/1440),1,0)</f>
        <v>1</v>
      </c>
      <c r="O13" s="2">
        <f>IF(AND(VLOOKUP(O$1,test!$A$3:$F$32,5,FALSE) - VLOOKUP($A13,test!$A$3:$G$32,6,FALSE) &gt;= (test!$B$33)/1440),1,0)</f>
        <v>1</v>
      </c>
      <c r="P13" s="2">
        <f>IF(AND(VLOOKUP(P$1,test!$A$3:$F$32,5,FALSE) - VLOOKUP($A13,test!$A$3:$G$32,6,FALSE) &gt;= (test!$B$33)/1440),1,0)</f>
        <v>0</v>
      </c>
      <c r="Q13" s="2">
        <f>IF(AND(VLOOKUP(Q$1,test!$A$3:$F$32,5,FALSE) - VLOOKUP($A13,test!$A$3:$G$32,6,FALSE) &gt;= (test!$B$33)/1440),1,0)</f>
        <v>0</v>
      </c>
      <c r="R13" s="2">
        <f>IF(AND(VLOOKUP(R$1,test!$A$3:$F$32,5,FALSE) - VLOOKUP($A13,test!$A$3:$G$32,6,FALSE) &gt;= (test!$B$33)/1440),1,0)</f>
        <v>0</v>
      </c>
      <c r="S13" s="2">
        <f>IF(AND(VLOOKUP(S$1,test!$A$3:$F$32,5,FALSE) - VLOOKUP($A13,test!$A$3:$G$32,6,FALSE) &gt;= (test!$B$33)/1440),1,0)</f>
        <v>0</v>
      </c>
      <c r="T13" s="2">
        <f>IF(AND(VLOOKUP(T$1,test!$A$3:$F$32,5,FALSE) - VLOOKUP($A13,test!$A$3:$G$32,6,FALSE) &gt;= (test!$B$33)/1440),1,0)</f>
        <v>0</v>
      </c>
      <c r="U13" s="2">
        <f>IF(AND(VLOOKUP(U$1,test!$A$3:$F$32,5,FALSE) - VLOOKUP($A13,test!$A$3:$G$32,6,FALSE) &gt;= (test!$B$33)/1440),1,0)</f>
        <v>0</v>
      </c>
      <c r="V13" s="2">
        <f>IF(AND(VLOOKUP(V$1,test!$A$3:$F$32,5,FALSE) - VLOOKUP($A13,test!$A$3:$G$32,6,FALSE) &gt;= (test!$B$33)/1440),1,0)</f>
        <v>0</v>
      </c>
      <c r="W13" s="2">
        <f>IF(AND(VLOOKUP(W$1,test!$A$3:$F$32,5,FALSE) - VLOOKUP($A13,test!$A$3:$G$32,6,FALSE) &gt;= (test!$B$33)/1440),1,0)</f>
        <v>1</v>
      </c>
      <c r="X13" s="2">
        <f>IF(AND(VLOOKUP(X$1,test!$A$3:$F$32,5,FALSE) - VLOOKUP($A13,test!$A$3:$G$32,6,FALSE) &gt;= (test!$B$33)/1440),1,0)</f>
        <v>1</v>
      </c>
      <c r="Y13" s="2">
        <f>IF(AND(VLOOKUP(Y$1,test!$A$3:$F$32,5,FALSE) - VLOOKUP($A13,test!$A$3:$G$32,6,FALSE) &gt;= (test!$B$33)/1440),1,0)</f>
        <v>0</v>
      </c>
      <c r="Z13" s="2">
        <f>IF(AND(VLOOKUP(Z$1,test!$A$3:$F$32,5,FALSE) - VLOOKUP($A13,test!$A$3:$G$32,6,FALSE) &gt;= (test!$B$33)/1440),1,0)</f>
        <v>0</v>
      </c>
      <c r="AA13" s="2">
        <f>IF(AND(VLOOKUP(AA$1,test!$A$3:$F$32,5,FALSE) - VLOOKUP($A13,test!$A$3:$G$32,6,FALSE) &gt;= (test!$B$33)/1440),1,0)</f>
        <v>0</v>
      </c>
      <c r="AB13" s="2">
        <f>IF(AND(VLOOKUP(AB$1,test!$A$3:$F$32,5,FALSE) - VLOOKUP($A13,test!$A$3:$G$32,6,FALSE) &gt;= (test!$B$33)/1440),1,0)</f>
        <v>0</v>
      </c>
      <c r="AC13" s="2">
        <f>IF(AND(VLOOKUP(AC$1,test!$A$3:$F$32,5,FALSE) - VLOOKUP($A13,test!$A$3:$G$32,6,FALSE) &gt;= (test!$B$33)/1440),1,0)</f>
        <v>1</v>
      </c>
      <c r="AD13" s="2">
        <f>IF(AND(VLOOKUP(AD$1,test!$A$3:$F$32,5,FALSE) - VLOOKUP($A13,test!$A$3:$G$32,6,FALSE) &gt;= (test!$B$33)/1440),1,0)</f>
        <v>0</v>
      </c>
      <c r="AE13" s="2">
        <f>IF(AND(VLOOKUP(AE$1,test!$A$3:$F$32,5,FALSE) - VLOOKUP($A13,test!$A$3:$G$32,6,FALSE) &gt;= (test!$B$33)/1440),1,0)</f>
        <v>0</v>
      </c>
      <c r="AF13" s="2">
        <f>IF(AND(VLOOKUP(AF$1,test!$A$3:$F$32,5,FALSE) - VLOOKUP($A13,test!$A$3:$G$32,6,FALSE) &gt;= (test!$B$33)/1440),1,0)</f>
        <v>0</v>
      </c>
    </row>
    <row r="14" spans="1:32" x14ac:dyDescent="0.25">
      <c r="A14" t="s">
        <v>22</v>
      </c>
      <c r="B14">
        <v>0</v>
      </c>
      <c r="C14" s="2">
        <f>IF(AND(VLOOKUP(C$1,test!$A$3:$F$32,5,FALSE) - VLOOKUP($A14,test!$A$3:$G$32,6,FALSE) &gt;= (test!$B$33)/1440),1,0)</f>
        <v>0</v>
      </c>
      <c r="D14" s="2">
        <f>IF(AND(VLOOKUP(D$1,test!$A$3:$F$32,5,FALSE) - VLOOKUP($A14,test!$A$3:$G$32,6,FALSE) &gt;= (test!$B$33)/1440),1,0)</f>
        <v>0</v>
      </c>
      <c r="E14" s="2">
        <f>IF(AND(VLOOKUP(E$1,test!$A$3:$F$32,5,FALSE) - VLOOKUP($A14,test!$A$3:$G$32,6,FALSE) &gt;= (test!$B$33)/1440),1,0)</f>
        <v>0</v>
      </c>
      <c r="F14" s="2">
        <f>IF(AND(VLOOKUP(F$1,test!$A$3:$F$32,5,FALSE) - VLOOKUP($A14,test!$A$3:$G$32,6,FALSE) &gt;= (test!$B$33)/1440),1,0)</f>
        <v>0</v>
      </c>
      <c r="G14" s="2">
        <f>IF(AND(VLOOKUP(G$1,test!$A$3:$F$32,5,FALSE) - VLOOKUP($A14,test!$A$3:$G$32,6,FALSE) &gt;= (test!$B$33)/1440),1,0)</f>
        <v>0</v>
      </c>
      <c r="H14" s="2">
        <f>IF(AND(VLOOKUP(H$1,test!$A$3:$F$32,5,FALSE) - VLOOKUP($A14,test!$A$3:$G$32,6,FALSE) &gt;= (test!$B$33)/1440),1,0)</f>
        <v>0</v>
      </c>
      <c r="I14" s="2">
        <f>IF(AND(VLOOKUP(I$1,test!$A$3:$F$32,5,FALSE) - VLOOKUP($A14,test!$A$3:$G$32,6,FALSE) &gt;= (test!$B$33)/1440),1,0)</f>
        <v>0</v>
      </c>
      <c r="J14" s="2">
        <f>IF(AND(VLOOKUP(J$1,test!$A$3:$F$32,5,FALSE) - VLOOKUP($A14,test!$A$3:$G$32,6,FALSE) &gt;= (test!$B$33)/1440),1,0)</f>
        <v>0</v>
      </c>
      <c r="K14" s="2">
        <f>IF(AND(VLOOKUP(K$1,test!$A$3:$F$32,5,FALSE) - VLOOKUP($A14,test!$A$3:$G$32,6,FALSE) &gt;= (test!$B$33)/1440),1,0)</f>
        <v>0</v>
      </c>
      <c r="L14" s="2">
        <f>IF(AND(VLOOKUP(L$1,test!$A$3:$F$32,5,FALSE) - VLOOKUP($A14,test!$A$3:$G$32,6,FALSE) &gt;= (test!$B$33)/1440),1,0)</f>
        <v>0</v>
      </c>
      <c r="M14" s="2">
        <f>IF(AND(VLOOKUP(M$1,test!$A$3:$F$32,5,FALSE) - VLOOKUP($A14,test!$A$3:$G$32,6,FALSE) &gt;= (test!$B$33)/1440),1,0)</f>
        <v>0</v>
      </c>
      <c r="N14" s="2">
        <f>IF(AND(VLOOKUP(N$1,test!$A$3:$F$32,5,FALSE) - VLOOKUP($A14,test!$A$3:$G$32,6,FALSE) &gt;= (test!$B$33)/1440),1,0)</f>
        <v>0</v>
      </c>
      <c r="O14" s="2">
        <f>IF(AND(VLOOKUP(O$1,test!$A$3:$F$32,5,FALSE) - VLOOKUP($A14,test!$A$3:$G$32,6,FALSE) &gt;= (test!$B$33)/1440),1,0)</f>
        <v>0</v>
      </c>
      <c r="P14" s="2">
        <f>IF(AND(VLOOKUP(P$1,test!$A$3:$F$32,5,FALSE) - VLOOKUP($A14,test!$A$3:$G$32,6,FALSE) &gt;= (test!$B$33)/1440),1,0)</f>
        <v>0</v>
      </c>
      <c r="Q14" s="2">
        <f>IF(AND(VLOOKUP(Q$1,test!$A$3:$F$32,5,FALSE) - VLOOKUP($A14,test!$A$3:$G$32,6,FALSE) &gt;= (test!$B$33)/1440),1,0)</f>
        <v>0</v>
      </c>
      <c r="R14" s="2">
        <f>IF(AND(VLOOKUP(R$1,test!$A$3:$F$32,5,FALSE) - VLOOKUP($A14,test!$A$3:$G$32,6,FALSE) &gt;= (test!$B$33)/1440),1,0)</f>
        <v>0</v>
      </c>
      <c r="S14" s="2">
        <f>IF(AND(VLOOKUP(S$1,test!$A$3:$F$32,5,FALSE) - VLOOKUP($A14,test!$A$3:$G$32,6,FALSE) &gt;= (test!$B$33)/1440),1,0)</f>
        <v>0</v>
      </c>
      <c r="T14" s="2">
        <f>IF(AND(VLOOKUP(T$1,test!$A$3:$F$32,5,FALSE) - VLOOKUP($A14,test!$A$3:$G$32,6,FALSE) &gt;= (test!$B$33)/1440),1,0)</f>
        <v>0</v>
      </c>
      <c r="U14" s="2">
        <f>IF(AND(VLOOKUP(U$1,test!$A$3:$F$32,5,FALSE) - VLOOKUP($A14,test!$A$3:$G$32,6,FALSE) &gt;= (test!$B$33)/1440),1,0)</f>
        <v>0</v>
      </c>
      <c r="V14" s="2">
        <f>IF(AND(VLOOKUP(V$1,test!$A$3:$F$32,5,FALSE) - VLOOKUP($A14,test!$A$3:$G$32,6,FALSE) &gt;= (test!$B$33)/1440),1,0)</f>
        <v>0</v>
      </c>
      <c r="W14" s="2">
        <f>IF(AND(VLOOKUP(W$1,test!$A$3:$F$32,5,FALSE) - VLOOKUP($A14,test!$A$3:$G$32,6,FALSE) &gt;= (test!$B$33)/1440),1,0)</f>
        <v>0</v>
      </c>
      <c r="X14" s="2">
        <f>IF(AND(VLOOKUP(X$1,test!$A$3:$F$32,5,FALSE) - VLOOKUP($A14,test!$A$3:$G$32,6,FALSE) &gt;= (test!$B$33)/1440),1,0)</f>
        <v>0</v>
      </c>
      <c r="Y14" s="2">
        <f>IF(AND(VLOOKUP(Y$1,test!$A$3:$F$32,5,FALSE) - VLOOKUP($A14,test!$A$3:$G$32,6,FALSE) &gt;= (test!$B$33)/1440),1,0)</f>
        <v>0</v>
      </c>
      <c r="Z14" s="2">
        <f>IF(AND(VLOOKUP(Z$1,test!$A$3:$F$32,5,FALSE) - VLOOKUP($A14,test!$A$3:$G$32,6,FALSE) &gt;= (test!$B$33)/1440),1,0)</f>
        <v>0</v>
      </c>
      <c r="AA14" s="2">
        <f>IF(AND(VLOOKUP(AA$1,test!$A$3:$F$32,5,FALSE) - VLOOKUP($A14,test!$A$3:$G$32,6,FALSE) &gt;= (test!$B$33)/1440),1,0)</f>
        <v>0</v>
      </c>
      <c r="AB14" s="2">
        <f>IF(AND(VLOOKUP(AB$1,test!$A$3:$F$32,5,FALSE) - VLOOKUP($A14,test!$A$3:$G$32,6,FALSE) &gt;= (test!$B$33)/1440),1,0)</f>
        <v>0</v>
      </c>
      <c r="AC14" s="2">
        <f>IF(AND(VLOOKUP(AC$1,test!$A$3:$F$32,5,FALSE) - VLOOKUP($A14,test!$A$3:$G$32,6,FALSE) &gt;= (test!$B$33)/1440),1,0)</f>
        <v>0</v>
      </c>
      <c r="AD14" s="2">
        <f>IF(AND(VLOOKUP(AD$1,test!$A$3:$F$32,5,FALSE) - VLOOKUP($A14,test!$A$3:$G$32,6,FALSE) &gt;= (test!$B$33)/1440),1,0)</f>
        <v>0</v>
      </c>
      <c r="AE14" s="2">
        <f>IF(AND(VLOOKUP(AE$1,test!$A$3:$F$32,5,FALSE) - VLOOKUP($A14,test!$A$3:$G$32,6,FALSE) &gt;= (test!$B$33)/1440),1,0)</f>
        <v>0</v>
      </c>
      <c r="AF14" s="2">
        <f>IF(AND(VLOOKUP(AF$1,test!$A$3:$F$32,5,FALSE) - VLOOKUP($A14,test!$A$3:$G$32,6,FALSE) &gt;= (test!$B$33)/1440),1,0)</f>
        <v>0</v>
      </c>
    </row>
    <row r="15" spans="1:32" x14ac:dyDescent="0.25">
      <c r="A15" t="s">
        <v>23</v>
      </c>
      <c r="B15">
        <v>0</v>
      </c>
      <c r="C15" s="2">
        <f>IF(AND(VLOOKUP(C$1,test!$A$3:$F$32,5,FALSE) - VLOOKUP($A15,test!$A$3:$G$32,6,FALSE) &gt;= (test!$B$33)/1440),1,0)</f>
        <v>0</v>
      </c>
      <c r="D15" s="2">
        <f>IF(AND(VLOOKUP(D$1,test!$A$3:$F$32,5,FALSE) - VLOOKUP($A15,test!$A$3:$G$32,6,FALSE) &gt;= (test!$B$33)/1440),1,0)</f>
        <v>0</v>
      </c>
      <c r="E15" s="2">
        <f>IF(AND(VLOOKUP(E$1,test!$A$3:$F$32,5,FALSE) - VLOOKUP($A15,test!$A$3:$G$32,6,FALSE) &gt;= (test!$B$33)/1440),1,0)</f>
        <v>0</v>
      </c>
      <c r="F15" s="2">
        <f>IF(AND(VLOOKUP(F$1,test!$A$3:$F$32,5,FALSE) - VLOOKUP($A15,test!$A$3:$G$32,6,FALSE) &gt;= (test!$B$33)/1440),1,0)</f>
        <v>0</v>
      </c>
      <c r="G15" s="2">
        <f>IF(AND(VLOOKUP(G$1,test!$A$3:$F$32,5,FALSE) - VLOOKUP($A15,test!$A$3:$G$32,6,FALSE) &gt;= (test!$B$33)/1440),1,0)</f>
        <v>0</v>
      </c>
      <c r="H15" s="2">
        <f>IF(AND(VLOOKUP(H$1,test!$A$3:$F$32,5,FALSE) - VLOOKUP($A15,test!$A$3:$G$32,6,FALSE) &gt;= (test!$B$33)/1440),1,0)</f>
        <v>0</v>
      </c>
      <c r="I15" s="2">
        <f>IF(AND(VLOOKUP(I$1,test!$A$3:$F$32,5,FALSE) - VLOOKUP($A15,test!$A$3:$G$32,6,FALSE) &gt;= (test!$B$33)/1440),1,0)</f>
        <v>0</v>
      </c>
      <c r="J15" s="2">
        <f>IF(AND(VLOOKUP(J$1,test!$A$3:$F$32,5,FALSE) - VLOOKUP($A15,test!$A$3:$G$32,6,FALSE) &gt;= (test!$B$33)/1440),1,0)</f>
        <v>0</v>
      </c>
      <c r="K15" s="2">
        <f>IF(AND(VLOOKUP(K$1,test!$A$3:$F$32,5,FALSE) - VLOOKUP($A15,test!$A$3:$G$32,6,FALSE) &gt;= (test!$B$33)/1440),1,0)</f>
        <v>0</v>
      </c>
      <c r="L15" s="2">
        <f>IF(AND(VLOOKUP(L$1,test!$A$3:$F$32,5,FALSE) - VLOOKUP($A15,test!$A$3:$G$32,6,FALSE) &gt;= (test!$B$33)/1440),1,0)</f>
        <v>0</v>
      </c>
      <c r="M15" s="2">
        <f>IF(AND(VLOOKUP(M$1,test!$A$3:$F$32,5,FALSE) - VLOOKUP($A15,test!$A$3:$G$32,6,FALSE) &gt;= (test!$B$33)/1440),1,0)</f>
        <v>0</v>
      </c>
      <c r="N15" s="2">
        <f>IF(AND(VLOOKUP(N$1,test!$A$3:$F$32,5,FALSE) - VLOOKUP($A15,test!$A$3:$G$32,6,FALSE) &gt;= (test!$B$33)/1440),1,0)</f>
        <v>0</v>
      </c>
      <c r="O15" s="2">
        <f>IF(AND(VLOOKUP(O$1,test!$A$3:$F$32,5,FALSE) - VLOOKUP($A15,test!$A$3:$G$32,6,FALSE) &gt;= (test!$B$33)/1440),1,0)</f>
        <v>0</v>
      </c>
      <c r="P15" s="2">
        <f>IF(AND(VLOOKUP(P$1,test!$A$3:$F$32,5,FALSE) - VLOOKUP($A15,test!$A$3:$G$32,6,FALSE) &gt;= (test!$B$33)/1440),1,0)</f>
        <v>0</v>
      </c>
      <c r="Q15" s="2">
        <f>IF(AND(VLOOKUP(Q$1,test!$A$3:$F$32,5,FALSE) - VLOOKUP($A15,test!$A$3:$G$32,6,FALSE) &gt;= (test!$B$33)/1440),1,0)</f>
        <v>0</v>
      </c>
      <c r="R15" s="2">
        <f>IF(AND(VLOOKUP(R$1,test!$A$3:$F$32,5,FALSE) - VLOOKUP($A15,test!$A$3:$G$32,6,FALSE) &gt;= (test!$B$33)/1440),1,0)</f>
        <v>0</v>
      </c>
      <c r="S15" s="2">
        <f>IF(AND(VLOOKUP(S$1,test!$A$3:$F$32,5,FALSE) - VLOOKUP($A15,test!$A$3:$G$32,6,FALSE) &gt;= (test!$B$33)/1440),1,0)</f>
        <v>0</v>
      </c>
      <c r="T15" s="2">
        <f>IF(AND(VLOOKUP(T$1,test!$A$3:$F$32,5,FALSE) - VLOOKUP($A15,test!$A$3:$G$32,6,FALSE) &gt;= (test!$B$33)/1440),1,0)</f>
        <v>0</v>
      </c>
      <c r="U15" s="2">
        <f>IF(AND(VLOOKUP(U$1,test!$A$3:$F$32,5,FALSE) - VLOOKUP($A15,test!$A$3:$G$32,6,FALSE) &gt;= (test!$B$33)/1440),1,0)</f>
        <v>0</v>
      </c>
      <c r="V15" s="2">
        <f>IF(AND(VLOOKUP(V$1,test!$A$3:$F$32,5,FALSE) - VLOOKUP($A15,test!$A$3:$G$32,6,FALSE) &gt;= (test!$B$33)/1440),1,0)</f>
        <v>0</v>
      </c>
      <c r="W15" s="2">
        <f>IF(AND(VLOOKUP(W$1,test!$A$3:$F$32,5,FALSE) - VLOOKUP($A15,test!$A$3:$G$32,6,FALSE) &gt;= (test!$B$33)/1440),1,0)</f>
        <v>0</v>
      </c>
      <c r="X15" s="2">
        <f>IF(AND(VLOOKUP(X$1,test!$A$3:$F$32,5,FALSE) - VLOOKUP($A15,test!$A$3:$G$32,6,FALSE) &gt;= (test!$B$33)/1440),1,0)</f>
        <v>0</v>
      </c>
      <c r="Y15" s="2">
        <f>IF(AND(VLOOKUP(Y$1,test!$A$3:$F$32,5,FALSE) - VLOOKUP($A15,test!$A$3:$G$32,6,FALSE) &gt;= (test!$B$33)/1440),1,0)</f>
        <v>0</v>
      </c>
      <c r="Z15" s="2">
        <f>IF(AND(VLOOKUP(Z$1,test!$A$3:$F$32,5,FALSE) - VLOOKUP($A15,test!$A$3:$G$32,6,FALSE) &gt;= (test!$B$33)/1440),1,0)</f>
        <v>0</v>
      </c>
      <c r="AA15" s="2">
        <f>IF(AND(VLOOKUP(AA$1,test!$A$3:$F$32,5,FALSE) - VLOOKUP($A15,test!$A$3:$G$32,6,FALSE) &gt;= (test!$B$33)/1440),1,0)</f>
        <v>0</v>
      </c>
      <c r="AB15" s="2">
        <f>IF(AND(VLOOKUP(AB$1,test!$A$3:$F$32,5,FALSE) - VLOOKUP($A15,test!$A$3:$G$32,6,FALSE) &gt;= (test!$B$33)/1440),1,0)</f>
        <v>0</v>
      </c>
      <c r="AC15" s="2">
        <f>IF(AND(VLOOKUP(AC$1,test!$A$3:$F$32,5,FALSE) - VLOOKUP($A15,test!$A$3:$G$32,6,FALSE) &gt;= (test!$B$33)/1440),1,0)</f>
        <v>0</v>
      </c>
      <c r="AD15" s="2">
        <f>IF(AND(VLOOKUP(AD$1,test!$A$3:$F$32,5,FALSE) - VLOOKUP($A15,test!$A$3:$G$32,6,FALSE) &gt;= (test!$B$33)/1440),1,0)</f>
        <v>0</v>
      </c>
      <c r="AE15" s="2">
        <f>IF(AND(VLOOKUP(AE$1,test!$A$3:$F$32,5,FALSE) - VLOOKUP($A15,test!$A$3:$G$32,6,FALSE) &gt;= (test!$B$33)/1440),1,0)</f>
        <v>0</v>
      </c>
      <c r="AF15" s="2">
        <f>IF(AND(VLOOKUP(AF$1,test!$A$3:$F$32,5,FALSE) - VLOOKUP($A15,test!$A$3:$G$32,6,FALSE) &gt;= (test!$B$33)/1440),1,0)</f>
        <v>0</v>
      </c>
    </row>
    <row r="16" spans="1:32" x14ac:dyDescent="0.25">
      <c r="A16" t="s">
        <v>24</v>
      </c>
      <c r="B16">
        <v>0</v>
      </c>
      <c r="C16" s="2">
        <f>IF(AND(VLOOKUP(C$1,test!$A$3:$F$32,5,FALSE) - VLOOKUP($A16,test!$A$3:$G$32,6,FALSE) &gt;= (test!$B$33)/1440),1,0)</f>
        <v>0</v>
      </c>
      <c r="D16" s="2">
        <f>IF(AND(VLOOKUP(D$1,test!$A$3:$F$32,5,FALSE) - VLOOKUP($A16,test!$A$3:$G$32,6,FALSE) &gt;= (test!$B$33)/1440),1,0)</f>
        <v>0</v>
      </c>
      <c r="E16" s="2">
        <f>IF(AND(VLOOKUP(E$1,test!$A$3:$F$32,5,FALSE) - VLOOKUP($A16,test!$A$3:$G$32,6,FALSE) &gt;= (test!$B$33)/1440),1,0)</f>
        <v>1</v>
      </c>
      <c r="F16" s="2">
        <f>IF(AND(VLOOKUP(F$1,test!$A$3:$F$32,5,FALSE) - VLOOKUP($A16,test!$A$3:$G$32,6,FALSE) &gt;= (test!$B$33)/1440),1,0)</f>
        <v>1</v>
      </c>
      <c r="G16" s="2">
        <f>IF(AND(VLOOKUP(G$1,test!$A$3:$F$32,5,FALSE) - VLOOKUP($A16,test!$A$3:$G$32,6,FALSE) &gt;= (test!$B$33)/1440),1,0)</f>
        <v>1</v>
      </c>
      <c r="H16" s="2">
        <f>IF(AND(VLOOKUP(H$1,test!$A$3:$F$32,5,FALSE) - VLOOKUP($A16,test!$A$3:$G$32,6,FALSE) &gt;= (test!$B$33)/1440),1,0)</f>
        <v>1</v>
      </c>
      <c r="I16" s="2">
        <f>IF(AND(VLOOKUP(I$1,test!$A$3:$F$32,5,FALSE) - VLOOKUP($A16,test!$A$3:$G$32,6,FALSE) &gt;= (test!$B$33)/1440),1,0)</f>
        <v>1</v>
      </c>
      <c r="J16" s="2">
        <f>IF(AND(VLOOKUP(J$1,test!$A$3:$F$32,5,FALSE) - VLOOKUP($A16,test!$A$3:$G$32,6,FALSE) &gt;= (test!$B$33)/1440),1,0)</f>
        <v>1</v>
      </c>
      <c r="K16" s="2">
        <f>IF(AND(VLOOKUP(K$1,test!$A$3:$F$32,5,FALSE) - VLOOKUP($A16,test!$A$3:$G$32,6,FALSE) &gt;= (test!$B$33)/1440),1,0)</f>
        <v>0</v>
      </c>
      <c r="L16" s="2">
        <f>IF(AND(VLOOKUP(L$1,test!$A$3:$F$32,5,FALSE) - VLOOKUP($A16,test!$A$3:$G$32,6,FALSE) &gt;= (test!$B$33)/1440),1,0)</f>
        <v>0</v>
      </c>
      <c r="M16" s="2">
        <f>IF(AND(VLOOKUP(M$1,test!$A$3:$F$32,5,FALSE) - VLOOKUP($A16,test!$A$3:$G$32,6,FALSE) &gt;= (test!$B$33)/1440),1,0)</f>
        <v>0</v>
      </c>
      <c r="N16" s="2">
        <f>IF(AND(VLOOKUP(N$1,test!$A$3:$F$32,5,FALSE) - VLOOKUP($A16,test!$A$3:$G$32,6,FALSE) &gt;= (test!$B$33)/1440),1,0)</f>
        <v>1</v>
      </c>
      <c r="O16" s="2">
        <f>IF(AND(VLOOKUP(O$1,test!$A$3:$F$32,5,FALSE) - VLOOKUP($A16,test!$A$3:$G$32,6,FALSE) &gt;= (test!$B$33)/1440),1,0)</f>
        <v>1</v>
      </c>
      <c r="P16" s="2">
        <f>IF(AND(VLOOKUP(P$1,test!$A$3:$F$32,5,FALSE) - VLOOKUP($A16,test!$A$3:$G$32,6,FALSE) &gt;= (test!$B$33)/1440),1,0)</f>
        <v>0</v>
      </c>
      <c r="Q16" s="2">
        <f>IF(AND(VLOOKUP(Q$1,test!$A$3:$F$32,5,FALSE) - VLOOKUP($A16,test!$A$3:$G$32,6,FALSE) &gt;= (test!$B$33)/1440),1,0)</f>
        <v>0</v>
      </c>
      <c r="R16" s="2">
        <f>IF(AND(VLOOKUP(R$1,test!$A$3:$F$32,5,FALSE) - VLOOKUP($A16,test!$A$3:$G$32,6,FALSE) &gt;= (test!$B$33)/1440),1,0)</f>
        <v>0</v>
      </c>
      <c r="S16" s="2">
        <f>IF(AND(VLOOKUP(S$1,test!$A$3:$F$32,5,FALSE) - VLOOKUP($A16,test!$A$3:$G$32,6,FALSE) &gt;= (test!$B$33)/1440),1,0)</f>
        <v>0</v>
      </c>
      <c r="T16" s="2">
        <f>IF(AND(VLOOKUP(T$1,test!$A$3:$F$32,5,FALSE) - VLOOKUP($A16,test!$A$3:$G$32,6,FALSE) &gt;= (test!$B$33)/1440),1,0)</f>
        <v>0</v>
      </c>
      <c r="U16" s="2">
        <f>IF(AND(VLOOKUP(U$1,test!$A$3:$F$32,5,FALSE) - VLOOKUP($A16,test!$A$3:$G$32,6,FALSE) &gt;= (test!$B$33)/1440),1,0)</f>
        <v>1</v>
      </c>
      <c r="V16" s="2">
        <f>IF(AND(VLOOKUP(V$1,test!$A$3:$F$32,5,FALSE) - VLOOKUP($A16,test!$A$3:$G$32,6,FALSE) &gt;= (test!$B$33)/1440),1,0)</f>
        <v>1</v>
      </c>
      <c r="W16" s="2">
        <f>IF(AND(VLOOKUP(W$1,test!$A$3:$F$32,5,FALSE) - VLOOKUP($A16,test!$A$3:$G$32,6,FALSE) &gt;= (test!$B$33)/1440),1,0)</f>
        <v>1</v>
      </c>
      <c r="X16" s="2">
        <f>IF(AND(VLOOKUP(X$1,test!$A$3:$F$32,5,FALSE) - VLOOKUP($A16,test!$A$3:$G$32,6,FALSE) &gt;= (test!$B$33)/1440),1,0)</f>
        <v>1</v>
      </c>
      <c r="Y16" s="2">
        <f>IF(AND(VLOOKUP(Y$1,test!$A$3:$F$32,5,FALSE) - VLOOKUP($A16,test!$A$3:$G$32,6,FALSE) &gt;= (test!$B$33)/1440),1,0)</f>
        <v>0</v>
      </c>
      <c r="Z16" s="2">
        <f>IF(AND(VLOOKUP(Z$1,test!$A$3:$F$32,5,FALSE) - VLOOKUP($A16,test!$A$3:$G$32,6,FALSE) &gt;= (test!$B$33)/1440),1,0)</f>
        <v>0</v>
      </c>
      <c r="AA16" s="2">
        <f>IF(AND(VLOOKUP(AA$1,test!$A$3:$F$32,5,FALSE) - VLOOKUP($A16,test!$A$3:$G$32,6,FALSE) &gt;= (test!$B$33)/1440),1,0)</f>
        <v>1</v>
      </c>
      <c r="AB16" s="2">
        <f>IF(AND(VLOOKUP(AB$1,test!$A$3:$F$32,5,FALSE) - VLOOKUP($A16,test!$A$3:$G$32,6,FALSE) &gt;= (test!$B$33)/1440),1,0)</f>
        <v>1</v>
      </c>
      <c r="AC16" s="2">
        <f>IF(AND(VLOOKUP(AC$1,test!$A$3:$F$32,5,FALSE) - VLOOKUP($A16,test!$A$3:$G$32,6,FALSE) &gt;= (test!$B$33)/1440),1,0)</f>
        <v>1</v>
      </c>
      <c r="AD16" s="2">
        <f>IF(AND(VLOOKUP(AD$1,test!$A$3:$F$32,5,FALSE) - VLOOKUP($A16,test!$A$3:$G$32,6,FALSE) &gt;= (test!$B$33)/1440),1,0)</f>
        <v>0</v>
      </c>
      <c r="AE16" s="2">
        <f>IF(AND(VLOOKUP(AE$1,test!$A$3:$F$32,5,FALSE) - VLOOKUP($A16,test!$A$3:$G$32,6,FALSE) &gt;= (test!$B$33)/1440),1,0)</f>
        <v>1</v>
      </c>
      <c r="AF16" s="2">
        <f>IF(AND(VLOOKUP(AF$1,test!$A$3:$F$32,5,FALSE) - VLOOKUP($A16,test!$A$3:$G$32,6,FALSE) &gt;= (test!$B$33)/1440),1,0)</f>
        <v>0</v>
      </c>
    </row>
    <row r="17" spans="1:32" x14ac:dyDescent="0.25">
      <c r="A17" t="s">
        <v>26</v>
      </c>
      <c r="B17">
        <v>0</v>
      </c>
      <c r="C17" s="2">
        <f>IF(AND(VLOOKUP(C$1,test!$A$3:$F$32,5,FALSE) - VLOOKUP($A17,test!$A$3:$G$32,6,FALSE) &gt;= (test!$B$33)/1440),1,0)</f>
        <v>0</v>
      </c>
      <c r="D17" s="2">
        <f>IF(AND(VLOOKUP(D$1,test!$A$3:$F$32,5,FALSE) - VLOOKUP($A17,test!$A$3:$G$32,6,FALSE) &gt;= (test!$B$33)/1440),1,0)</f>
        <v>1</v>
      </c>
      <c r="E17" s="2">
        <f>IF(AND(VLOOKUP(E$1,test!$A$3:$F$32,5,FALSE) - VLOOKUP($A17,test!$A$3:$G$32,6,FALSE) &gt;= (test!$B$33)/1440),1,0)</f>
        <v>1</v>
      </c>
      <c r="F17" s="2">
        <f>IF(AND(VLOOKUP(F$1,test!$A$3:$F$32,5,FALSE) - VLOOKUP($A17,test!$A$3:$G$32,6,FALSE) &gt;= (test!$B$33)/1440),1,0)</f>
        <v>1</v>
      </c>
      <c r="G17" s="2">
        <f>IF(AND(VLOOKUP(G$1,test!$A$3:$F$32,5,FALSE) - VLOOKUP($A17,test!$A$3:$G$32,6,FALSE) &gt;= (test!$B$33)/1440),1,0)</f>
        <v>1</v>
      </c>
      <c r="H17" s="2">
        <f>IF(AND(VLOOKUP(H$1,test!$A$3:$F$32,5,FALSE) - VLOOKUP($A17,test!$A$3:$G$32,6,FALSE) &gt;= (test!$B$33)/1440),1,0)</f>
        <v>1</v>
      </c>
      <c r="I17" s="2">
        <f>IF(AND(VLOOKUP(I$1,test!$A$3:$F$32,5,FALSE) - VLOOKUP($A17,test!$A$3:$G$32,6,FALSE) &gt;= (test!$B$33)/1440),1,0)</f>
        <v>1</v>
      </c>
      <c r="J17" s="2">
        <f>IF(AND(VLOOKUP(J$1,test!$A$3:$F$32,5,FALSE) - VLOOKUP($A17,test!$A$3:$G$32,6,FALSE) &gt;= (test!$B$33)/1440),1,0)</f>
        <v>1</v>
      </c>
      <c r="K17" s="2">
        <f>IF(AND(VLOOKUP(K$1,test!$A$3:$F$32,5,FALSE) - VLOOKUP($A17,test!$A$3:$G$32,6,FALSE) &gt;= (test!$B$33)/1440),1,0)</f>
        <v>0</v>
      </c>
      <c r="L17" s="2">
        <f>IF(AND(VLOOKUP(L$1,test!$A$3:$F$32,5,FALSE) - VLOOKUP($A17,test!$A$3:$G$32,6,FALSE) &gt;= (test!$B$33)/1440),1,0)</f>
        <v>0</v>
      </c>
      <c r="M17" s="2">
        <f>IF(AND(VLOOKUP(M$1,test!$A$3:$F$32,5,FALSE) - VLOOKUP($A17,test!$A$3:$G$32,6,FALSE) &gt;= (test!$B$33)/1440),1,0)</f>
        <v>1</v>
      </c>
      <c r="N17" s="2">
        <f>IF(AND(VLOOKUP(N$1,test!$A$3:$F$32,5,FALSE) - VLOOKUP($A17,test!$A$3:$G$32,6,FALSE) &gt;= (test!$B$33)/1440),1,0)</f>
        <v>1</v>
      </c>
      <c r="O17" s="2">
        <f>IF(AND(VLOOKUP(O$1,test!$A$3:$F$32,5,FALSE) - VLOOKUP($A17,test!$A$3:$G$32,6,FALSE) &gt;= (test!$B$33)/1440),1,0)</f>
        <v>1</v>
      </c>
      <c r="P17" s="2">
        <f>IF(AND(VLOOKUP(P$1,test!$A$3:$F$32,5,FALSE) - VLOOKUP($A17,test!$A$3:$G$32,6,FALSE) &gt;= (test!$B$33)/1440),1,0)</f>
        <v>0</v>
      </c>
      <c r="Q17" s="2">
        <f>IF(AND(VLOOKUP(Q$1,test!$A$3:$F$32,5,FALSE) - VLOOKUP($A17,test!$A$3:$G$32,6,FALSE) &gt;= (test!$B$33)/1440),1,0)</f>
        <v>0</v>
      </c>
      <c r="R17" s="2">
        <f>IF(AND(VLOOKUP(R$1,test!$A$3:$F$32,5,FALSE) - VLOOKUP($A17,test!$A$3:$G$32,6,FALSE) &gt;= (test!$B$33)/1440),1,0)</f>
        <v>0</v>
      </c>
      <c r="S17" s="2">
        <f>IF(AND(VLOOKUP(S$1,test!$A$3:$F$32,5,FALSE) - VLOOKUP($A17,test!$A$3:$G$32,6,FALSE) &gt;= (test!$B$33)/1440),1,0)</f>
        <v>0</v>
      </c>
      <c r="T17" s="2">
        <f>IF(AND(VLOOKUP(T$1,test!$A$3:$F$32,5,FALSE) - VLOOKUP($A17,test!$A$3:$G$32,6,FALSE) &gt;= (test!$B$33)/1440),1,0)</f>
        <v>1</v>
      </c>
      <c r="U17" s="2">
        <f>IF(AND(VLOOKUP(U$1,test!$A$3:$F$32,5,FALSE) - VLOOKUP($A17,test!$A$3:$G$32,6,FALSE) &gt;= (test!$B$33)/1440),1,0)</f>
        <v>1</v>
      </c>
      <c r="V17" s="2">
        <f>IF(AND(VLOOKUP(V$1,test!$A$3:$F$32,5,FALSE) - VLOOKUP($A17,test!$A$3:$G$32,6,FALSE) &gt;= (test!$B$33)/1440),1,0)</f>
        <v>1</v>
      </c>
      <c r="W17" s="2">
        <f>IF(AND(VLOOKUP(W$1,test!$A$3:$F$32,5,FALSE) - VLOOKUP($A17,test!$A$3:$G$32,6,FALSE) &gt;= (test!$B$33)/1440),1,0)</f>
        <v>1</v>
      </c>
      <c r="X17" s="2">
        <f>IF(AND(VLOOKUP(X$1,test!$A$3:$F$32,5,FALSE) - VLOOKUP($A17,test!$A$3:$G$32,6,FALSE) &gt;= (test!$B$33)/1440),1,0)</f>
        <v>1</v>
      </c>
      <c r="Y17" s="2">
        <f>IF(AND(VLOOKUP(Y$1,test!$A$3:$F$32,5,FALSE) - VLOOKUP($A17,test!$A$3:$G$32,6,FALSE) &gt;= (test!$B$33)/1440),1,0)</f>
        <v>0</v>
      </c>
      <c r="Z17" s="2">
        <f>IF(AND(VLOOKUP(Z$1,test!$A$3:$F$32,5,FALSE) - VLOOKUP($A17,test!$A$3:$G$32,6,FALSE) &gt;= (test!$B$33)/1440),1,0)</f>
        <v>1</v>
      </c>
      <c r="AA17" s="2">
        <f>IF(AND(VLOOKUP(AA$1,test!$A$3:$F$32,5,FALSE) - VLOOKUP($A17,test!$A$3:$G$32,6,FALSE) &gt;= (test!$B$33)/1440),1,0)</f>
        <v>1</v>
      </c>
      <c r="AB17" s="2">
        <f>IF(AND(VLOOKUP(AB$1,test!$A$3:$F$32,5,FALSE) - VLOOKUP($A17,test!$A$3:$G$32,6,FALSE) &gt;= (test!$B$33)/1440),1,0)</f>
        <v>1</v>
      </c>
      <c r="AC17" s="2">
        <f>IF(AND(VLOOKUP(AC$1,test!$A$3:$F$32,5,FALSE) - VLOOKUP($A17,test!$A$3:$G$32,6,FALSE) &gt;= (test!$B$33)/1440),1,0)</f>
        <v>1</v>
      </c>
      <c r="AD17" s="2">
        <f>IF(AND(VLOOKUP(AD$1,test!$A$3:$F$32,5,FALSE) - VLOOKUP($A17,test!$A$3:$G$32,6,FALSE) &gt;= (test!$B$33)/1440),1,0)</f>
        <v>0</v>
      </c>
      <c r="AE17" s="2">
        <f>IF(AND(VLOOKUP(AE$1,test!$A$3:$F$32,5,FALSE) - VLOOKUP($A17,test!$A$3:$G$32,6,FALSE) &gt;= (test!$B$33)/1440),1,0)</f>
        <v>1</v>
      </c>
      <c r="AF17" s="2">
        <f>IF(AND(VLOOKUP(AF$1,test!$A$3:$F$32,5,FALSE) - VLOOKUP($A17,test!$A$3:$G$32,6,FALSE) &gt;= (test!$B$33)/1440),1,0)</f>
        <v>1</v>
      </c>
    </row>
    <row r="18" spans="1:32" x14ac:dyDescent="0.25">
      <c r="A18" t="s">
        <v>27</v>
      </c>
      <c r="B18">
        <v>0</v>
      </c>
      <c r="C18" s="2">
        <f>IF(AND(VLOOKUP(C$1,test!$A$3:$F$32,5,FALSE) - VLOOKUP($A18,test!$A$3:$G$32,6,FALSE) &gt;= (test!$B$33)/1440),1,0)</f>
        <v>0</v>
      </c>
      <c r="D18" s="2">
        <f>IF(AND(VLOOKUP(D$1,test!$A$3:$F$32,5,FALSE) - VLOOKUP($A18,test!$A$3:$G$32,6,FALSE) &gt;= (test!$B$33)/1440),1,0)</f>
        <v>0</v>
      </c>
      <c r="E18" s="2">
        <f>IF(AND(VLOOKUP(E$1,test!$A$3:$F$32,5,FALSE) - VLOOKUP($A18,test!$A$3:$G$32,6,FALSE) &gt;= (test!$B$33)/1440),1,0)</f>
        <v>1</v>
      </c>
      <c r="F18" s="2">
        <f>IF(AND(VLOOKUP(F$1,test!$A$3:$F$32,5,FALSE) - VLOOKUP($A18,test!$A$3:$G$32,6,FALSE) &gt;= (test!$B$33)/1440),1,0)</f>
        <v>1</v>
      </c>
      <c r="G18" s="2">
        <f>IF(AND(VLOOKUP(G$1,test!$A$3:$F$32,5,FALSE) - VLOOKUP($A18,test!$A$3:$G$32,6,FALSE) &gt;= (test!$B$33)/1440),1,0)</f>
        <v>1</v>
      </c>
      <c r="H18" s="2">
        <f>IF(AND(VLOOKUP(H$1,test!$A$3:$F$32,5,FALSE) - VLOOKUP($A18,test!$A$3:$G$32,6,FALSE) &gt;= (test!$B$33)/1440),1,0)</f>
        <v>1</v>
      </c>
      <c r="I18" s="2">
        <f>IF(AND(VLOOKUP(I$1,test!$A$3:$F$32,5,FALSE) - VLOOKUP($A18,test!$A$3:$G$32,6,FALSE) &gt;= (test!$B$33)/1440),1,0)</f>
        <v>1</v>
      </c>
      <c r="J18" s="2">
        <f>IF(AND(VLOOKUP(J$1,test!$A$3:$F$32,5,FALSE) - VLOOKUP($A18,test!$A$3:$G$32,6,FALSE) &gt;= (test!$B$33)/1440),1,0)</f>
        <v>1</v>
      </c>
      <c r="K18" s="2">
        <f>IF(AND(VLOOKUP(K$1,test!$A$3:$F$32,5,FALSE) - VLOOKUP($A18,test!$A$3:$G$32,6,FALSE) &gt;= (test!$B$33)/1440),1,0)</f>
        <v>0</v>
      </c>
      <c r="L18" s="2">
        <f>IF(AND(VLOOKUP(L$1,test!$A$3:$F$32,5,FALSE) - VLOOKUP($A18,test!$A$3:$G$32,6,FALSE) &gt;= (test!$B$33)/1440),1,0)</f>
        <v>0</v>
      </c>
      <c r="M18" s="2">
        <f>IF(AND(VLOOKUP(M$1,test!$A$3:$F$32,5,FALSE) - VLOOKUP($A18,test!$A$3:$G$32,6,FALSE) &gt;= (test!$B$33)/1440),1,0)</f>
        <v>0</v>
      </c>
      <c r="N18" s="2">
        <f>IF(AND(VLOOKUP(N$1,test!$A$3:$F$32,5,FALSE) - VLOOKUP($A18,test!$A$3:$G$32,6,FALSE) &gt;= (test!$B$33)/1440),1,0)</f>
        <v>1</v>
      </c>
      <c r="O18" s="2">
        <f>IF(AND(VLOOKUP(O$1,test!$A$3:$F$32,5,FALSE) - VLOOKUP($A18,test!$A$3:$G$32,6,FALSE) &gt;= (test!$B$33)/1440),1,0)</f>
        <v>1</v>
      </c>
      <c r="P18" s="2">
        <f>IF(AND(VLOOKUP(P$1,test!$A$3:$F$32,5,FALSE) - VLOOKUP($A18,test!$A$3:$G$32,6,FALSE) &gt;= (test!$B$33)/1440),1,0)</f>
        <v>0</v>
      </c>
      <c r="Q18" s="2">
        <f>IF(AND(VLOOKUP(Q$1,test!$A$3:$F$32,5,FALSE) - VLOOKUP($A18,test!$A$3:$G$32,6,FALSE) &gt;= (test!$B$33)/1440),1,0)</f>
        <v>0</v>
      </c>
      <c r="R18" s="2">
        <f>IF(AND(VLOOKUP(R$1,test!$A$3:$F$32,5,FALSE) - VLOOKUP($A18,test!$A$3:$G$32,6,FALSE) &gt;= (test!$B$33)/1440),1,0)</f>
        <v>0</v>
      </c>
      <c r="S18" s="2">
        <f>IF(AND(VLOOKUP(S$1,test!$A$3:$F$32,5,FALSE) - VLOOKUP($A18,test!$A$3:$G$32,6,FALSE) &gt;= (test!$B$33)/1440),1,0)</f>
        <v>0</v>
      </c>
      <c r="T18" s="2">
        <f>IF(AND(VLOOKUP(T$1,test!$A$3:$F$32,5,FALSE) - VLOOKUP($A18,test!$A$3:$G$32,6,FALSE) &gt;= (test!$B$33)/1440),1,0)</f>
        <v>0</v>
      </c>
      <c r="U18" s="2">
        <f>IF(AND(VLOOKUP(U$1,test!$A$3:$F$32,5,FALSE) - VLOOKUP($A18,test!$A$3:$G$32,6,FALSE) &gt;= (test!$B$33)/1440),1,0)</f>
        <v>1</v>
      </c>
      <c r="V18" s="2">
        <f>IF(AND(VLOOKUP(V$1,test!$A$3:$F$32,5,FALSE) - VLOOKUP($A18,test!$A$3:$G$32,6,FALSE) &gt;= (test!$B$33)/1440),1,0)</f>
        <v>1</v>
      </c>
      <c r="W18" s="2">
        <f>IF(AND(VLOOKUP(W$1,test!$A$3:$F$32,5,FALSE) - VLOOKUP($A18,test!$A$3:$G$32,6,FALSE) &gt;= (test!$B$33)/1440),1,0)</f>
        <v>1</v>
      </c>
      <c r="X18" s="2">
        <f>IF(AND(VLOOKUP(X$1,test!$A$3:$F$32,5,FALSE) - VLOOKUP($A18,test!$A$3:$G$32,6,FALSE) &gt;= (test!$B$33)/1440),1,0)</f>
        <v>1</v>
      </c>
      <c r="Y18" s="2">
        <f>IF(AND(VLOOKUP(Y$1,test!$A$3:$F$32,5,FALSE) - VLOOKUP($A18,test!$A$3:$G$32,6,FALSE) &gt;= (test!$B$33)/1440),1,0)</f>
        <v>0</v>
      </c>
      <c r="Z18" s="2">
        <f>IF(AND(VLOOKUP(Z$1,test!$A$3:$F$32,5,FALSE) - VLOOKUP($A18,test!$A$3:$G$32,6,FALSE) &gt;= (test!$B$33)/1440),1,0)</f>
        <v>0</v>
      </c>
      <c r="AA18" s="2">
        <f>IF(AND(VLOOKUP(AA$1,test!$A$3:$F$32,5,FALSE) - VLOOKUP($A18,test!$A$3:$G$32,6,FALSE) &gt;= (test!$B$33)/1440),1,0)</f>
        <v>1</v>
      </c>
      <c r="AB18" s="2">
        <f>IF(AND(VLOOKUP(AB$1,test!$A$3:$F$32,5,FALSE) - VLOOKUP($A18,test!$A$3:$G$32,6,FALSE) &gt;= (test!$B$33)/1440),1,0)</f>
        <v>1</v>
      </c>
      <c r="AC18" s="2">
        <f>IF(AND(VLOOKUP(AC$1,test!$A$3:$F$32,5,FALSE) - VLOOKUP($A18,test!$A$3:$G$32,6,FALSE) &gt;= (test!$B$33)/1440),1,0)</f>
        <v>1</v>
      </c>
      <c r="AD18" s="2">
        <f>IF(AND(VLOOKUP(AD$1,test!$A$3:$F$32,5,FALSE) - VLOOKUP($A18,test!$A$3:$G$32,6,FALSE) &gt;= (test!$B$33)/1440),1,0)</f>
        <v>0</v>
      </c>
      <c r="AE18" s="2">
        <f>IF(AND(VLOOKUP(AE$1,test!$A$3:$F$32,5,FALSE) - VLOOKUP($A18,test!$A$3:$G$32,6,FALSE) &gt;= (test!$B$33)/1440),1,0)</f>
        <v>1</v>
      </c>
      <c r="AF18" s="2">
        <f>IF(AND(VLOOKUP(AF$1,test!$A$3:$F$32,5,FALSE) - VLOOKUP($A18,test!$A$3:$G$32,6,FALSE) &gt;= (test!$B$33)/1440),1,0)</f>
        <v>0</v>
      </c>
    </row>
    <row r="19" spans="1:32" x14ac:dyDescent="0.25">
      <c r="A19" t="s">
        <v>28</v>
      </c>
      <c r="B19">
        <v>0</v>
      </c>
      <c r="C19" s="2">
        <f>IF(AND(VLOOKUP(C$1,test!$A$3:$F$32,5,FALSE) - VLOOKUP($A19,test!$A$3:$G$32,6,FALSE) &gt;= (test!$B$33)/1440),1,0)</f>
        <v>0</v>
      </c>
      <c r="D19" s="2">
        <f>IF(AND(VLOOKUP(D$1,test!$A$3:$F$32,5,FALSE) - VLOOKUP($A19,test!$A$3:$G$32,6,FALSE) &gt;= (test!$B$33)/1440),1,0)</f>
        <v>0</v>
      </c>
      <c r="E19" s="2">
        <f>IF(AND(VLOOKUP(E$1,test!$A$3:$F$32,5,FALSE) - VLOOKUP($A19,test!$A$3:$G$32,6,FALSE) &gt;= (test!$B$33)/1440),1,0)</f>
        <v>0</v>
      </c>
      <c r="F19" s="2">
        <f>IF(AND(VLOOKUP(F$1,test!$A$3:$F$32,5,FALSE) - VLOOKUP($A19,test!$A$3:$G$32,6,FALSE) &gt;= (test!$B$33)/1440),1,0)</f>
        <v>1</v>
      </c>
      <c r="G19" s="2">
        <f>IF(AND(VLOOKUP(G$1,test!$A$3:$F$32,5,FALSE) - VLOOKUP($A19,test!$A$3:$G$32,6,FALSE) &gt;= (test!$B$33)/1440),1,0)</f>
        <v>1</v>
      </c>
      <c r="H19" s="2">
        <f>IF(AND(VLOOKUP(H$1,test!$A$3:$F$32,5,FALSE) - VLOOKUP($A19,test!$A$3:$G$32,6,FALSE) &gt;= (test!$B$33)/1440),1,0)</f>
        <v>1</v>
      </c>
      <c r="I19" s="2">
        <f>IF(AND(VLOOKUP(I$1,test!$A$3:$F$32,5,FALSE) - VLOOKUP($A19,test!$A$3:$G$32,6,FALSE) &gt;= (test!$B$33)/1440),1,0)</f>
        <v>1</v>
      </c>
      <c r="J19" s="2">
        <f>IF(AND(VLOOKUP(J$1,test!$A$3:$F$32,5,FALSE) - VLOOKUP($A19,test!$A$3:$G$32,6,FALSE) &gt;= (test!$B$33)/1440),1,0)</f>
        <v>1</v>
      </c>
      <c r="K19" s="2">
        <f>IF(AND(VLOOKUP(K$1,test!$A$3:$F$32,5,FALSE) - VLOOKUP($A19,test!$A$3:$G$32,6,FALSE) &gt;= (test!$B$33)/1440),1,0)</f>
        <v>0</v>
      </c>
      <c r="L19" s="2">
        <f>IF(AND(VLOOKUP(L$1,test!$A$3:$F$32,5,FALSE) - VLOOKUP($A19,test!$A$3:$G$32,6,FALSE) &gt;= (test!$B$33)/1440),1,0)</f>
        <v>0</v>
      </c>
      <c r="M19" s="2">
        <f>IF(AND(VLOOKUP(M$1,test!$A$3:$F$32,5,FALSE) - VLOOKUP($A19,test!$A$3:$G$32,6,FALSE) &gt;= (test!$B$33)/1440),1,0)</f>
        <v>0</v>
      </c>
      <c r="N19" s="2">
        <f>IF(AND(VLOOKUP(N$1,test!$A$3:$F$32,5,FALSE) - VLOOKUP($A19,test!$A$3:$G$32,6,FALSE) &gt;= (test!$B$33)/1440),1,0)</f>
        <v>1</v>
      </c>
      <c r="O19" s="2">
        <f>IF(AND(VLOOKUP(O$1,test!$A$3:$F$32,5,FALSE) - VLOOKUP($A19,test!$A$3:$G$32,6,FALSE) &gt;= (test!$B$33)/1440),1,0)</f>
        <v>1</v>
      </c>
      <c r="P19" s="2">
        <f>IF(AND(VLOOKUP(P$1,test!$A$3:$F$32,5,FALSE) - VLOOKUP($A19,test!$A$3:$G$32,6,FALSE) &gt;= (test!$B$33)/1440),1,0)</f>
        <v>0</v>
      </c>
      <c r="Q19" s="2">
        <f>IF(AND(VLOOKUP(Q$1,test!$A$3:$F$32,5,FALSE) - VLOOKUP($A19,test!$A$3:$G$32,6,FALSE) &gt;= (test!$B$33)/1440),1,0)</f>
        <v>0</v>
      </c>
      <c r="R19" s="2">
        <f>IF(AND(VLOOKUP(R$1,test!$A$3:$F$32,5,FALSE) - VLOOKUP($A19,test!$A$3:$G$32,6,FALSE) &gt;= (test!$B$33)/1440),1,0)</f>
        <v>0</v>
      </c>
      <c r="S19" s="2">
        <f>IF(AND(VLOOKUP(S$1,test!$A$3:$F$32,5,FALSE) - VLOOKUP($A19,test!$A$3:$G$32,6,FALSE) &gt;= (test!$B$33)/1440),1,0)</f>
        <v>0</v>
      </c>
      <c r="T19" s="2">
        <f>IF(AND(VLOOKUP(T$1,test!$A$3:$F$32,5,FALSE) - VLOOKUP($A19,test!$A$3:$G$32,6,FALSE) &gt;= (test!$B$33)/1440),1,0)</f>
        <v>0</v>
      </c>
      <c r="U19" s="2">
        <f>IF(AND(VLOOKUP(U$1,test!$A$3:$F$32,5,FALSE) - VLOOKUP($A19,test!$A$3:$G$32,6,FALSE) &gt;= (test!$B$33)/1440),1,0)</f>
        <v>0</v>
      </c>
      <c r="V19" s="2">
        <f>IF(AND(VLOOKUP(V$1,test!$A$3:$F$32,5,FALSE) - VLOOKUP($A19,test!$A$3:$G$32,6,FALSE) &gt;= (test!$B$33)/1440),1,0)</f>
        <v>1</v>
      </c>
      <c r="W19" s="2">
        <f>IF(AND(VLOOKUP(W$1,test!$A$3:$F$32,5,FALSE) - VLOOKUP($A19,test!$A$3:$G$32,6,FALSE) &gt;= (test!$B$33)/1440),1,0)</f>
        <v>1</v>
      </c>
      <c r="X19" s="2">
        <f>IF(AND(VLOOKUP(X$1,test!$A$3:$F$32,5,FALSE) - VLOOKUP($A19,test!$A$3:$G$32,6,FALSE) &gt;= (test!$B$33)/1440),1,0)</f>
        <v>1</v>
      </c>
      <c r="Y19" s="2">
        <f>IF(AND(VLOOKUP(Y$1,test!$A$3:$F$32,5,FALSE) - VLOOKUP($A19,test!$A$3:$G$32,6,FALSE) &gt;= (test!$B$33)/1440),1,0)</f>
        <v>0</v>
      </c>
      <c r="Z19" s="2">
        <f>IF(AND(VLOOKUP(Z$1,test!$A$3:$F$32,5,FALSE) - VLOOKUP($A19,test!$A$3:$G$32,6,FALSE) &gt;= (test!$B$33)/1440),1,0)</f>
        <v>0</v>
      </c>
      <c r="AA19" s="2">
        <f>IF(AND(VLOOKUP(AA$1,test!$A$3:$F$32,5,FALSE) - VLOOKUP($A19,test!$A$3:$G$32,6,FALSE) &gt;= (test!$B$33)/1440),1,0)</f>
        <v>0</v>
      </c>
      <c r="AB19" s="2">
        <f>IF(AND(VLOOKUP(AB$1,test!$A$3:$F$32,5,FALSE) - VLOOKUP($A19,test!$A$3:$G$32,6,FALSE) &gt;= (test!$B$33)/1440),1,0)</f>
        <v>1</v>
      </c>
      <c r="AC19" s="2">
        <f>IF(AND(VLOOKUP(AC$1,test!$A$3:$F$32,5,FALSE) - VLOOKUP($A19,test!$A$3:$G$32,6,FALSE) &gt;= (test!$B$33)/1440),1,0)</f>
        <v>1</v>
      </c>
      <c r="AD19" s="2">
        <f>IF(AND(VLOOKUP(AD$1,test!$A$3:$F$32,5,FALSE) - VLOOKUP($A19,test!$A$3:$G$32,6,FALSE) &gt;= (test!$B$33)/1440),1,0)</f>
        <v>0</v>
      </c>
      <c r="AE19" s="2">
        <f>IF(AND(VLOOKUP(AE$1,test!$A$3:$F$32,5,FALSE) - VLOOKUP($A19,test!$A$3:$G$32,6,FALSE) &gt;= (test!$B$33)/1440),1,0)</f>
        <v>0</v>
      </c>
      <c r="AF19" s="2">
        <f>IF(AND(VLOOKUP(AF$1,test!$A$3:$F$32,5,FALSE) - VLOOKUP($A19,test!$A$3:$G$32,6,FALSE) &gt;= (test!$B$33)/1440),1,0)</f>
        <v>0</v>
      </c>
    </row>
    <row r="20" spans="1:32" x14ac:dyDescent="0.25">
      <c r="A20" t="s">
        <v>29</v>
      </c>
      <c r="B20">
        <v>0</v>
      </c>
      <c r="C20" s="2">
        <f>IF(AND(VLOOKUP(C$1,test!$A$3:$F$32,5,FALSE) - VLOOKUP($A20,test!$A$3:$G$32,6,FALSE) &gt;= (test!$B$33)/1440),1,0)</f>
        <v>0</v>
      </c>
      <c r="D20" s="2">
        <f>IF(AND(VLOOKUP(D$1,test!$A$3:$F$32,5,FALSE) - VLOOKUP($A20,test!$A$3:$G$32,6,FALSE) &gt;= (test!$B$33)/1440),1,0)</f>
        <v>0</v>
      </c>
      <c r="E20" s="2">
        <f>IF(AND(VLOOKUP(E$1,test!$A$3:$F$32,5,FALSE) - VLOOKUP($A20,test!$A$3:$G$32,6,FALSE) &gt;= (test!$B$33)/1440),1,0)</f>
        <v>0</v>
      </c>
      <c r="F20" s="2">
        <f>IF(AND(VLOOKUP(F$1,test!$A$3:$F$32,5,FALSE) - VLOOKUP($A20,test!$A$3:$G$32,6,FALSE) &gt;= (test!$B$33)/1440),1,0)</f>
        <v>0</v>
      </c>
      <c r="G20" s="2">
        <f>IF(AND(VLOOKUP(G$1,test!$A$3:$F$32,5,FALSE) - VLOOKUP($A20,test!$A$3:$G$32,6,FALSE) &gt;= (test!$B$33)/1440),1,0)</f>
        <v>0</v>
      </c>
      <c r="H20" s="2">
        <f>IF(AND(VLOOKUP(H$1,test!$A$3:$F$32,5,FALSE) - VLOOKUP($A20,test!$A$3:$G$32,6,FALSE) &gt;= (test!$B$33)/1440),1,0)</f>
        <v>1</v>
      </c>
      <c r="I20" s="2">
        <f>IF(AND(VLOOKUP(I$1,test!$A$3:$F$32,5,FALSE) - VLOOKUP($A20,test!$A$3:$G$32,6,FALSE) &gt;= (test!$B$33)/1440),1,0)</f>
        <v>1</v>
      </c>
      <c r="J20" s="2">
        <f>IF(AND(VLOOKUP(J$1,test!$A$3:$F$32,5,FALSE) - VLOOKUP($A20,test!$A$3:$G$32,6,FALSE) &gt;= (test!$B$33)/1440),1,0)</f>
        <v>1</v>
      </c>
      <c r="K20" s="2">
        <f>IF(AND(VLOOKUP(K$1,test!$A$3:$F$32,5,FALSE) - VLOOKUP($A20,test!$A$3:$G$32,6,FALSE) &gt;= (test!$B$33)/1440),1,0)</f>
        <v>0</v>
      </c>
      <c r="L20" s="2">
        <f>IF(AND(VLOOKUP(L$1,test!$A$3:$F$32,5,FALSE) - VLOOKUP($A20,test!$A$3:$G$32,6,FALSE) &gt;= (test!$B$33)/1440),1,0)</f>
        <v>0</v>
      </c>
      <c r="M20" s="2">
        <f>IF(AND(VLOOKUP(M$1,test!$A$3:$F$32,5,FALSE) - VLOOKUP($A20,test!$A$3:$G$32,6,FALSE) &gt;= (test!$B$33)/1440),1,0)</f>
        <v>0</v>
      </c>
      <c r="N20" s="2">
        <f>IF(AND(VLOOKUP(N$1,test!$A$3:$F$32,5,FALSE) - VLOOKUP($A20,test!$A$3:$G$32,6,FALSE) &gt;= (test!$B$33)/1440),1,0)</f>
        <v>1</v>
      </c>
      <c r="O20" s="2">
        <f>IF(AND(VLOOKUP(O$1,test!$A$3:$F$32,5,FALSE) - VLOOKUP($A20,test!$A$3:$G$32,6,FALSE) &gt;= (test!$B$33)/1440),1,0)</f>
        <v>1</v>
      </c>
      <c r="P20" s="2">
        <f>IF(AND(VLOOKUP(P$1,test!$A$3:$F$32,5,FALSE) - VLOOKUP($A20,test!$A$3:$G$32,6,FALSE) &gt;= (test!$B$33)/1440),1,0)</f>
        <v>0</v>
      </c>
      <c r="Q20" s="2">
        <f>IF(AND(VLOOKUP(Q$1,test!$A$3:$F$32,5,FALSE) - VLOOKUP($A20,test!$A$3:$G$32,6,FALSE) &gt;= (test!$B$33)/1440),1,0)</f>
        <v>0</v>
      </c>
      <c r="R20" s="2">
        <f>IF(AND(VLOOKUP(R$1,test!$A$3:$F$32,5,FALSE) - VLOOKUP($A20,test!$A$3:$G$32,6,FALSE) &gt;= (test!$B$33)/1440),1,0)</f>
        <v>0</v>
      </c>
      <c r="S20" s="2">
        <f>IF(AND(VLOOKUP(S$1,test!$A$3:$F$32,5,FALSE) - VLOOKUP($A20,test!$A$3:$G$32,6,FALSE) &gt;= (test!$B$33)/1440),1,0)</f>
        <v>0</v>
      </c>
      <c r="T20" s="2">
        <f>IF(AND(VLOOKUP(T$1,test!$A$3:$F$32,5,FALSE) - VLOOKUP($A20,test!$A$3:$G$32,6,FALSE) &gt;= (test!$B$33)/1440),1,0)</f>
        <v>0</v>
      </c>
      <c r="U20" s="2">
        <f>IF(AND(VLOOKUP(U$1,test!$A$3:$F$32,5,FALSE) - VLOOKUP($A20,test!$A$3:$G$32,6,FALSE) &gt;= (test!$B$33)/1440),1,0)</f>
        <v>0</v>
      </c>
      <c r="V20" s="2">
        <f>IF(AND(VLOOKUP(V$1,test!$A$3:$F$32,5,FALSE) - VLOOKUP($A20,test!$A$3:$G$32,6,FALSE) &gt;= (test!$B$33)/1440),1,0)</f>
        <v>0</v>
      </c>
      <c r="W20" s="2">
        <f>IF(AND(VLOOKUP(W$1,test!$A$3:$F$32,5,FALSE) - VLOOKUP($A20,test!$A$3:$G$32,6,FALSE) &gt;= (test!$B$33)/1440),1,0)</f>
        <v>1</v>
      </c>
      <c r="X20" s="2">
        <f>IF(AND(VLOOKUP(X$1,test!$A$3:$F$32,5,FALSE) - VLOOKUP($A20,test!$A$3:$G$32,6,FALSE) &gt;= (test!$B$33)/1440),1,0)</f>
        <v>1</v>
      </c>
      <c r="Y20" s="2">
        <f>IF(AND(VLOOKUP(Y$1,test!$A$3:$F$32,5,FALSE) - VLOOKUP($A20,test!$A$3:$G$32,6,FALSE) &gt;= (test!$B$33)/1440),1,0)</f>
        <v>0</v>
      </c>
      <c r="Z20" s="2">
        <f>IF(AND(VLOOKUP(Z$1,test!$A$3:$F$32,5,FALSE) - VLOOKUP($A20,test!$A$3:$G$32,6,FALSE) &gt;= (test!$B$33)/1440),1,0)</f>
        <v>0</v>
      </c>
      <c r="AA20" s="2">
        <f>IF(AND(VLOOKUP(AA$1,test!$A$3:$F$32,5,FALSE) - VLOOKUP($A20,test!$A$3:$G$32,6,FALSE) &gt;= (test!$B$33)/1440),1,0)</f>
        <v>0</v>
      </c>
      <c r="AB20" s="2">
        <f>IF(AND(VLOOKUP(AB$1,test!$A$3:$F$32,5,FALSE) - VLOOKUP($A20,test!$A$3:$G$32,6,FALSE) &gt;= (test!$B$33)/1440),1,0)</f>
        <v>0</v>
      </c>
      <c r="AC20" s="2">
        <f>IF(AND(VLOOKUP(AC$1,test!$A$3:$F$32,5,FALSE) - VLOOKUP($A20,test!$A$3:$G$32,6,FALSE) &gt;= (test!$B$33)/1440),1,0)</f>
        <v>1</v>
      </c>
      <c r="AD20" s="2">
        <f>IF(AND(VLOOKUP(AD$1,test!$A$3:$F$32,5,FALSE) - VLOOKUP($A20,test!$A$3:$G$32,6,FALSE) &gt;= (test!$B$33)/1440),1,0)</f>
        <v>0</v>
      </c>
      <c r="AE20" s="2">
        <f>IF(AND(VLOOKUP(AE$1,test!$A$3:$F$32,5,FALSE) - VLOOKUP($A20,test!$A$3:$G$32,6,FALSE) &gt;= (test!$B$33)/1440),1,0)</f>
        <v>0</v>
      </c>
      <c r="AF20" s="2">
        <f>IF(AND(VLOOKUP(AF$1,test!$A$3:$F$32,5,FALSE) - VLOOKUP($A20,test!$A$3:$G$32,6,FALSE) &gt;= (test!$B$33)/1440),1,0)</f>
        <v>0</v>
      </c>
    </row>
    <row r="21" spans="1:32" x14ac:dyDescent="0.25">
      <c r="A21" t="s">
        <v>30</v>
      </c>
      <c r="B21">
        <v>0</v>
      </c>
      <c r="C21" s="2">
        <f>IF(AND(VLOOKUP(C$1,test!$A$3:$F$32,5,FALSE) - VLOOKUP($A21,test!$A$3:$G$32,6,FALSE) &gt;= (test!$B$33)/1440),1,0)</f>
        <v>0</v>
      </c>
      <c r="D21" s="2">
        <f>IF(AND(VLOOKUP(D$1,test!$A$3:$F$32,5,FALSE) - VLOOKUP($A21,test!$A$3:$G$32,6,FALSE) &gt;= (test!$B$33)/1440),1,0)</f>
        <v>0</v>
      </c>
      <c r="E21" s="2">
        <f>IF(AND(VLOOKUP(E$1,test!$A$3:$F$32,5,FALSE) - VLOOKUP($A21,test!$A$3:$G$32,6,FALSE) &gt;= (test!$B$33)/1440),1,0)</f>
        <v>0</v>
      </c>
      <c r="F21" s="2">
        <f>IF(AND(VLOOKUP(F$1,test!$A$3:$F$32,5,FALSE) - VLOOKUP($A21,test!$A$3:$G$32,6,FALSE) &gt;= (test!$B$33)/1440),1,0)</f>
        <v>0</v>
      </c>
      <c r="G21" s="2">
        <f>IF(AND(VLOOKUP(G$1,test!$A$3:$F$32,5,FALSE) - VLOOKUP($A21,test!$A$3:$G$32,6,FALSE) &gt;= (test!$B$33)/1440),1,0)</f>
        <v>0</v>
      </c>
      <c r="H21" s="2">
        <f>IF(AND(VLOOKUP(H$1,test!$A$3:$F$32,5,FALSE) - VLOOKUP($A21,test!$A$3:$G$32,6,FALSE) &gt;= (test!$B$33)/1440),1,0)</f>
        <v>0</v>
      </c>
      <c r="I21" s="2">
        <f>IF(AND(VLOOKUP(I$1,test!$A$3:$F$32,5,FALSE) - VLOOKUP($A21,test!$A$3:$G$32,6,FALSE) &gt;= (test!$B$33)/1440),1,0)</f>
        <v>1</v>
      </c>
      <c r="J21" s="2">
        <f>IF(AND(VLOOKUP(J$1,test!$A$3:$F$32,5,FALSE) - VLOOKUP($A21,test!$A$3:$G$32,6,FALSE) &gt;= (test!$B$33)/1440),1,0)</f>
        <v>1</v>
      </c>
      <c r="K21" s="2">
        <f>IF(AND(VLOOKUP(K$1,test!$A$3:$F$32,5,FALSE) - VLOOKUP($A21,test!$A$3:$G$32,6,FALSE) &gt;= (test!$B$33)/1440),1,0)</f>
        <v>0</v>
      </c>
      <c r="L21" s="2">
        <f>IF(AND(VLOOKUP(L$1,test!$A$3:$F$32,5,FALSE) - VLOOKUP($A21,test!$A$3:$G$32,6,FALSE) &gt;= (test!$B$33)/1440),1,0)</f>
        <v>0</v>
      </c>
      <c r="M21" s="2">
        <f>IF(AND(VLOOKUP(M$1,test!$A$3:$F$32,5,FALSE) - VLOOKUP($A21,test!$A$3:$G$32,6,FALSE) &gt;= (test!$B$33)/1440),1,0)</f>
        <v>0</v>
      </c>
      <c r="N21" s="2">
        <f>IF(AND(VLOOKUP(N$1,test!$A$3:$F$32,5,FALSE) - VLOOKUP($A21,test!$A$3:$G$32,6,FALSE) &gt;= (test!$B$33)/1440),1,0)</f>
        <v>1</v>
      </c>
      <c r="O21" s="2">
        <f>IF(AND(VLOOKUP(O$1,test!$A$3:$F$32,5,FALSE) - VLOOKUP($A21,test!$A$3:$G$32,6,FALSE) &gt;= (test!$B$33)/1440),1,0)</f>
        <v>1</v>
      </c>
      <c r="P21" s="2">
        <f>IF(AND(VLOOKUP(P$1,test!$A$3:$F$32,5,FALSE) - VLOOKUP($A21,test!$A$3:$G$32,6,FALSE) &gt;= (test!$B$33)/1440),1,0)</f>
        <v>0</v>
      </c>
      <c r="Q21" s="2">
        <f>IF(AND(VLOOKUP(Q$1,test!$A$3:$F$32,5,FALSE) - VLOOKUP($A21,test!$A$3:$G$32,6,FALSE) &gt;= (test!$B$33)/1440),1,0)</f>
        <v>0</v>
      </c>
      <c r="R21" s="2">
        <f>IF(AND(VLOOKUP(R$1,test!$A$3:$F$32,5,FALSE) - VLOOKUP($A21,test!$A$3:$G$32,6,FALSE) &gt;= (test!$B$33)/1440),1,0)</f>
        <v>0</v>
      </c>
      <c r="S21" s="2">
        <f>IF(AND(VLOOKUP(S$1,test!$A$3:$F$32,5,FALSE) - VLOOKUP($A21,test!$A$3:$G$32,6,FALSE) &gt;= (test!$B$33)/1440),1,0)</f>
        <v>0</v>
      </c>
      <c r="T21" s="2">
        <f>IF(AND(VLOOKUP(T$1,test!$A$3:$F$32,5,FALSE) - VLOOKUP($A21,test!$A$3:$G$32,6,FALSE) &gt;= (test!$B$33)/1440),1,0)</f>
        <v>0</v>
      </c>
      <c r="U21" s="2">
        <f>IF(AND(VLOOKUP(U$1,test!$A$3:$F$32,5,FALSE) - VLOOKUP($A21,test!$A$3:$G$32,6,FALSE) &gt;= (test!$B$33)/1440),1,0)</f>
        <v>0</v>
      </c>
      <c r="V21" s="2">
        <f>IF(AND(VLOOKUP(V$1,test!$A$3:$F$32,5,FALSE) - VLOOKUP($A21,test!$A$3:$G$32,6,FALSE) &gt;= (test!$B$33)/1440),1,0)</f>
        <v>0</v>
      </c>
      <c r="W21" s="2">
        <f>IF(AND(VLOOKUP(W$1,test!$A$3:$F$32,5,FALSE) - VLOOKUP($A21,test!$A$3:$G$32,6,FALSE) &gt;= (test!$B$33)/1440),1,0)</f>
        <v>0</v>
      </c>
      <c r="X21" s="2">
        <f>IF(AND(VLOOKUP(X$1,test!$A$3:$F$32,5,FALSE) - VLOOKUP($A21,test!$A$3:$G$32,6,FALSE) &gt;= (test!$B$33)/1440),1,0)</f>
        <v>1</v>
      </c>
      <c r="Y21" s="2">
        <f>IF(AND(VLOOKUP(Y$1,test!$A$3:$F$32,5,FALSE) - VLOOKUP($A21,test!$A$3:$G$32,6,FALSE) &gt;= (test!$B$33)/1440),1,0)</f>
        <v>0</v>
      </c>
      <c r="Z21" s="2">
        <f>IF(AND(VLOOKUP(Z$1,test!$A$3:$F$32,5,FALSE) - VLOOKUP($A21,test!$A$3:$G$32,6,FALSE) &gt;= (test!$B$33)/1440),1,0)</f>
        <v>0</v>
      </c>
      <c r="AA21" s="2">
        <f>IF(AND(VLOOKUP(AA$1,test!$A$3:$F$32,5,FALSE) - VLOOKUP($A21,test!$A$3:$G$32,6,FALSE) &gt;= (test!$B$33)/1440),1,0)</f>
        <v>0</v>
      </c>
      <c r="AB21" s="2">
        <f>IF(AND(VLOOKUP(AB$1,test!$A$3:$F$32,5,FALSE) - VLOOKUP($A21,test!$A$3:$G$32,6,FALSE) &gt;= (test!$B$33)/1440),1,0)</f>
        <v>0</v>
      </c>
      <c r="AC21" s="2">
        <f>IF(AND(VLOOKUP(AC$1,test!$A$3:$F$32,5,FALSE) - VLOOKUP($A21,test!$A$3:$G$32,6,FALSE) &gt;= (test!$B$33)/1440),1,0)</f>
        <v>0</v>
      </c>
      <c r="AD21" s="2">
        <f>IF(AND(VLOOKUP(AD$1,test!$A$3:$F$32,5,FALSE) - VLOOKUP($A21,test!$A$3:$G$32,6,FALSE) &gt;= (test!$B$33)/1440),1,0)</f>
        <v>0</v>
      </c>
      <c r="AE21" s="2">
        <f>IF(AND(VLOOKUP(AE$1,test!$A$3:$F$32,5,FALSE) - VLOOKUP($A21,test!$A$3:$G$32,6,FALSE) &gt;= (test!$B$33)/1440),1,0)</f>
        <v>0</v>
      </c>
      <c r="AF21" s="2">
        <f>IF(AND(VLOOKUP(AF$1,test!$A$3:$F$32,5,FALSE) - VLOOKUP($A21,test!$A$3:$G$32,6,FALSE) &gt;= (test!$B$33)/1440),1,0)</f>
        <v>0</v>
      </c>
    </row>
    <row r="22" spans="1:32" x14ac:dyDescent="0.25">
      <c r="A22" t="s">
        <v>31</v>
      </c>
      <c r="B22">
        <v>0</v>
      </c>
      <c r="C22" s="2">
        <f>IF(AND(VLOOKUP(C$1,test!$A$3:$F$32,5,FALSE) - VLOOKUP($A22,test!$A$3:$G$32,6,FALSE) &gt;= (test!$B$33)/1440),1,0)</f>
        <v>0</v>
      </c>
      <c r="D22" s="2">
        <f>IF(AND(VLOOKUP(D$1,test!$A$3:$F$32,5,FALSE) - VLOOKUP($A22,test!$A$3:$G$32,6,FALSE) &gt;= (test!$B$33)/1440),1,0)</f>
        <v>0</v>
      </c>
      <c r="E22" s="2">
        <f>IF(AND(VLOOKUP(E$1,test!$A$3:$F$32,5,FALSE) - VLOOKUP($A22,test!$A$3:$G$32,6,FALSE) &gt;= (test!$B$33)/1440),1,0)</f>
        <v>0</v>
      </c>
      <c r="F22" s="2">
        <f>IF(AND(VLOOKUP(F$1,test!$A$3:$F$32,5,FALSE) - VLOOKUP($A22,test!$A$3:$G$32,6,FALSE) &gt;= (test!$B$33)/1440),1,0)</f>
        <v>0</v>
      </c>
      <c r="G22" s="2">
        <f>IF(AND(VLOOKUP(G$1,test!$A$3:$F$32,5,FALSE) - VLOOKUP($A22,test!$A$3:$G$32,6,FALSE) &gt;= (test!$B$33)/1440),1,0)</f>
        <v>0</v>
      </c>
      <c r="H22" s="2">
        <f>IF(AND(VLOOKUP(H$1,test!$A$3:$F$32,5,FALSE) - VLOOKUP($A22,test!$A$3:$G$32,6,FALSE) &gt;= (test!$B$33)/1440),1,0)</f>
        <v>0</v>
      </c>
      <c r="I22" s="2">
        <f>IF(AND(VLOOKUP(I$1,test!$A$3:$F$32,5,FALSE) - VLOOKUP($A22,test!$A$3:$G$32,6,FALSE) &gt;= (test!$B$33)/1440),1,0)</f>
        <v>0</v>
      </c>
      <c r="J22" s="2">
        <f>IF(AND(VLOOKUP(J$1,test!$A$3:$F$32,5,FALSE) - VLOOKUP($A22,test!$A$3:$G$32,6,FALSE) &gt;= (test!$B$33)/1440),1,0)</f>
        <v>1</v>
      </c>
      <c r="K22" s="2">
        <f>IF(AND(VLOOKUP(K$1,test!$A$3:$F$32,5,FALSE) - VLOOKUP($A22,test!$A$3:$G$32,6,FALSE) &gt;= (test!$B$33)/1440),1,0)</f>
        <v>0</v>
      </c>
      <c r="L22" s="2">
        <f>IF(AND(VLOOKUP(L$1,test!$A$3:$F$32,5,FALSE) - VLOOKUP($A22,test!$A$3:$G$32,6,FALSE) &gt;= (test!$B$33)/1440),1,0)</f>
        <v>0</v>
      </c>
      <c r="M22" s="2">
        <f>IF(AND(VLOOKUP(M$1,test!$A$3:$F$32,5,FALSE) - VLOOKUP($A22,test!$A$3:$G$32,6,FALSE) &gt;= (test!$B$33)/1440),1,0)</f>
        <v>0</v>
      </c>
      <c r="N22" s="2">
        <f>IF(AND(VLOOKUP(N$1,test!$A$3:$F$32,5,FALSE) - VLOOKUP($A22,test!$A$3:$G$32,6,FALSE) &gt;= (test!$B$33)/1440),1,0)</f>
        <v>0</v>
      </c>
      <c r="O22" s="2">
        <f>IF(AND(VLOOKUP(O$1,test!$A$3:$F$32,5,FALSE) - VLOOKUP($A22,test!$A$3:$G$32,6,FALSE) &gt;= (test!$B$33)/1440),1,0)</f>
        <v>1</v>
      </c>
      <c r="P22" s="2">
        <f>IF(AND(VLOOKUP(P$1,test!$A$3:$F$32,5,FALSE) - VLOOKUP($A22,test!$A$3:$G$32,6,FALSE) &gt;= (test!$B$33)/1440),1,0)</f>
        <v>0</v>
      </c>
      <c r="Q22" s="2">
        <f>IF(AND(VLOOKUP(Q$1,test!$A$3:$F$32,5,FALSE) - VLOOKUP($A22,test!$A$3:$G$32,6,FALSE) &gt;= (test!$B$33)/1440),1,0)</f>
        <v>0</v>
      </c>
      <c r="R22" s="2">
        <f>IF(AND(VLOOKUP(R$1,test!$A$3:$F$32,5,FALSE) - VLOOKUP($A22,test!$A$3:$G$32,6,FALSE) &gt;= (test!$B$33)/1440),1,0)</f>
        <v>0</v>
      </c>
      <c r="S22" s="2">
        <f>IF(AND(VLOOKUP(S$1,test!$A$3:$F$32,5,FALSE) - VLOOKUP($A22,test!$A$3:$G$32,6,FALSE) &gt;= (test!$B$33)/1440),1,0)</f>
        <v>0</v>
      </c>
      <c r="T22" s="2">
        <f>IF(AND(VLOOKUP(T$1,test!$A$3:$F$32,5,FALSE) - VLOOKUP($A22,test!$A$3:$G$32,6,FALSE) &gt;= (test!$B$33)/1440),1,0)</f>
        <v>0</v>
      </c>
      <c r="U22" s="2">
        <f>IF(AND(VLOOKUP(U$1,test!$A$3:$F$32,5,FALSE) - VLOOKUP($A22,test!$A$3:$G$32,6,FALSE) &gt;= (test!$B$33)/1440),1,0)</f>
        <v>0</v>
      </c>
      <c r="V22" s="2">
        <f>IF(AND(VLOOKUP(V$1,test!$A$3:$F$32,5,FALSE) - VLOOKUP($A22,test!$A$3:$G$32,6,FALSE) &gt;= (test!$B$33)/1440),1,0)</f>
        <v>0</v>
      </c>
      <c r="W22" s="2">
        <f>IF(AND(VLOOKUP(W$1,test!$A$3:$F$32,5,FALSE) - VLOOKUP($A22,test!$A$3:$G$32,6,FALSE) &gt;= (test!$B$33)/1440),1,0)</f>
        <v>0</v>
      </c>
      <c r="X22" s="2">
        <f>IF(AND(VLOOKUP(X$1,test!$A$3:$F$32,5,FALSE) - VLOOKUP($A22,test!$A$3:$G$32,6,FALSE) &gt;= (test!$B$33)/1440),1,0)</f>
        <v>0</v>
      </c>
      <c r="Y22" s="2">
        <f>IF(AND(VLOOKUP(Y$1,test!$A$3:$F$32,5,FALSE) - VLOOKUP($A22,test!$A$3:$G$32,6,FALSE) &gt;= (test!$B$33)/1440),1,0)</f>
        <v>0</v>
      </c>
      <c r="Z22" s="2">
        <f>IF(AND(VLOOKUP(Z$1,test!$A$3:$F$32,5,FALSE) - VLOOKUP($A22,test!$A$3:$G$32,6,FALSE) &gt;= (test!$B$33)/1440),1,0)</f>
        <v>0</v>
      </c>
      <c r="AA22" s="2">
        <f>IF(AND(VLOOKUP(AA$1,test!$A$3:$F$32,5,FALSE) - VLOOKUP($A22,test!$A$3:$G$32,6,FALSE) &gt;= (test!$B$33)/1440),1,0)</f>
        <v>0</v>
      </c>
      <c r="AB22" s="2">
        <f>IF(AND(VLOOKUP(AB$1,test!$A$3:$F$32,5,FALSE) - VLOOKUP($A22,test!$A$3:$G$32,6,FALSE) &gt;= (test!$B$33)/1440),1,0)</f>
        <v>0</v>
      </c>
      <c r="AC22" s="2">
        <f>IF(AND(VLOOKUP(AC$1,test!$A$3:$F$32,5,FALSE) - VLOOKUP($A22,test!$A$3:$G$32,6,FALSE) &gt;= (test!$B$33)/1440),1,0)</f>
        <v>0</v>
      </c>
      <c r="AD22" s="2">
        <f>IF(AND(VLOOKUP(AD$1,test!$A$3:$F$32,5,FALSE) - VLOOKUP($A22,test!$A$3:$G$32,6,FALSE) &gt;= (test!$B$33)/1440),1,0)</f>
        <v>0</v>
      </c>
      <c r="AE22" s="2">
        <f>IF(AND(VLOOKUP(AE$1,test!$A$3:$F$32,5,FALSE) - VLOOKUP($A22,test!$A$3:$G$32,6,FALSE) &gt;= (test!$B$33)/1440),1,0)</f>
        <v>0</v>
      </c>
      <c r="AF22" s="2">
        <f>IF(AND(VLOOKUP(AF$1,test!$A$3:$F$32,5,FALSE) - VLOOKUP($A22,test!$A$3:$G$32,6,FALSE) &gt;= (test!$B$33)/1440),1,0)</f>
        <v>0</v>
      </c>
    </row>
    <row r="23" spans="1:32" x14ac:dyDescent="0.25">
      <c r="A23" t="s">
        <v>32</v>
      </c>
      <c r="B23">
        <v>0</v>
      </c>
      <c r="C23" s="2">
        <f>IF(AND(VLOOKUP(C$1,test!$A$3:$F$32,5,FALSE) - VLOOKUP($A23,test!$A$3:$G$32,6,FALSE) &gt;= (test!$B$33)/1440),1,0)</f>
        <v>0</v>
      </c>
      <c r="D23" s="2">
        <f>IF(AND(VLOOKUP(D$1,test!$A$3:$F$32,5,FALSE) - VLOOKUP($A23,test!$A$3:$G$32,6,FALSE) &gt;= (test!$B$33)/1440),1,0)</f>
        <v>0</v>
      </c>
      <c r="E23" s="2">
        <f>IF(AND(VLOOKUP(E$1,test!$A$3:$F$32,5,FALSE) - VLOOKUP($A23,test!$A$3:$G$32,6,FALSE) &gt;= (test!$B$33)/1440),1,0)</f>
        <v>0</v>
      </c>
      <c r="F23" s="2">
        <f>IF(AND(VLOOKUP(F$1,test!$A$3:$F$32,5,FALSE) - VLOOKUP($A23,test!$A$3:$G$32,6,FALSE) &gt;= (test!$B$33)/1440),1,0)</f>
        <v>0</v>
      </c>
      <c r="G23" s="2">
        <f>IF(AND(VLOOKUP(G$1,test!$A$3:$F$32,5,FALSE) - VLOOKUP($A23,test!$A$3:$G$32,6,FALSE) &gt;= (test!$B$33)/1440),1,0)</f>
        <v>0</v>
      </c>
      <c r="H23" s="2">
        <f>IF(AND(VLOOKUP(H$1,test!$A$3:$F$32,5,FALSE) - VLOOKUP($A23,test!$A$3:$G$32,6,FALSE) &gt;= (test!$B$33)/1440),1,0)</f>
        <v>0</v>
      </c>
      <c r="I23" s="2">
        <f>IF(AND(VLOOKUP(I$1,test!$A$3:$F$32,5,FALSE) - VLOOKUP($A23,test!$A$3:$G$32,6,FALSE) &gt;= (test!$B$33)/1440),1,0)</f>
        <v>0</v>
      </c>
      <c r="J23" s="2">
        <f>IF(AND(VLOOKUP(J$1,test!$A$3:$F$32,5,FALSE) - VLOOKUP($A23,test!$A$3:$G$32,6,FALSE) &gt;= (test!$B$33)/1440),1,0)</f>
        <v>0</v>
      </c>
      <c r="K23" s="2">
        <f>IF(AND(VLOOKUP(K$1,test!$A$3:$F$32,5,FALSE) - VLOOKUP($A23,test!$A$3:$G$32,6,FALSE) &gt;= (test!$B$33)/1440),1,0)</f>
        <v>0</v>
      </c>
      <c r="L23" s="2">
        <f>IF(AND(VLOOKUP(L$1,test!$A$3:$F$32,5,FALSE) - VLOOKUP($A23,test!$A$3:$G$32,6,FALSE) &gt;= (test!$B$33)/1440),1,0)</f>
        <v>0</v>
      </c>
      <c r="M23" s="2">
        <f>IF(AND(VLOOKUP(M$1,test!$A$3:$F$32,5,FALSE) - VLOOKUP($A23,test!$A$3:$G$32,6,FALSE) &gt;= (test!$B$33)/1440),1,0)</f>
        <v>0</v>
      </c>
      <c r="N23" s="2">
        <f>IF(AND(VLOOKUP(N$1,test!$A$3:$F$32,5,FALSE) - VLOOKUP($A23,test!$A$3:$G$32,6,FALSE) &gt;= (test!$B$33)/1440),1,0)</f>
        <v>0</v>
      </c>
      <c r="O23" s="2">
        <f>IF(AND(VLOOKUP(O$1,test!$A$3:$F$32,5,FALSE) - VLOOKUP($A23,test!$A$3:$G$32,6,FALSE) &gt;= (test!$B$33)/1440),1,0)</f>
        <v>0</v>
      </c>
      <c r="P23" s="2">
        <f>IF(AND(VLOOKUP(P$1,test!$A$3:$F$32,5,FALSE) - VLOOKUP($A23,test!$A$3:$G$32,6,FALSE) &gt;= (test!$B$33)/1440),1,0)</f>
        <v>0</v>
      </c>
      <c r="Q23" s="2">
        <f>IF(AND(VLOOKUP(Q$1,test!$A$3:$F$32,5,FALSE) - VLOOKUP($A23,test!$A$3:$G$32,6,FALSE) &gt;= (test!$B$33)/1440),1,0)</f>
        <v>0</v>
      </c>
      <c r="R23" s="2">
        <f>IF(AND(VLOOKUP(R$1,test!$A$3:$F$32,5,FALSE) - VLOOKUP($A23,test!$A$3:$G$32,6,FALSE) &gt;= (test!$B$33)/1440),1,0)</f>
        <v>0</v>
      </c>
      <c r="S23" s="2">
        <f>IF(AND(VLOOKUP(S$1,test!$A$3:$F$32,5,FALSE) - VLOOKUP($A23,test!$A$3:$G$32,6,FALSE) &gt;= (test!$B$33)/1440),1,0)</f>
        <v>0</v>
      </c>
      <c r="T23" s="2">
        <f>IF(AND(VLOOKUP(T$1,test!$A$3:$F$32,5,FALSE) - VLOOKUP($A23,test!$A$3:$G$32,6,FALSE) &gt;= (test!$B$33)/1440),1,0)</f>
        <v>0</v>
      </c>
      <c r="U23" s="2">
        <f>IF(AND(VLOOKUP(U$1,test!$A$3:$F$32,5,FALSE) - VLOOKUP($A23,test!$A$3:$G$32,6,FALSE) &gt;= (test!$B$33)/1440),1,0)</f>
        <v>0</v>
      </c>
      <c r="V23" s="2">
        <f>IF(AND(VLOOKUP(V$1,test!$A$3:$F$32,5,FALSE) - VLOOKUP($A23,test!$A$3:$G$32,6,FALSE) &gt;= (test!$B$33)/1440),1,0)</f>
        <v>0</v>
      </c>
      <c r="W23" s="2">
        <f>IF(AND(VLOOKUP(W$1,test!$A$3:$F$32,5,FALSE) - VLOOKUP($A23,test!$A$3:$G$32,6,FALSE) &gt;= (test!$B$33)/1440),1,0)</f>
        <v>0</v>
      </c>
      <c r="X23" s="2">
        <f>IF(AND(VLOOKUP(X$1,test!$A$3:$F$32,5,FALSE) - VLOOKUP($A23,test!$A$3:$G$32,6,FALSE) &gt;= (test!$B$33)/1440),1,0)</f>
        <v>0</v>
      </c>
      <c r="Y23" s="2">
        <f>IF(AND(VLOOKUP(Y$1,test!$A$3:$F$32,5,FALSE) - VLOOKUP($A23,test!$A$3:$G$32,6,FALSE) &gt;= (test!$B$33)/1440),1,0)</f>
        <v>0</v>
      </c>
      <c r="Z23" s="2">
        <f>IF(AND(VLOOKUP(Z$1,test!$A$3:$F$32,5,FALSE) - VLOOKUP($A23,test!$A$3:$G$32,6,FALSE) &gt;= (test!$B$33)/1440),1,0)</f>
        <v>0</v>
      </c>
      <c r="AA23" s="2">
        <f>IF(AND(VLOOKUP(AA$1,test!$A$3:$F$32,5,FALSE) - VLOOKUP($A23,test!$A$3:$G$32,6,FALSE) &gt;= (test!$B$33)/1440),1,0)</f>
        <v>0</v>
      </c>
      <c r="AB23" s="2">
        <f>IF(AND(VLOOKUP(AB$1,test!$A$3:$F$32,5,FALSE) - VLOOKUP($A23,test!$A$3:$G$32,6,FALSE) &gt;= (test!$B$33)/1440),1,0)</f>
        <v>0</v>
      </c>
      <c r="AC23" s="2">
        <f>IF(AND(VLOOKUP(AC$1,test!$A$3:$F$32,5,FALSE) - VLOOKUP($A23,test!$A$3:$G$32,6,FALSE) &gt;= (test!$B$33)/1440),1,0)</f>
        <v>0</v>
      </c>
      <c r="AD23" s="2">
        <f>IF(AND(VLOOKUP(AD$1,test!$A$3:$F$32,5,FALSE) - VLOOKUP($A23,test!$A$3:$G$32,6,FALSE) &gt;= (test!$B$33)/1440),1,0)</f>
        <v>0</v>
      </c>
      <c r="AE23" s="2">
        <f>IF(AND(VLOOKUP(AE$1,test!$A$3:$F$32,5,FALSE) - VLOOKUP($A23,test!$A$3:$G$32,6,FALSE) &gt;= (test!$B$33)/1440),1,0)</f>
        <v>0</v>
      </c>
      <c r="AF23" s="2">
        <f>IF(AND(VLOOKUP(AF$1,test!$A$3:$F$32,5,FALSE) - VLOOKUP($A23,test!$A$3:$G$32,6,FALSE) &gt;= (test!$B$33)/1440),1,0)</f>
        <v>0</v>
      </c>
    </row>
    <row r="24" spans="1:32" x14ac:dyDescent="0.25">
      <c r="A24" t="s">
        <v>33</v>
      </c>
      <c r="B24">
        <v>0</v>
      </c>
      <c r="C24" s="2">
        <f>IF(AND(VLOOKUP(C$1,test!$A$3:$F$32,5,FALSE) - VLOOKUP($A24,test!$A$3:$G$32,6,FALSE) &gt;= (test!$B$33)/1440),1,0)</f>
        <v>0</v>
      </c>
      <c r="D24" s="2">
        <f>IF(AND(VLOOKUP(D$1,test!$A$3:$F$32,5,FALSE) - VLOOKUP($A24,test!$A$3:$G$32,6,FALSE) &gt;= (test!$B$33)/1440),1,0)</f>
        <v>0</v>
      </c>
      <c r="E24" s="2">
        <f>IF(AND(VLOOKUP(E$1,test!$A$3:$F$32,5,FALSE) - VLOOKUP($A24,test!$A$3:$G$32,6,FALSE) &gt;= (test!$B$33)/1440),1,0)</f>
        <v>0</v>
      </c>
      <c r="F24" s="2">
        <f>IF(AND(VLOOKUP(F$1,test!$A$3:$F$32,5,FALSE) - VLOOKUP($A24,test!$A$3:$G$32,6,FALSE) &gt;= (test!$B$33)/1440),1,0)</f>
        <v>0</v>
      </c>
      <c r="G24" s="2">
        <f>IF(AND(VLOOKUP(G$1,test!$A$3:$F$32,5,FALSE) - VLOOKUP($A24,test!$A$3:$G$32,6,FALSE) &gt;= (test!$B$33)/1440),1,0)</f>
        <v>0</v>
      </c>
      <c r="H24" s="2">
        <f>IF(AND(VLOOKUP(H$1,test!$A$3:$F$32,5,FALSE) - VLOOKUP($A24,test!$A$3:$G$32,6,FALSE) &gt;= (test!$B$33)/1440),1,0)</f>
        <v>0</v>
      </c>
      <c r="I24" s="2">
        <f>IF(AND(VLOOKUP(I$1,test!$A$3:$F$32,5,FALSE) - VLOOKUP($A24,test!$A$3:$G$32,6,FALSE) &gt;= (test!$B$33)/1440),1,0)</f>
        <v>0</v>
      </c>
      <c r="J24" s="2">
        <f>IF(AND(VLOOKUP(J$1,test!$A$3:$F$32,5,FALSE) - VLOOKUP($A24,test!$A$3:$G$32,6,FALSE) &gt;= (test!$B$33)/1440),1,0)</f>
        <v>0</v>
      </c>
      <c r="K24" s="2">
        <f>IF(AND(VLOOKUP(K$1,test!$A$3:$F$32,5,FALSE) - VLOOKUP($A24,test!$A$3:$G$32,6,FALSE) &gt;= (test!$B$33)/1440),1,0)</f>
        <v>0</v>
      </c>
      <c r="L24" s="2">
        <f>IF(AND(VLOOKUP(L$1,test!$A$3:$F$32,5,FALSE) - VLOOKUP($A24,test!$A$3:$G$32,6,FALSE) &gt;= (test!$B$33)/1440),1,0)</f>
        <v>0</v>
      </c>
      <c r="M24" s="2">
        <f>IF(AND(VLOOKUP(M$1,test!$A$3:$F$32,5,FALSE) - VLOOKUP($A24,test!$A$3:$G$32,6,FALSE) &gt;= (test!$B$33)/1440),1,0)</f>
        <v>0</v>
      </c>
      <c r="N24" s="2">
        <f>IF(AND(VLOOKUP(N$1,test!$A$3:$F$32,5,FALSE) - VLOOKUP($A24,test!$A$3:$G$32,6,FALSE) &gt;= (test!$B$33)/1440),1,0)</f>
        <v>0</v>
      </c>
      <c r="O24" s="2">
        <f>IF(AND(VLOOKUP(O$1,test!$A$3:$F$32,5,FALSE) - VLOOKUP($A24,test!$A$3:$G$32,6,FALSE) &gt;= (test!$B$33)/1440),1,0)</f>
        <v>0</v>
      </c>
      <c r="P24" s="2">
        <f>IF(AND(VLOOKUP(P$1,test!$A$3:$F$32,5,FALSE) - VLOOKUP($A24,test!$A$3:$G$32,6,FALSE) &gt;= (test!$B$33)/1440),1,0)</f>
        <v>0</v>
      </c>
      <c r="Q24" s="2">
        <f>IF(AND(VLOOKUP(Q$1,test!$A$3:$F$32,5,FALSE) - VLOOKUP($A24,test!$A$3:$G$32,6,FALSE) &gt;= (test!$B$33)/1440),1,0)</f>
        <v>0</v>
      </c>
      <c r="R24" s="2">
        <f>IF(AND(VLOOKUP(R$1,test!$A$3:$F$32,5,FALSE) - VLOOKUP($A24,test!$A$3:$G$32,6,FALSE) &gt;= (test!$B$33)/1440),1,0)</f>
        <v>0</v>
      </c>
      <c r="S24" s="2">
        <f>IF(AND(VLOOKUP(S$1,test!$A$3:$F$32,5,FALSE) - VLOOKUP($A24,test!$A$3:$G$32,6,FALSE) &gt;= (test!$B$33)/1440),1,0)</f>
        <v>0</v>
      </c>
      <c r="T24" s="2">
        <f>IF(AND(VLOOKUP(T$1,test!$A$3:$F$32,5,FALSE) - VLOOKUP($A24,test!$A$3:$G$32,6,FALSE) &gt;= (test!$B$33)/1440),1,0)</f>
        <v>0</v>
      </c>
      <c r="U24" s="2">
        <f>IF(AND(VLOOKUP(U$1,test!$A$3:$F$32,5,FALSE) - VLOOKUP($A24,test!$A$3:$G$32,6,FALSE) &gt;= (test!$B$33)/1440),1,0)</f>
        <v>0</v>
      </c>
      <c r="V24" s="2">
        <f>IF(AND(VLOOKUP(V$1,test!$A$3:$F$32,5,FALSE) - VLOOKUP($A24,test!$A$3:$G$32,6,FALSE) &gt;= (test!$B$33)/1440),1,0)</f>
        <v>0</v>
      </c>
      <c r="W24" s="2">
        <f>IF(AND(VLOOKUP(W$1,test!$A$3:$F$32,5,FALSE) - VLOOKUP($A24,test!$A$3:$G$32,6,FALSE) &gt;= (test!$B$33)/1440),1,0)</f>
        <v>0</v>
      </c>
      <c r="X24" s="2">
        <f>IF(AND(VLOOKUP(X$1,test!$A$3:$F$32,5,FALSE) - VLOOKUP($A24,test!$A$3:$G$32,6,FALSE) &gt;= (test!$B$33)/1440),1,0)</f>
        <v>0</v>
      </c>
      <c r="Y24" s="2">
        <f>IF(AND(VLOOKUP(Y$1,test!$A$3:$F$32,5,FALSE) - VLOOKUP($A24,test!$A$3:$G$32,6,FALSE) &gt;= (test!$B$33)/1440),1,0)</f>
        <v>0</v>
      </c>
      <c r="Z24" s="2">
        <f>IF(AND(VLOOKUP(Z$1,test!$A$3:$F$32,5,FALSE) - VLOOKUP($A24,test!$A$3:$G$32,6,FALSE) &gt;= (test!$B$33)/1440),1,0)</f>
        <v>0</v>
      </c>
      <c r="AA24" s="2">
        <f>IF(AND(VLOOKUP(AA$1,test!$A$3:$F$32,5,FALSE) - VLOOKUP($A24,test!$A$3:$G$32,6,FALSE) &gt;= (test!$B$33)/1440),1,0)</f>
        <v>0</v>
      </c>
      <c r="AB24" s="2">
        <f>IF(AND(VLOOKUP(AB$1,test!$A$3:$F$32,5,FALSE) - VLOOKUP($A24,test!$A$3:$G$32,6,FALSE) &gt;= (test!$B$33)/1440),1,0)</f>
        <v>0</v>
      </c>
      <c r="AC24" s="2">
        <f>IF(AND(VLOOKUP(AC$1,test!$A$3:$F$32,5,FALSE) - VLOOKUP($A24,test!$A$3:$G$32,6,FALSE) &gt;= (test!$B$33)/1440),1,0)</f>
        <v>0</v>
      </c>
      <c r="AD24" s="2">
        <f>IF(AND(VLOOKUP(AD$1,test!$A$3:$F$32,5,FALSE) - VLOOKUP($A24,test!$A$3:$G$32,6,FALSE) &gt;= (test!$B$33)/1440),1,0)</f>
        <v>0</v>
      </c>
      <c r="AE24" s="2">
        <f>IF(AND(VLOOKUP(AE$1,test!$A$3:$F$32,5,FALSE) - VLOOKUP($A24,test!$A$3:$G$32,6,FALSE) &gt;= (test!$B$33)/1440),1,0)</f>
        <v>0</v>
      </c>
      <c r="AF24" s="2">
        <f>IF(AND(VLOOKUP(AF$1,test!$A$3:$F$32,5,FALSE) - VLOOKUP($A24,test!$A$3:$G$32,6,FALSE) &gt;= (test!$B$33)/1440),1,0)</f>
        <v>0</v>
      </c>
    </row>
    <row r="25" spans="1:32" x14ac:dyDescent="0.25">
      <c r="A25" t="s">
        <v>34</v>
      </c>
      <c r="B25">
        <v>0</v>
      </c>
      <c r="C25" s="2">
        <f>IF(AND(VLOOKUP(C$1,test!$A$3:$F$32,5,FALSE) - VLOOKUP($A25,test!$A$3:$G$32,6,FALSE) &gt;= (test!$B$33)/1440),1,0)</f>
        <v>0</v>
      </c>
      <c r="D25" s="2">
        <f>IF(AND(VLOOKUP(D$1,test!$A$3:$F$32,5,FALSE) - VLOOKUP($A25,test!$A$3:$G$32,6,FALSE) &gt;= (test!$B$33)/1440),1,0)</f>
        <v>0</v>
      </c>
      <c r="E25" s="2">
        <f>IF(AND(VLOOKUP(E$1,test!$A$3:$F$32,5,FALSE) - VLOOKUP($A25,test!$A$3:$G$32,6,FALSE) &gt;= (test!$B$33)/1440),1,0)</f>
        <v>1</v>
      </c>
      <c r="F25" s="2">
        <f>IF(AND(VLOOKUP(F$1,test!$A$3:$F$32,5,FALSE) - VLOOKUP($A25,test!$A$3:$G$32,6,FALSE) &gt;= (test!$B$33)/1440),1,0)</f>
        <v>1</v>
      </c>
      <c r="G25" s="2">
        <f>IF(AND(VLOOKUP(G$1,test!$A$3:$F$32,5,FALSE) - VLOOKUP($A25,test!$A$3:$G$32,6,FALSE) &gt;= (test!$B$33)/1440),1,0)</f>
        <v>1</v>
      </c>
      <c r="H25" s="2">
        <f>IF(AND(VLOOKUP(H$1,test!$A$3:$F$32,5,FALSE) - VLOOKUP($A25,test!$A$3:$G$32,6,FALSE) &gt;= (test!$B$33)/1440),1,0)</f>
        <v>1</v>
      </c>
      <c r="I25" s="2">
        <f>IF(AND(VLOOKUP(I$1,test!$A$3:$F$32,5,FALSE) - VLOOKUP($A25,test!$A$3:$G$32,6,FALSE) &gt;= (test!$B$33)/1440),1,0)</f>
        <v>1</v>
      </c>
      <c r="J25" s="2">
        <f>IF(AND(VLOOKUP(J$1,test!$A$3:$F$32,5,FALSE) - VLOOKUP($A25,test!$A$3:$G$32,6,FALSE) &gt;= (test!$B$33)/1440),1,0)</f>
        <v>1</v>
      </c>
      <c r="K25" s="2">
        <f>IF(AND(VLOOKUP(K$1,test!$A$3:$F$32,5,FALSE) - VLOOKUP($A25,test!$A$3:$G$32,6,FALSE) &gt;= (test!$B$33)/1440),1,0)</f>
        <v>0</v>
      </c>
      <c r="L25" s="2">
        <f>IF(AND(VLOOKUP(L$1,test!$A$3:$F$32,5,FALSE) - VLOOKUP($A25,test!$A$3:$G$32,6,FALSE) &gt;= (test!$B$33)/1440),1,0)</f>
        <v>0</v>
      </c>
      <c r="M25" s="2">
        <f>IF(AND(VLOOKUP(M$1,test!$A$3:$F$32,5,FALSE) - VLOOKUP($A25,test!$A$3:$G$32,6,FALSE) &gt;= (test!$B$33)/1440),1,0)</f>
        <v>1</v>
      </c>
      <c r="N25" s="2">
        <f>IF(AND(VLOOKUP(N$1,test!$A$3:$F$32,5,FALSE) - VLOOKUP($A25,test!$A$3:$G$32,6,FALSE) &gt;= (test!$B$33)/1440),1,0)</f>
        <v>1</v>
      </c>
      <c r="O25" s="2">
        <f>IF(AND(VLOOKUP(O$1,test!$A$3:$F$32,5,FALSE) - VLOOKUP($A25,test!$A$3:$G$32,6,FALSE) &gt;= (test!$B$33)/1440),1,0)</f>
        <v>1</v>
      </c>
      <c r="P25" s="2">
        <f>IF(AND(VLOOKUP(P$1,test!$A$3:$F$32,5,FALSE) - VLOOKUP($A25,test!$A$3:$G$32,6,FALSE) &gt;= (test!$B$33)/1440),1,0)</f>
        <v>0</v>
      </c>
      <c r="Q25" s="2">
        <f>IF(AND(VLOOKUP(Q$1,test!$A$3:$F$32,5,FALSE) - VLOOKUP($A25,test!$A$3:$G$32,6,FALSE) &gt;= (test!$B$33)/1440),1,0)</f>
        <v>0</v>
      </c>
      <c r="R25" s="2">
        <f>IF(AND(VLOOKUP(R$1,test!$A$3:$F$32,5,FALSE) - VLOOKUP($A25,test!$A$3:$G$32,6,FALSE) &gt;= (test!$B$33)/1440),1,0)</f>
        <v>0</v>
      </c>
      <c r="S25" s="2">
        <f>IF(AND(VLOOKUP(S$1,test!$A$3:$F$32,5,FALSE) - VLOOKUP($A25,test!$A$3:$G$32,6,FALSE) &gt;= (test!$B$33)/1440),1,0)</f>
        <v>0</v>
      </c>
      <c r="T25" s="2">
        <f>IF(AND(VLOOKUP(T$1,test!$A$3:$F$32,5,FALSE) - VLOOKUP($A25,test!$A$3:$G$32,6,FALSE) &gt;= (test!$B$33)/1440),1,0)</f>
        <v>1</v>
      </c>
      <c r="U25" s="2">
        <f>IF(AND(VLOOKUP(U$1,test!$A$3:$F$32,5,FALSE) - VLOOKUP($A25,test!$A$3:$G$32,6,FALSE) &gt;= (test!$B$33)/1440),1,0)</f>
        <v>1</v>
      </c>
      <c r="V25" s="2">
        <f>IF(AND(VLOOKUP(V$1,test!$A$3:$F$32,5,FALSE) - VLOOKUP($A25,test!$A$3:$G$32,6,FALSE) &gt;= (test!$B$33)/1440),1,0)</f>
        <v>1</v>
      </c>
      <c r="W25" s="2">
        <f>IF(AND(VLOOKUP(W$1,test!$A$3:$F$32,5,FALSE) - VLOOKUP($A25,test!$A$3:$G$32,6,FALSE) &gt;= (test!$B$33)/1440),1,0)</f>
        <v>1</v>
      </c>
      <c r="X25" s="2">
        <f>IF(AND(VLOOKUP(X$1,test!$A$3:$F$32,5,FALSE) - VLOOKUP($A25,test!$A$3:$G$32,6,FALSE) &gt;= (test!$B$33)/1440),1,0)</f>
        <v>1</v>
      </c>
      <c r="Y25" s="2">
        <f>IF(AND(VLOOKUP(Y$1,test!$A$3:$F$32,5,FALSE) - VLOOKUP($A25,test!$A$3:$G$32,6,FALSE) &gt;= (test!$B$33)/1440),1,0)</f>
        <v>0</v>
      </c>
      <c r="Z25" s="2">
        <f>IF(AND(VLOOKUP(Z$1,test!$A$3:$F$32,5,FALSE) - VLOOKUP($A25,test!$A$3:$G$32,6,FALSE) &gt;= (test!$B$33)/1440),1,0)</f>
        <v>0</v>
      </c>
      <c r="AA25" s="2">
        <f>IF(AND(VLOOKUP(AA$1,test!$A$3:$F$32,5,FALSE) - VLOOKUP($A25,test!$A$3:$G$32,6,FALSE) &gt;= (test!$B$33)/1440),1,0)</f>
        <v>1</v>
      </c>
      <c r="AB25" s="2">
        <f>IF(AND(VLOOKUP(AB$1,test!$A$3:$F$32,5,FALSE) - VLOOKUP($A25,test!$A$3:$G$32,6,FALSE) &gt;= (test!$B$33)/1440),1,0)</f>
        <v>1</v>
      </c>
      <c r="AC25" s="2">
        <f>IF(AND(VLOOKUP(AC$1,test!$A$3:$F$32,5,FALSE) - VLOOKUP($A25,test!$A$3:$G$32,6,FALSE) &gt;= (test!$B$33)/1440),1,0)</f>
        <v>1</v>
      </c>
      <c r="AD25" s="2">
        <f>IF(AND(VLOOKUP(AD$1,test!$A$3:$F$32,5,FALSE) - VLOOKUP($A25,test!$A$3:$G$32,6,FALSE) &gt;= (test!$B$33)/1440),1,0)</f>
        <v>0</v>
      </c>
      <c r="AE25" s="2">
        <f>IF(AND(VLOOKUP(AE$1,test!$A$3:$F$32,5,FALSE) - VLOOKUP($A25,test!$A$3:$G$32,6,FALSE) &gt;= (test!$B$33)/1440),1,0)</f>
        <v>1</v>
      </c>
      <c r="AF25" s="2">
        <f>IF(AND(VLOOKUP(AF$1,test!$A$3:$F$32,5,FALSE) - VLOOKUP($A25,test!$A$3:$G$32,6,FALSE) &gt;= (test!$B$33)/1440),1,0)</f>
        <v>1</v>
      </c>
    </row>
    <row r="26" spans="1:32" x14ac:dyDescent="0.25">
      <c r="A26" t="s">
        <v>35</v>
      </c>
      <c r="B26">
        <v>0</v>
      </c>
      <c r="C26" s="2">
        <f>IF(AND(VLOOKUP(C$1,test!$A$3:$F$32,5,FALSE) - VLOOKUP($A26,test!$A$3:$G$32,6,FALSE) &gt;= (test!$B$33)/1440),1,0)</f>
        <v>0</v>
      </c>
      <c r="D26" s="2">
        <f>IF(AND(VLOOKUP(D$1,test!$A$3:$F$32,5,FALSE) - VLOOKUP($A26,test!$A$3:$G$32,6,FALSE) &gt;= (test!$B$33)/1440),1,0)</f>
        <v>0</v>
      </c>
      <c r="E26" s="2">
        <f>IF(AND(VLOOKUP(E$1,test!$A$3:$F$32,5,FALSE) - VLOOKUP($A26,test!$A$3:$G$32,6,FALSE) &gt;= (test!$B$33)/1440),1,0)</f>
        <v>0</v>
      </c>
      <c r="F26" s="2">
        <f>IF(AND(VLOOKUP(F$1,test!$A$3:$F$32,5,FALSE) - VLOOKUP($A26,test!$A$3:$G$32,6,FALSE) &gt;= (test!$B$33)/1440),1,0)</f>
        <v>0</v>
      </c>
      <c r="G26" s="2">
        <f>IF(AND(VLOOKUP(G$1,test!$A$3:$F$32,5,FALSE) - VLOOKUP($A26,test!$A$3:$G$32,6,FALSE) &gt;= (test!$B$33)/1440),1,0)</f>
        <v>1</v>
      </c>
      <c r="H26" s="2">
        <f>IF(AND(VLOOKUP(H$1,test!$A$3:$F$32,5,FALSE) - VLOOKUP($A26,test!$A$3:$G$32,6,FALSE) &gt;= (test!$B$33)/1440),1,0)</f>
        <v>1</v>
      </c>
      <c r="I26" s="2">
        <f>IF(AND(VLOOKUP(I$1,test!$A$3:$F$32,5,FALSE) - VLOOKUP($A26,test!$A$3:$G$32,6,FALSE) &gt;= (test!$B$33)/1440),1,0)</f>
        <v>1</v>
      </c>
      <c r="J26" s="2">
        <f>IF(AND(VLOOKUP(J$1,test!$A$3:$F$32,5,FALSE) - VLOOKUP($A26,test!$A$3:$G$32,6,FALSE) &gt;= (test!$B$33)/1440),1,0)</f>
        <v>1</v>
      </c>
      <c r="K26" s="2">
        <f>IF(AND(VLOOKUP(K$1,test!$A$3:$F$32,5,FALSE) - VLOOKUP($A26,test!$A$3:$G$32,6,FALSE) &gt;= (test!$B$33)/1440),1,0)</f>
        <v>0</v>
      </c>
      <c r="L26" s="2">
        <f>IF(AND(VLOOKUP(L$1,test!$A$3:$F$32,5,FALSE) - VLOOKUP($A26,test!$A$3:$G$32,6,FALSE) &gt;= (test!$B$33)/1440),1,0)</f>
        <v>0</v>
      </c>
      <c r="M26" s="2">
        <f>IF(AND(VLOOKUP(M$1,test!$A$3:$F$32,5,FALSE) - VLOOKUP($A26,test!$A$3:$G$32,6,FALSE) &gt;= (test!$B$33)/1440),1,0)</f>
        <v>0</v>
      </c>
      <c r="N26" s="2">
        <f>IF(AND(VLOOKUP(N$1,test!$A$3:$F$32,5,FALSE) - VLOOKUP($A26,test!$A$3:$G$32,6,FALSE) &gt;= (test!$B$33)/1440),1,0)</f>
        <v>1</v>
      </c>
      <c r="O26" s="2">
        <f>IF(AND(VLOOKUP(O$1,test!$A$3:$F$32,5,FALSE) - VLOOKUP($A26,test!$A$3:$G$32,6,FALSE) &gt;= (test!$B$33)/1440),1,0)</f>
        <v>1</v>
      </c>
      <c r="P26" s="2">
        <f>IF(AND(VLOOKUP(P$1,test!$A$3:$F$32,5,FALSE) - VLOOKUP($A26,test!$A$3:$G$32,6,FALSE) &gt;= (test!$B$33)/1440),1,0)</f>
        <v>0</v>
      </c>
      <c r="Q26" s="2">
        <f>IF(AND(VLOOKUP(Q$1,test!$A$3:$F$32,5,FALSE) - VLOOKUP($A26,test!$A$3:$G$32,6,FALSE) &gt;= (test!$B$33)/1440),1,0)</f>
        <v>0</v>
      </c>
      <c r="R26" s="2">
        <f>IF(AND(VLOOKUP(R$1,test!$A$3:$F$32,5,FALSE) - VLOOKUP($A26,test!$A$3:$G$32,6,FALSE) &gt;= (test!$B$33)/1440),1,0)</f>
        <v>0</v>
      </c>
      <c r="S26" s="2">
        <f>IF(AND(VLOOKUP(S$1,test!$A$3:$F$32,5,FALSE) - VLOOKUP($A26,test!$A$3:$G$32,6,FALSE) &gt;= (test!$B$33)/1440),1,0)</f>
        <v>0</v>
      </c>
      <c r="T26" s="2">
        <f>IF(AND(VLOOKUP(T$1,test!$A$3:$F$32,5,FALSE) - VLOOKUP($A26,test!$A$3:$G$32,6,FALSE) &gt;= (test!$B$33)/1440),1,0)</f>
        <v>0</v>
      </c>
      <c r="U26" s="2">
        <f>IF(AND(VLOOKUP(U$1,test!$A$3:$F$32,5,FALSE) - VLOOKUP($A26,test!$A$3:$G$32,6,FALSE) &gt;= (test!$B$33)/1440),1,0)</f>
        <v>0</v>
      </c>
      <c r="V26" s="2">
        <f>IF(AND(VLOOKUP(V$1,test!$A$3:$F$32,5,FALSE) - VLOOKUP($A26,test!$A$3:$G$32,6,FALSE) &gt;= (test!$B$33)/1440),1,0)</f>
        <v>1</v>
      </c>
      <c r="W26" s="2">
        <f>IF(AND(VLOOKUP(W$1,test!$A$3:$F$32,5,FALSE) - VLOOKUP($A26,test!$A$3:$G$32,6,FALSE) &gt;= (test!$B$33)/1440),1,0)</f>
        <v>1</v>
      </c>
      <c r="X26" s="2">
        <f>IF(AND(VLOOKUP(X$1,test!$A$3:$F$32,5,FALSE) - VLOOKUP($A26,test!$A$3:$G$32,6,FALSE) &gt;= (test!$B$33)/1440),1,0)</f>
        <v>1</v>
      </c>
      <c r="Y26" s="2">
        <f>IF(AND(VLOOKUP(Y$1,test!$A$3:$F$32,5,FALSE) - VLOOKUP($A26,test!$A$3:$G$32,6,FALSE) &gt;= (test!$B$33)/1440),1,0)</f>
        <v>0</v>
      </c>
      <c r="Z26" s="2">
        <f>IF(AND(VLOOKUP(Z$1,test!$A$3:$F$32,5,FALSE) - VLOOKUP($A26,test!$A$3:$G$32,6,FALSE) &gt;= (test!$B$33)/1440),1,0)</f>
        <v>0</v>
      </c>
      <c r="AA26" s="2">
        <f>IF(AND(VLOOKUP(AA$1,test!$A$3:$F$32,5,FALSE) - VLOOKUP($A26,test!$A$3:$G$32,6,FALSE) &gt;= (test!$B$33)/1440),1,0)</f>
        <v>0</v>
      </c>
      <c r="AB26" s="2">
        <f>IF(AND(VLOOKUP(AB$1,test!$A$3:$F$32,5,FALSE) - VLOOKUP($A26,test!$A$3:$G$32,6,FALSE) &gt;= (test!$B$33)/1440),1,0)</f>
        <v>0</v>
      </c>
      <c r="AC26" s="2">
        <f>IF(AND(VLOOKUP(AC$1,test!$A$3:$F$32,5,FALSE) - VLOOKUP($A26,test!$A$3:$G$32,6,FALSE) &gt;= (test!$B$33)/1440),1,0)</f>
        <v>1</v>
      </c>
      <c r="AD26" s="2">
        <f>IF(AND(VLOOKUP(AD$1,test!$A$3:$F$32,5,FALSE) - VLOOKUP($A26,test!$A$3:$G$32,6,FALSE) &gt;= (test!$B$33)/1440),1,0)</f>
        <v>0</v>
      </c>
      <c r="AE26" s="2">
        <f>IF(AND(VLOOKUP(AE$1,test!$A$3:$F$32,5,FALSE) - VLOOKUP($A26,test!$A$3:$G$32,6,FALSE) &gt;= (test!$B$33)/1440),1,0)</f>
        <v>0</v>
      </c>
      <c r="AF26" s="2">
        <f>IF(AND(VLOOKUP(AF$1,test!$A$3:$F$32,5,FALSE) - VLOOKUP($A26,test!$A$3:$G$32,6,FALSE) &gt;= (test!$B$33)/1440),1,0)</f>
        <v>0</v>
      </c>
    </row>
    <row r="27" spans="1:32" x14ac:dyDescent="0.25">
      <c r="A27" t="s">
        <v>36</v>
      </c>
      <c r="B27">
        <v>0</v>
      </c>
      <c r="C27" s="2">
        <f>IF(AND(VLOOKUP(C$1,test!$A$3:$F$32,5,FALSE) - VLOOKUP($A27,test!$A$3:$G$32,6,FALSE) &gt;= (test!$B$33)/1440),1,0)</f>
        <v>0</v>
      </c>
      <c r="D27" s="2">
        <f>IF(AND(VLOOKUP(D$1,test!$A$3:$F$32,5,FALSE) - VLOOKUP($A27,test!$A$3:$G$32,6,FALSE) &gt;= (test!$B$33)/1440),1,0)</f>
        <v>0</v>
      </c>
      <c r="E27" s="2">
        <f>IF(AND(VLOOKUP(E$1,test!$A$3:$F$32,5,FALSE) - VLOOKUP($A27,test!$A$3:$G$32,6,FALSE) &gt;= (test!$B$33)/1440),1,0)</f>
        <v>0</v>
      </c>
      <c r="F27" s="2">
        <f>IF(AND(VLOOKUP(F$1,test!$A$3:$F$32,5,FALSE) - VLOOKUP($A27,test!$A$3:$G$32,6,FALSE) &gt;= (test!$B$33)/1440),1,0)</f>
        <v>0</v>
      </c>
      <c r="G27" s="2">
        <f>IF(AND(VLOOKUP(G$1,test!$A$3:$F$32,5,FALSE) - VLOOKUP($A27,test!$A$3:$G$32,6,FALSE) &gt;= (test!$B$33)/1440),1,0)</f>
        <v>0</v>
      </c>
      <c r="H27" s="2">
        <f>IF(AND(VLOOKUP(H$1,test!$A$3:$F$32,5,FALSE) - VLOOKUP($A27,test!$A$3:$G$32,6,FALSE) &gt;= (test!$B$33)/1440),1,0)</f>
        <v>0</v>
      </c>
      <c r="I27" s="2">
        <f>IF(AND(VLOOKUP(I$1,test!$A$3:$F$32,5,FALSE) - VLOOKUP($A27,test!$A$3:$G$32,6,FALSE) &gt;= (test!$B$33)/1440),1,0)</f>
        <v>1</v>
      </c>
      <c r="J27" s="2">
        <f>IF(AND(VLOOKUP(J$1,test!$A$3:$F$32,5,FALSE) - VLOOKUP($A27,test!$A$3:$G$32,6,FALSE) &gt;= (test!$B$33)/1440),1,0)</f>
        <v>1</v>
      </c>
      <c r="K27" s="2">
        <f>IF(AND(VLOOKUP(K$1,test!$A$3:$F$32,5,FALSE) - VLOOKUP($A27,test!$A$3:$G$32,6,FALSE) &gt;= (test!$B$33)/1440),1,0)</f>
        <v>0</v>
      </c>
      <c r="L27" s="2">
        <f>IF(AND(VLOOKUP(L$1,test!$A$3:$F$32,5,FALSE) - VLOOKUP($A27,test!$A$3:$G$32,6,FALSE) &gt;= (test!$B$33)/1440),1,0)</f>
        <v>0</v>
      </c>
      <c r="M27" s="2">
        <f>IF(AND(VLOOKUP(M$1,test!$A$3:$F$32,5,FALSE) - VLOOKUP($A27,test!$A$3:$G$32,6,FALSE) &gt;= (test!$B$33)/1440),1,0)</f>
        <v>0</v>
      </c>
      <c r="N27" s="2">
        <f>IF(AND(VLOOKUP(N$1,test!$A$3:$F$32,5,FALSE) - VLOOKUP($A27,test!$A$3:$G$32,6,FALSE) &gt;= (test!$B$33)/1440),1,0)</f>
        <v>1</v>
      </c>
      <c r="O27" s="2">
        <f>IF(AND(VLOOKUP(O$1,test!$A$3:$F$32,5,FALSE) - VLOOKUP($A27,test!$A$3:$G$32,6,FALSE) &gt;= (test!$B$33)/1440),1,0)</f>
        <v>1</v>
      </c>
      <c r="P27" s="2">
        <f>IF(AND(VLOOKUP(P$1,test!$A$3:$F$32,5,FALSE) - VLOOKUP($A27,test!$A$3:$G$32,6,FALSE) &gt;= (test!$B$33)/1440),1,0)</f>
        <v>0</v>
      </c>
      <c r="Q27" s="2">
        <f>IF(AND(VLOOKUP(Q$1,test!$A$3:$F$32,5,FALSE) - VLOOKUP($A27,test!$A$3:$G$32,6,FALSE) &gt;= (test!$B$33)/1440),1,0)</f>
        <v>0</v>
      </c>
      <c r="R27" s="2">
        <f>IF(AND(VLOOKUP(R$1,test!$A$3:$F$32,5,FALSE) - VLOOKUP($A27,test!$A$3:$G$32,6,FALSE) &gt;= (test!$B$33)/1440),1,0)</f>
        <v>0</v>
      </c>
      <c r="S27" s="2">
        <f>IF(AND(VLOOKUP(S$1,test!$A$3:$F$32,5,FALSE) - VLOOKUP($A27,test!$A$3:$G$32,6,FALSE) &gt;= (test!$B$33)/1440),1,0)</f>
        <v>0</v>
      </c>
      <c r="T27" s="2">
        <f>IF(AND(VLOOKUP(T$1,test!$A$3:$F$32,5,FALSE) - VLOOKUP($A27,test!$A$3:$G$32,6,FALSE) &gt;= (test!$B$33)/1440),1,0)</f>
        <v>0</v>
      </c>
      <c r="U27" s="2">
        <f>IF(AND(VLOOKUP(U$1,test!$A$3:$F$32,5,FALSE) - VLOOKUP($A27,test!$A$3:$G$32,6,FALSE) &gt;= (test!$B$33)/1440),1,0)</f>
        <v>0</v>
      </c>
      <c r="V27" s="2">
        <f>IF(AND(VLOOKUP(V$1,test!$A$3:$F$32,5,FALSE) - VLOOKUP($A27,test!$A$3:$G$32,6,FALSE) &gt;= (test!$B$33)/1440),1,0)</f>
        <v>0</v>
      </c>
      <c r="W27" s="2">
        <f>IF(AND(VLOOKUP(W$1,test!$A$3:$F$32,5,FALSE) - VLOOKUP($A27,test!$A$3:$G$32,6,FALSE) &gt;= (test!$B$33)/1440),1,0)</f>
        <v>1</v>
      </c>
      <c r="X27" s="2">
        <f>IF(AND(VLOOKUP(X$1,test!$A$3:$F$32,5,FALSE) - VLOOKUP($A27,test!$A$3:$G$32,6,FALSE) &gt;= (test!$B$33)/1440),1,0)</f>
        <v>1</v>
      </c>
      <c r="Y27" s="2">
        <f>IF(AND(VLOOKUP(Y$1,test!$A$3:$F$32,5,FALSE) - VLOOKUP($A27,test!$A$3:$G$32,6,FALSE) &gt;= (test!$B$33)/1440),1,0)</f>
        <v>0</v>
      </c>
      <c r="Z27" s="2">
        <f>IF(AND(VLOOKUP(Z$1,test!$A$3:$F$32,5,FALSE) - VLOOKUP($A27,test!$A$3:$G$32,6,FALSE) &gt;= (test!$B$33)/1440),1,0)</f>
        <v>0</v>
      </c>
      <c r="AA27" s="2">
        <f>IF(AND(VLOOKUP(AA$1,test!$A$3:$F$32,5,FALSE) - VLOOKUP($A27,test!$A$3:$G$32,6,FALSE) &gt;= (test!$B$33)/1440),1,0)</f>
        <v>0</v>
      </c>
      <c r="AB27" s="2">
        <f>IF(AND(VLOOKUP(AB$1,test!$A$3:$F$32,5,FALSE) - VLOOKUP($A27,test!$A$3:$G$32,6,FALSE) &gt;= (test!$B$33)/1440),1,0)</f>
        <v>0</v>
      </c>
      <c r="AC27" s="2">
        <f>IF(AND(VLOOKUP(AC$1,test!$A$3:$F$32,5,FALSE) - VLOOKUP($A27,test!$A$3:$G$32,6,FALSE) &gt;= (test!$B$33)/1440),1,0)</f>
        <v>0</v>
      </c>
      <c r="AD27" s="2">
        <f>IF(AND(VLOOKUP(AD$1,test!$A$3:$F$32,5,FALSE) - VLOOKUP($A27,test!$A$3:$G$32,6,FALSE) &gt;= (test!$B$33)/1440),1,0)</f>
        <v>0</v>
      </c>
      <c r="AE27" s="2">
        <f>IF(AND(VLOOKUP(AE$1,test!$A$3:$F$32,5,FALSE) - VLOOKUP($A27,test!$A$3:$G$32,6,FALSE) &gt;= (test!$B$33)/1440),1,0)</f>
        <v>0</v>
      </c>
      <c r="AF27" s="2">
        <f>IF(AND(VLOOKUP(AF$1,test!$A$3:$F$32,5,FALSE) - VLOOKUP($A27,test!$A$3:$G$32,6,FALSE) &gt;= (test!$B$33)/1440),1,0)</f>
        <v>0</v>
      </c>
    </row>
    <row r="28" spans="1:32" x14ac:dyDescent="0.25">
      <c r="A28" t="s">
        <v>37</v>
      </c>
      <c r="B28">
        <v>0</v>
      </c>
      <c r="C28" s="2">
        <f>IF(AND(VLOOKUP(C$1,test!$A$3:$F$32,5,FALSE) - VLOOKUP($A28,test!$A$3:$G$32,6,FALSE) &gt;= (test!$B$33)/1440),1,0)</f>
        <v>0</v>
      </c>
      <c r="D28" s="2">
        <f>IF(AND(VLOOKUP(D$1,test!$A$3:$F$32,5,FALSE) - VLOOKUP($A28,test!$A$3:$G$32,6,FALSE) &gt;= (test!$B$33)/1440),1,0)</f>
        <v>0</v>
      </c>
      <c r="E28" s="2">
        <f>IF(AND(VLOOKUP(E$1,test!$A$3:$F$32,5,FALSE) - VLOOKUP($A28,test!$A$3:$G$32,6,FALSE) &gt;= (test!$B$33)/1440),1,0)</f>
        <v>0</v>
      </c>
      <c r="F28" s="2">
        <f>IF(AND(VLOOKUP(F$1,test!$A$3:$F$32,5,FALSE) - VLOOKUP($A28,test!$A$3:$G$32,6,FALSE) &gt;= (test!$B$33)/1440),1,0)</f>
        <v>0</v>
      </c>
      <c r="G28" s="2">
        <f>IF(AND(VLOOKUP(G$1,test!$A$3:$F$32,5,FALSE) - VLOOKUP($A28,test!$A$3:$G$32,6,FALSE) &gt;= (test!$B$33)/1440),1,0)</f>
        <v>0</v>
      </c>
      <c r="H28" s="2">
        <f>IF(AND(VLOOKUP(H$1,test!$A$3:$F$32,5,FALSE) - VLOOKUP($A28,test!$A$3:$G$32,6,FALSE) &gt;= (test!$B$33)/1440),1,0)</f>
        <v>0</v>
      </c>
      <c r="I28" s="2">
        <f>IF(AND(VLOOKUP(I$1,test!$A$3:$F$32,5,FALSE) - VLOOKUP($A28,test!$A$3:$G$32,6,FALSE) &gt;= (test!$B$33)/1440),1,0)</f>
        <v>0</v>
      </c>
      <c r="J28" s="2">
        <f>IF(AND(VLOOKUP(J$1,test!$A$3:$F$32,5,FALSE) - VLOOKUP($A28,test!$A$3:$G$32,6,FALSE) &gt;= (test!$B$33)/1440),1,0)</f>
        <v>1</v>
      </c>
      <c r="K28" s="2">
        <f>IF(AND(VLOOKUP(K$1,test!$A$3:$F$32,5,FALSE) - VLOOKUP($A28,test!$A$3:$G$32,6,FALSE) &gt;= (test!$B$33)/1440),1,0)</f>
        <v>0</v>
      </c>
      <c r="L28" s="2">
        <f>IF(AND(VLOOKUP(L$1,test!$A$3:$F$32,5,FALSE) - VLOOKUP($A28,test!$A$3:$G$32,6,FALSE) &gt;= (test!$B$33)/1440),1,0)</f>
        <v>0</v>
      </c>
      <c r="M28" s="2">
        <f>IF(AND(VLOOKUP(M$1,test!$A$3:$F$32,5,FALSE) - VLOOKUP($A28,test!$A$3:$G$32,6,FALSE) &gt;= (test!$B$33)/1440),1,0)</f>
        <v>0</v>
      </c>
      <c r="N28" s="2">
        <f>IF(AND(VLOOKUP(N$1,test!$A$3:$F$32,5,FALSE) - VLOOKUP($A28,test!$A$3:$G$32,6,FALSE) &gt;= (test!$B$33)/1440),1,0)</f>
        <v>1</v>
      </c>
      <c r="O28" s="2">
        <f>IF(AND(VLOOKUP(O$1,test!$A$3:$F$32,5,FALSE) - VLOOKUP($A28,test!$A$3:$G$32,6,FALSE) &gt;= (test!$B$33)/1440),1,0)</f>
        <v>1</v>
      </c>
      <c r="P28" s="2">
        <f>IF(AND(VLOOKUP(P$1,test!$A$3:$F$32,5,FALSE) - VLOOKUP($A28,test!$A$3:$G$32,6,FALSE) &gt;= (test!$B$33)/1440),1,0)</f>
        <v>0</v>
      </c>
      <c r="Q28" s="2">
        <f>IF(AND(VLOOKUP(Q$1,test!$A$3:$F$32,5,FALSE) - VLOOKUP($A28,test!$A$3:$G$32,6,FALSE) &gt;= (test!$B$33)/1440),1,0)</f>
        <v>0</v>
      </c>
      <c r="R28" s="2">
        <f>IF(AND(VLOOKUP(R$1,test!$A$3:$F$32,5,FALSE) - VLOOKUP($A28,test!$A$3:$G$32,6,FALSE) &gt;= (test!$B$33)/1440),1,0)</f>
        <v>0</v>
      </c>
      <c r="S28" s="2">
        <f>IF(AND(VLOOKUP(S$1,test!$A$3:$F$32,5,FALSE) - VLOOKUP($A28,test!$A$3:$G$32,6,FALSE) &gt;= (test!$B$33)/1440),1,0)</f>
        <v>0</v>
      </c>
      <c r="T28" s="2">
        <f>IF(AND(VLOOKUP(T$1,test!$A$3:$F$32,5,FALSE) - VLOOKUP($A28,test!$A$3:$G$32,6,FALSE) &gt;= (test!$B$33)/1440),1,0)</f>
        <v>0</v>
      </c>
      <c r="U28" s="2">
        <f>IF(AND(VLOOKUP(U$1,test!$A$3:$F$32,5,FALSE) - VLOOKUP($A28,test!$A$3:$G$32,6,FALSE) &gt;= (test!$B$33)/1440),1,0)</f>
        <v>0</v>
      </c>
      <c r="V28" s="2">
        <f>IF(AND(VLOOKUP(V$1,test!$A$3:$F$32,5,FALSE) - VLOOKUP($A28,test!$A$3:$G$32,6,FALSE) &gt;= (test!$B$33)/1440),1,0)</f>
        <v>0</v>
      </c>
      <c r="W28" s="2">
        <f>IF(AND(VLOOKUP(W$1,test!$A$3:$F$32,5,FALSE) - VLOOKUP($A28,test!$A$3:$G$32,6,FALSE) &gt;= (test!$B$33)/1440),1,0)</f>
        <v>0</v>
      </c>
      <c r="X28" s="2">
        <f>IF(AND(VLOOKUP(X$1,test!$A$3:$F$32,5,FALSE) - VLOOKUP($A28,test!$A$3:$G$32,6,FALSE) &gt;= (test!$B$33)/1440),1,0)</f>
        <v>1</v>
      </c>
      <c r="Y28" s="2">
        <f>IF(AND(VLOOKUP(Y$1,test!$A$3:$F$32,5,FALSE) - VLOOKUP($A28,test!$A$3:$G$32,6,FALSE) &gt;= (test!$B$33)/1440),1,0)</f>
        <v>0</v>
      </c>
      <c r="Z28" s="2">
        <f>IF(AND(VLOOKUP(Z$1,test!$A$3:$F$32,5,FALSE) - VLOOKUP($A28,test!$A$3:$G$32,6,FALSE) &gt;= (test!$B$33)/1440),1,0)</f>
        <v>0</v>
      </c>
      <c r="AA28" s="2">
        <f>IF(AND(VLOOKUP(AA$1,test!$A$3:$F$32,5,FALSE) - VLOOKUP($A28,test!$A$3:$G$32,6,FALSE) &gt;= (test!$B$33)/1440),1,0)</f>
        <v>0</v>
      </c>
      <c r="AB28" s="2">
        <f>IF(AND(VLOOKUP(AB$1,test!$A$3:$F$32,5,FALSE) - VLOOKUP($A28,test!$A$3:$G$32,6,FALSE) &gt;= (test!$B$33)/1440),1,0)</f>
        <v>0</v>
      </c>
      <c r="AC28" s="2">
        <f>IF(AND(VLOOKUP(AC$1,test!$A$3:$F$32,5,FALSE) - VLOOKUP($A28,test!$A$3:$G$32,6,FALSE) &gt;= (test!$B$33)/1440),1,0)</f>
        <v>0</v>
      </c>
      <c r="AD28" s="2">
        <f>IF(AND(VLOOKUP(AD$1,test!$A$3:$F$32,5,FALSE) - VLOOKUP($A28,test!$A$3:$G$32,6,FALSE) &gt;= (test!$B$33)/1440),1,0)</f>
        <v>0</v>
      </c>
      <c r="AE28" s="2">
        <f>IF(AND(VLOOKUP(AE$1,test!$A$3:$F$32,5,FALSE) - VLOOKUP($A28,test!$A$3:$G$32,6,FALSE) &gt;= (test!$B$33)/1440),1,0)</f>
        <v>0</v>
      </c>
      <c r="AF28" s="2">
        <f>IF(AND(VLOOKUP(AF$1,test!$A$3:$F$32,5,FALSE) - VLOOKUP($A28,test!$A$3:$G$32,6,FALSE) &gt;= (test!$B$33)/1440),1,0)</f>
        <v>0</v>
      </c>
    </row>
    <row r="29" spans="1:32" x14ac:dyDescent="0.25">
      <c r="A29" t="s">
        <v>38</v>
      </c>
      <c r="B29">
        <v>0</v>
      </c>
      <c r="C29" s="2">
        <f>IF(AND(VLOOKUP(C$1,test!$A$3:$F$32,5,FALSE) - VLOOKUP($A29,test!$A$3:$G$32,6,FALSE) &gt;= (test!$B$33)/1440),1,0)</f>
        <v>0</v>
      </c>
      <c r="D29" s="2">
        <f>IF(AND(VLOOKUP(D$1,test!$A$3:$F$32,5,FALSE) - VLOOKUP($A29,test!$A$3:$G$32,6,FALSE) &gt;= (test!$B$33)/1440),1,0)</f>
        <v>0</v>
      </c>
      <c r="E29" s="2">
        <f>IF(AND(VLOOKUP(E$1,test!$A$3:$F$32,5,FALSE) - VLOOKUP($A29,test!$A$3:$G$32,6,FALSE) &gt;= (test!$B$33)/1440),1,0)</f>
        <v>0</v>
      </c>
      <c r="F29" s="2">
        <f>IF(AND(VLOOKUP(F$1,test!$A$3:$F$32,5,FALSE) - VLOOKUP($A29,test!$A$3:$G$32,6,FALSE) &gt;= (test!$B$33)/1440),1,0)</f>
        <v>0</v>
      </c>
      <c r="G29" s="2">
        <f>IF(AND(VLOOKUP(G$1,test!$A$3:$F$32,5,FALSE) - VLOOKUP($A29,test!$A$3:$G$32,6,FALSE) &gt;= (test!$B$33)/1440),1,0)</f>
        <v>0</v>
      </c>
      <c r="H29" s="2">
        <f>IF(AND(VLOOKUP(H$1,test!$A$3:$F$32,5,FALSE) - VLOOKUP($A29,test!$A$3:$G$32,6,FALSE) &gt;= (test!$B$33)/1440),1,0)</f>
        <v>0</v>
      </c>
      <c r="I29" s="2">
        <f>IF(AND(VLOOKUP(I$1,test!$A$3:$F$32,5,FALSE) - VLOOKUP($A29,test!$A$3:$G$32,6,FALSE) &gt;= (test!$B$33)/1440),1,0)</f>
        <v>0</v>
      </c>
      <c r="J29" s="2">
        <f>IF(AND(VLOOKUP(J$1,test!$A$3:$F$32,5,FALSE) - VLOOKUP($A29,test!$A$3:$G$32,6,FALSE) &gt;= (test!$B$33)/1440),1,0)</f>
        <v>0</v>
      </c>
      <c r="K29" s="2">
        <f>IF(AND(VLOOKUP(K$1,test!$A$3:$F$32,5,FALSE) - VLOOKUP($A29,test!$A$3:$G$32,6,FALSE) &gt;= (test!$B$33)/1440),1,0)</f>
        <v>0</v>
      </c>
      <c r="L29" s="2">
        <f>IF(AND(VLOOKUP(L$1,test!$A$3:$F$32,5,FALSE) - VLOOKUP($A29,test!$A$3:$G$32,6,FALSE) &gt;= (test!$B$33)/1440),1,0)</f>
        <v>0</v>
      </c>
      <c r="M29" s="2">
        <f>IF(AND(VLOOKUP(M$1,test!$A$3:$F$32,5,FALSE) - VLOOKUP($A29,test!$A$3:$G$32,6,FALSE) &gt;= (test!$B$33)/1440),1,0)</f>
        <v>0</v>
      </c>
      <c r="N29" s="2">
        <f>IF(AND(VLOOKUP(N$1,test!$A$3:$F$32,5,FALSE) - VLOOKUP($A29,test!$A$3:$G$32,6,FALSE) &gt;= (test!$B$33)/1440),1,0)</f>
        <v>0</v>
      </c>
      <c r="O29" s="2">
        <f>IF(AND(VLOOKUP(O$1,test!$A$3:$F$32,5,FALSE) - VLOOKUP($A29,test!$A$3:$G$32,6,FALSE) &gt;= (test!$B$33)/1440),1,0)</f>
        <v>0</v>
      </c>
      <c r="P29" s="2">
        <f>IF(AND(VLOOKUP(P$1,test!$A$3:$F$32,5,FALSE) - VLOOKUP($A29,test!$A$3:$G$32,6,FALSE) &gt;= (test!$B$33)/1440),1,0)</f>
        <v>0</v>
      </c>
      <c r="Q29" s="2">
        <f>IF(AND(VLOOKUP(Q$1,test!$A$3:$F$32,5,FALSE) - VLOOKUP($A29,test!$A$3:$G$32,6,FALSE) &gt;= (test!$B$33)/1440),1,0)</f>
        <v>0</v>
      </c>
      <c r="R29" s="2">
        <f>IF(AND(VLOOKUP(R$1,test!$A$3:$F$32,5,FALSE) - VLOOKUP($A29,test!$A$3:$G$32,6,FALSE) &gt;= (test!$B$33)/1440),1,0)</f>
        <v>0</v>
      </c>
      <c r="S29" s="2">
        <f>IF(AND(VLOOKUP(S$1,test!$A$3:$F$32,5,FALSE) - VLOOKUP($A29,test!$A$3:$G$32,6,FALSE) &gt;= (test!$B$33)/1440),1,0)</f>
        <v>0</v>
      </c>
      <c r="T29" s="2">
        <f>IF(AND(VLOOKUP(T$1,test!$A$3:$F$32,5,FALSE) - VLOOKUP($A29,test!$A$3:$G$32,6,FALSE) &gt;= (test!$B$33)/1440),1,0)</f>
        <v>0</v>
      </c>
      <c r="U29" s="2">
        <f>IF(AND(VLOOKUP(U$1,test!$A$3:$F$32,5,FALSE) - VLOOKUP($A29,test!$A$3:$G$32,6,FALSE) &gt;= (test!$B$33)/1440),1,0)</f>
        <v>0</v>
      </c>
      <c r="V29" s="2">
        <f>IF(AND(VLOOKUP(V$1,test!$A$3:$F$32,5,FALSE) - VLOOKUP($A29,test!$A$3:$G$32,6,FALSE) &gt;= (test!$B$33)/1440),1,0)</f>
        <v>0</v>
      </c>
      <c r="W29" s="2">
        <f>IF(AND(VLOOKUP(W$1,test!$A$3:$F$32,5,FALSE) - VLOOKUP($A29,test!$A$3:$G$32,6,FALSE) &gt;= (test!$B$33)/1440),1,0)</f>
        <v>0</v>
      </c>
      <c r="X29" s="2">
        <f>IF(AND(VLOOKUP(X$1,test!$A$3:$F$32,5,FALSE) - VLOOKUP($A29,test!$A$3:$G$32,6,FALSE) &gt;= (test!$B$33)/1440),1,0)</f>
        <v>0</v>
      </c>
      <c r="Y29" s="2">
        <f>IF(AND(VLOOKUP(Y$1,test!$A$3:$F$32,5,FALSE) - VLOOKUP($A29,test!$A$3:$G$32,6,FALSE) &gt;= (test!$B$33)/1440),1,0)</f>
        <v>0</v>
      </c>
      <c r="Z29" s="2">
        <f>IF(AND(VLOOKUP(Z$1,test!$A$3:$F$32,5,FALSE) - VLOOKUP($A29,test!$A$3:$G$32,6,FALSE) &gt;= (test!$B$33)/1440),1,0)</f>
        <v>0</v>
      </c>
      <c r="AA29" s="2">
        <f>IF(AND(VLOOKUP(AA$1,test!$A$3:$F$32,5,FALSE) - VLOOKUP($A29,test!$A$3:$G$32,6,FALSE) &gt;= (test!$B$33)/1440),1,0)</f>
        <v>0</v>
      </c>
      <c r="AB29" s="2">
        <f>IF(AND(VLOOKUP(AB$1,test!$A$3:$F$32,5,FALSE) - VLOOKUP($A29,test!$A$3:$G$32,6,FALSE) &gt;= (test!$B$33)/1440),1,0)</f>
        <v>0</v>
      </c>
      <c r="AC29" s="2">
        <f>IF(AND(VLOOKUP(AC$1,test!$A$3:$F$32,5,FALSE) - VLOOKUP($A29,test!$A$3:$G$32,6,FALSE) &gt;= (test!$B$33)/1440),1,0)</f>
        <v>0</v>
      </c>
      <c r="AD29" s="2">
        <f>IF(AND(VLOOKUP(AD$1,test!$A$3:$F$32,5,FALSE) - VLOOKUP($A29,test!$A$3:$G$32,6,FALSE) &gt;= (test!$B$33)/1440),1,0)</f>
        <v>0</v>
      </c>
      <c r="AE29" s="2">
        <f>IF(AND(VLOOKUP(AE$1,test!$A$3:$F$32,5,FALSE) - VLOOKUP($A29,test!$A$3:$G$32,6,FALSE) &gt;= (test!$B$33)/1440),1,0)</f>
        <v>0</v>
      </c>
      <c r="AF29" s="2">
        <f>IF(AND(VLOOKUP(AF$1,test!$A$3:$F$32,5,FALSE) - VLOOKUP($A29,test!$A$3:$G$32,6,FALSE) &gt;= (test!$B$33)/1440),1,0)</f>
        <v>0</v>
      </c>
    </row>
    <row r="30" spans="1:32" x14ac:dyDescent="0.25">
      <c r="A30" t="s">
        <v>39</v>
      </c>
      <c r="B30">
        <v>0</v>
      </c>
      <c r="C30" s="2">
        <f>IF(AND(VLOOKUP(C$1,test!$A$3:$F$32,5,FALSE) - VLOOKUP($A30,test!$A$3:$G$32,6,FALSE) &gt;= (test!$B$33)/1440),1,0)</f>
        <v>0</v>
      </c>
      <c r="D30" s="2">
        <f>IF(AND(VLOOKUP(D$1,test!$A$3:$F$32,5,FALSE) - VLOOKUP($A30,test!$A$3:$G$32,6,FALSE) &gt;= (test!$B$33)/1440),1,0)</f>
        <v>0</v>
      </c>
      <c r="E30" s="2">
        <f>IF(AND(VLOOKUP(E$1,test!$A$3:$F$32,5,FALSE) - VLOOKUP($A30,test!$A$3:$G$32,6,FALSE) &gt;= (test!$B$33)/1440),1,0)</f>
        <v>1</v>
      </c>
      <c r="F30" s="2">
        <f>IF(AND(VLOOKUP(F$1,test!$A$3:$F$32,5,FALSE) - VLOOKUP($A30,test!$A$3:$G$32,6,FALSE) &gt;= (test!$B$33)/1440),1,0)</f>
        <v>1</v>
      </c>
      <c r="G30" s="2">
        <f>IF(AND(VLOOKUP(G$1,test!$A$3:$F$32,5,FALSE) - VLOOKUP($A30,test!$A$3:$G$32,6,FALSE) &gt;= (test!$B$33)/1440),1,0)</f>
        <v>1</v>
      </c>
      <c r="H30" s="2">
        <f>IF(AND(VLOOKUP(H$1,test!$A$3:$F$32,5,FALSE) - VLOOKUP($A30,test!$A$3:$G$32,6,FALSE) &gt;= (test!$B$33)/1440),1,0)</f>
        <v>1</v>
      </c>
      <c r="I30" s="2">
        <f>IF(AND(VLOOKUP(I$1,test!$A$3:$F$32,5,FALSE) - VLOOKUP($A30,test!$A$3:$G$32,6,FALSE) &gt;= (test!$B$33)/1440),1,0)</f>
        <v>1</v>
      </c>
      <c r="J30" s="2">
        <f>IF(AND(VLOOKUP(J$1,test!$A$3:$F$32,5,FALSE) - VLOOKUP($A30,test!$A$3:$G$32,6,FALSE) &gt;= (test!$B$33)/1440),1,0)</f>
        <v>1</v>
      </c>
      <c r="K30" s="2">
        <f>IF(AND(VLOOKUP(K$1,test!$A$3:$F$32,5,FALSE) - VLOOKUP($A30,test!$A$3:$G$32,6,FALSE) &gt;= (test!$B$33)/1440),1,0)</f>
        <v>0</v>
      </c>
      <c r="L30" s="2">
        <f>IF(AND(VLOOKUP(L$1,test!$A$3:$F$32,5,FALSE) - VLOOKUP($A30,test!$A$3:$G$32,6,FALSE) &gt;= (test!$B$33)/1440),1,0)</f>
        <v>0</v>
      </c>
      <c r="M30" s="2">
        <f>IF(AND(VLOOKUP(M$1,test!$A$3:$F$32,5,FALSE) - VLOOKUP($A30,test!$A$3:$G$32,6,FALSE) &gt;= (test!$B$33)/1440),1,0)</f>
        <v>1</v>
      </c>
      <c r="N30" s="2">
        <f>IF(AND(VLOOKUP(N$1,test!$A$3:$F$32,5,FALSE) - VLOOKUP($A30,test!$A$3:$G$32,6,FALSE) &gt;= (test!$B$33)/1440),1,0)</f>
        <v>1</v>
      </c>
      <c r="O30" s="2">
        <f>IF(AND(VLOOKUP(O$1,test!$A$3:$F$32,5,FALSE) - VLOOKUP($A30,test!$A$3:$G$32,6,FALSE) &gt;= (test!$B$33)/1440),1,0)</f>
        <v>1</v>
      </c>
      <c r="P30" s="2">
        <f>IF(AND(VLOOKUP(P$1,test!$A$3:$F$32,5,FALSE) - VLOOKUP($A30,test!$A$3:$G$32,6,FALSE) &gt;= (test!$B$33)/1440),1,0)</f>
        <v>0</v>
      </c>
      <c r="Q30" s="2">
        <f>IF(AND(VLOOKUP(Q$1,test!$A$3:$F$32,5,FALSE) - VLOOKUP($A30,test!$A$3:$G$32,6,FALSE) &gt;= (test!$B$33)/1440),1,0)</f>
        <v>0</v>
      </c>
      <c r="R30" s="2">
        <f>IF(AND(VLOOKUP(R$1,test!$A$3:$F$32,5,FALSE) - VLOOKUP($A30,test!$A$3:$G$32,6,FALSE) &gt;= (test!$B$33)/1440),1,0)</f>
        <v>0</v>
      </c>
      <c r="S30" s="2">
        <f>IF(AND(VLOOKUP(S$1,test!$A$3:$F$32,5,FALSE) - VLOOKUP($A30,test!$A$3:$G$32,6,FALSE) &gt;= (test!$B$33)/1440),1,0)</f>
        <v>0</v>
      </c>
      <c r="T30" s="2">
        <f>IF(AND(VLOOKUP(T$1,test!$A$3:$F$32,5,FALSE) - VLOOKUP($A30,test!$A$3:$G$32,6,FALSE) &gt;= (test!$B$33)/1440),1,0)</f>
        <v>1</v>
      </c>
      <c r="U30" s="2">
        <f>IF(AND(VLOOKUP(U$1,test!$A$3:$F$32,5,FALSE) - VLOOKUP($A30,test!$A$3:$G$32,6,FALSE) &gt;= (test!$B$33)/1440),1,0)</f>
        <v>1</v>
      </c>
      <c r="V30" s="2">
        <f>IF(AND(VLOOKUP(V$1,test!$A$3:$F$32,5,FALSE) - VLOOKUP($A30,test!$A$3:$G$32,6,FALSE) &gt;= (test!$B$33)/1440),1,0)</f>
        <v>1</v>
      </c>
      <c r="W30" s="2">
        <f>IF(AND(VLOOKUP(W$1,test!$A$3:$F$32,5,FALSE) - VLOOKUP($A30,test!$A$3:$G$32,6,FALSE) &gt;= (test!$B$33)/1440),1,0)</f>
        <v>1</v>
      </c>
      <c r="X30" s="2">
        <f>IF(AND(VLOOKUP(X$1,test!$A$3:$F$32,5,FALSE) - VLOOKUP($A30,test!$A$3:$G$32,6,FALSE) &gt;= (test!$B$33)/1440),1,0)</f>
        <v>1</v>
      </c>
      <c r="Y30" s="2">
        <f>IF(AND(VLOOKUP(Y$1,test!$A$3:$F$32,5,FALSE) - VLOOKUP($A30,test!$A$3:$G$32,6,FALSE) &gt;= (test!$B$33)/1440),1,0)</f>
        <v>0</v>
      </c>
      <c r="Z30" s="2">
        <f>IF(AND(VLOOKUP(Z$1,test!$A$3:$F$32,5,FALSE) - VLOOKUP($A30,test!$A$3:$G$32,6,FALSE) &gt;= (test!$B$33)/1440),1,0)</f>
        <v>0</v>
      </c>
      <c r="AA30" s="2">
        <f>IF(AND(VLOOKUP(AA$1,test!$A$3:$F$32,5,FALSE) - VLOOKUP($A30,test!$A$3:$G$32,6,FALSE) &gt;= (test!$B$33)/1440),1,0)</f>
        <v>1</v>
      </c>
      <c r="AB30" s="2">
        <f>IF(AND(VLOOKUP(AB$1,test!$A$3:$F$32,5,FALSE) - VLOOKUP($A30,test!$A$3:$G$32,6,FALSE) &gt;= (test!$B$33)/1440),1,0)</f>
        <v>1</v>
      </c>
      <c r="AC30" s="2">
        <f>IF(AND(VLOOKUP(AC$1,test!$A$3:$F$32,5,FALSE) - VLOOKUP($A30,test!$A$3:$G$32,6,FALSE) &gt;= (test!$B$33)/1440),1,0)</f>
        <v>1</v>
      </c>
      <c r="AD30" s="2">
        <f>IF(AND(VLOOKUP(AD$1,test!$A$3:$F$32,5,FALSE) - VLOOKUP($A30,test!$A$3:$G$32,6,FALSE) &gt;= (test!$B$33)/1440),1,0)</f>
        <v>0</v>
      </c>
      <c r="AE30" s="2">
        <f>IF(AND(VLOOKUP(AE$1,test!$A$3:$F$32,5,FALSE) - VLOOKUP($A30,test!$A$3:$G$32,6,FALSE) &gt;= (test!$B$33)/1440),1,0)</f>
        <v>1</v>
      </c>
      <c r="AF30" s="2">
        <f>IF(AND(VLOOKUP(AF$1,test!$A$3:$F$32,5,FALSE) - VLOOKUP($A30,test!$A$3:$G$32,6,FALSE) &gt;= (test!$B$33)/1440),1,0)</f>
        <v>1</v>
      </c>
    </row>
    <row r="31" spans="1:32" x14ac:dyDescent="0.25">
      <c r="A31" t="s">
        <v>40</v>
      </c>
      <c r="B31">
        <v>0</v>
      </c>
      <c r="C31" s="2">
        <f>IF(AND(VLOOKUP(C$1,test!$A$3:$F$32,5,FALSE) - VLOOKUP($A31,test!$A$3:$G$32,6,FALSE) &gt;= (test!$B$33)/1440),1,0)</f>
        <v>0</v>
      </c>
      <c r="D31" s="2">
        <f>IF(AND(VLOOKUP(D$1,test!$A$3:$F$32,5,FALSE) - VLOOKUP($A31,test!$A$3:$G$32,6,FALSE) &gt;= (test!$B$33)/1440),1,0)</f>
        <v>0</v>
      </c>
      <c r="E31" s="2">
        <f>IF(AND(VLOOKUP(E$1,test!$A$3:$F$32,5,FALSE) - VLOOKUP($A31,test!$A$3:$G$32,6,FALSE) &gt;= (test!$B$33)/1440),1,0)</f>
        <v>0</v>
      </c>
      <c r="F31" s="2">
        <f>IF(AND(VLOOKUP(F$1,test!$A$3:$F$32,5,FALSE) - VLOOKUP($A31,test!$A$3:$G$32,6,FALSE) &gt;= (test!$B$33)/1440),1,0)</f>
        <v>0</v>
      </c>
      <c r="G31" s="2">
        <f>IF(AND(VLOOKUP(G$1,test!$A$3:$F$32,5,FALSE) - VLOOKUP($A31,test!$A$3:$G$32,6,FALSE) &gt;= (test!$B$33)/1440),1,0)</f>
        <v>0</v>
      </c>
      <c r="H31" s="2">
        <f>IF(AND(VLOOKUP(H$1,test!$A$3:$F$32,5,FALSE) - VLOOKUP($A31,test!$A$3:$G$32,6,FALSE) &gt;= (test!$B$33)/1440),1,0)</f>
        <v>0</v>
      </c>
      <c r="I31" s="2">
        <f>IF(AND(VLOOKUP(I$1,test!$A$3:$F$32,5,FALSE) - VLOOKUP($A31,test!$A$3:$G$32,6,FALSE) &gt;= (test!$B$33)/1440),1,0)</f>
        <v>0</v>
      </c>
      <c r="J31" s="2">
        <f>IF(AND(VLOOKUP(J$1,test!$A$3:$F$32,5,FALSE) - VLOOKUP($A31,test!$A$3:$G$32,6,FALSE) &gt;= (test!$B$33)/1440),1,0)</f>
        <v>1</v>
      </c>
      <c r="K31" s="2">
        <f>IF(AND(VLOOKUP(K$1,test!$A$3:$F$32,5,FALSE) - VLOOKUP($A31,test!$A$3:$G$32,6,FALSE) &gt;= (test!$B$33)/1440),1,0)</f>
        <v>0</v>
      </c>
      <c r="L31" s="2">
        <f>IF(AND(VLOOKUP(L$1,test!$A$3:$F$32,5,FALSE) - VLOOKUP($A31,test!$A$3:$G$32,6,FALSE) &gt;= (test!$B$33)/1440),1,0)</f>
        <v>0</v>
      </c>
      <c r="M31" s="2">
        <f>IF(AND(VLOOKUP(M$1,test!$A$3:$F$32,5,FALSE) - VLOOKUP($A31,test!$A$3:$G$32,6,FALSE) &gt;= (test!$B$33)/1440),1,0)</f>
        <v>0</v>
      </c>
      <c r="N31" s="2">
        <f>IF(AND(VLOOKUP(N$1,test!$A$3:$F$32,5,FALSE) - VLOOKUP($A31,test!$A$3:$G$32,6,FALSE) &gt;= (test!$B$33)/1440),1,0)</f>
        <v>1</v>
      </c>
      <c r="O31" s="2">
        <f>IF(AND(VLOOKUP(O$1,test!$A$3:$F$32,5,FALSE) - VLOOKUP($A31,test!$A$3:$G$32,6,FALSE) &gt;= (test!$B$33)/1440),1,0)</f>
        <v>1</v>
      </c>
      <c r="P31" s="2">
        <f>IF(AND(VLOOKUP(P$1,test!$A$3:$F$32,5,FALSE) - VLOOKUP($A31,test!$A$3:$G$32,6,FALSE) &gt;= (test!$B$33)/1440),1,0)</f>
        <v>0</v>
      </c>
      <c r="Q31" s="2">
        <f>IF(AND(VLOOKUP(Q$1,test!$A$3:$F$32,5,FALSE) - VLOOKUP($A31,test!$A$3:$G$32,6,FALSE) &gt;= (test!$B$33)/1440),1,0)</f>
        <v>0</v>
      </c>
      <c r="R31" s="2">
        <f>IF(AND(VLOOKUP(R$1,test!$A$3:$F$32,5,FALSE) - VLOOKUP($A31,test!$A$3:$G$32,6,FALSE) &gt;= (test!$B$33)/1440),1,0)</f>
        <v>0</v>
      </c>
      <c r="S31" s="2">
        <f>IF(AND(VLOOKUP(S$1,test!$A$3:$F$32,5,FALSE) - VLOOKUP($A31,test!$A$3:$G$32,6,FALSE) &gt;= (test!$B$33)/1440),1,0)</f>
        <v>0</v>
      </c>
      <c r="T31" s="2">
        <f>IF(AND(VLOOKUP(T$1,test!$A$3:$F$32,5,FALSE) - VLOOKUP($A31,test!$A$3:$G$32,6,FALSE) &gt;= (test!$B$33)/1440),1,0)</f>
        <v>0</v>
      </c>
      <c r="U31" s="2">
        <f>IF(AND(VLOOKUP(U$1,test!$A$3:$F$32,5,FALSE) - VLOOKUP($A31,test!$A$3:$G$32,6,FALSE) &gt;= (test!$B$33)/1440),1,0)</f>
        <v>0</v>
      </c>
      <c r="V31" s="2">
        <f>IF(AND(VLOOKUP(V$1,test!$A$3:$F$32,5,FALSE) - VLOOKUP($A31,test!$A$3:$G$32,6,FALSE) &gt;= (test!$B$33)/1440),1,0)</f>
        <v>0</v>
      </c>
      <c r="W31" s="2">
        <f>IF(AND(VLOOKUP(W$1,test!$A$3:$F$32,5,FALSE) - VLOOKUP($A31,test!$A$3:$G$32,6,FALSE) &gt;= (test!$B$33)/1440),1,0)</f>
        <v>0</v>
      </c>
      <c r="X31" s="2">
        <f>IF(AND(VLOOKUP(X$1,test!$A$3:$F$32,5,FALSE) - VLOOKUP($A31,test!$A$3:$G$32,6,FALSE) &gt;= (test!$B$33)/1440),1,0)</f>
        <v>1</v>
      </c>
      <c r="Y31" s="2">
        <f>IF(AND(VLOOKUP(Y$1,test!$A$3:$F$32,5,FALSE) - VLOOKUP($A31,test!$A$3:$G$32,6,FALSE) &gt;= (test!$B$33)/1440),1,0)</f>
        <v>0</v>
      </c>
      <c r="Z31" s="2">
        <f>IF(AND(VLOOKUP(Z$1,test!$A$3:$F$32,5,FALSE) - VLOOKUP($A31,test!$A$3:$G$32,6,FALSE) &gt;= (test!$B$33)/1440),1,0)</f>
        <v>0</v>
      </c>
      <c r="AA31" s="2">
        <f>IF(AND(VLOOKUP(AA$1,test!$A$3:$F$32,5,FALSE) - VLOOKUP($A31,test!$A$3:$G$32,6,FALSE) &gt;= (test!$B$33)/1440),1,0)</f>
        <v>0</v>
      </c>
      <c r="AB31" s="2">
        <f>IF(AND(VLOOKUP(AB$1,test!$A$3:$F$32,5,FALSE) - VLOOKUP($A31,test!$A$3:$G$32,6,FALSE) &gt;= (test!$B$33)/1440),1,0)</f>
        <v>0</v>
      </c>
      <c r="AC31" s="2">
        <f>IF(AND(VLOOKUP(AC$1,test!$A$3:$F$32,5,FALSE) - VLOOKUP($A31,test!$A$3:$G$32,6,FALSE) &gt;= (test!$B$33)/1440),1,0)</f>
        <v>0</v>
      </c>
      <c r="AD31" s="2">
        <f>IF(AND(VLOOKUP(AD$1,test!$A$3:$F$32,5,FALSE) - VLOOKUP($A31,test!$A$3:$G$32,6,FALSE) &gt;= (test!$B$33)/1440),1,0)</f>
        <v>0</v>
      </c>
      <c r="AE31" s="2">
        <f>IF(AND(VLOOKUP(AE$1,test!$A$3:$F$32,5,FALSE) - VLOOKUP($A31,test!$A$3:$G$32,6,FALSE) &gt;= (test!$B$33)/1440),1,0)</f>
        <v>0</v>
      </c>
      <c r="AF31" s="2">
        <f>IF(AND(VLOOKUP(AF$1,test!$A$3:$F$32,5,FALSE) - VLOOKUP($A31,test!$A$3:$G$32,6,FALSE) &gt;= (test!$B$33)/1440),1,0)</f>
        <v>0</v>
      </c>
    </row>
    <row r="32" spans="1:32" x14ac:dyDescent="0.25">
      <c r="A32" t="s">
        <v>41</v>
      </c>
      <c r="B32">
        <v>0</v>
      </c>
      <c r="C32" s="2">
        <f>IF(AND(VLOOKUP(C$1,test!$A$3:$F$32,5,FALSE) - VLOOKUP($A32,test!$A$3:$G$32,6,FALSE) &gt;= (test!$B$33)/1440),1,0)</f>
        <v>0</v>
      </c>
      <c r="D32" s="2">
        <f>IF(AND(VLOOKUP(D$1,test!$A$3:$F$32,5,FALSE) - VLOOKUP($A32,test!$A$3:$G$32,6,FALSE) &gt;= (test!$B$33)/1440),1,0)</f>
        <v>0</v>
      </c>
      <c r="E32" s="2">
        <f>IF(AND(VLOOKUP(E$1,test!$A$3:$F$32,5,FALSE) - VLOOKUP($A32,test!$A$3:$G$32,6,FALSE) &gt;= (test!$B$33)/1440),1,0)</f>
        <v>0</v>
      </c>
      <c r="F32" s="2">
        <f>IF(AND(VLOOKUP(F$1,test!$A$3:$F$32,5,FALSE) - VLOOKUP($A32,test!$A$3:$G$32,6,FALSE) &gt;= (test!$B$33)/1440),1,0)</f>
        <v>0</v>
      </c>
      <c r="G32" s="2">
        <f>IF(AND(VLOOKUP(G$1,test!$A$3:$F$32,5,FALSE) - VLOOKUP($A32,test!$A$3:$G$32,6,FALSE) &gt;= (test!$B$33)/1440),1,0)</f>
        <v>0</v>
      </c>
      <c r="H32" s="2">
        <f>IF(AND(VLOOKUP(H$1,test!$A$3:$F$32,5,FALSE) - VLOOKUP($A32,test!$A$3:$G$32,6,FALSE) &gt;= (test!$B$33)/1440),1,0)</f>
        <v>0</v>
      </c>
      <c r="I32" s="2">
        <f>IF(AND(VLOOKUP(I$1,test!$A$3:$F$32,5,FALSE) - VLOOKUP($A32,test!$A$3:$G$32,6,FALSE) &gt;= (test!$B$33)/1440),1,0)</f>
        <v>0</v>
      </c>
      <c r="J32" s="2">
        <f>IF(AND(VLOOKUP(J$1,test!$A$3:$F$32,5,FALSE) - VLOOKUP($A32,test!$A$3:$G$32,6,FALSE) &gt;= (test!$B$33)/1440),1,0)</f>
        <v>1</v>
      </c>
      <c r="K32" s="2">
        <f>IF(AND(VLOOKUP(K$1,test!$A$3:$F$32,5,FALSE) - VLOOKUP($A32,test!$A$3:$G$32,6,FALSE) &gt;= (test!$B$33)/1440),1,0)</f>
        <v>0</v>
      </c>
      <c r="L32" s="2">
        <f>IF(AND(VLOOKUP(L$1,test!$A$3:$F$32,5,FALSE) - VLOOKUP($A32,test!$A$3:$G$32,6,FALSE) &gt;= (test!$B$33)/1440),1,0)</f>
        <v>0</v>
      </c>
      <c r="M32" s="2">
        <f>IF(AND(VLOOKUP(M$1,test!$A$3:$F$32,5,FALSE) - VLOOKUP($A32,test!$A$3:$G$32,6,FALSE) &gt;= (test!$B$33)/1440),1,0)</f>
        <v>0</v>
      </c>
      <c r="N32" s="2">
        <f>IF(AND(VLOOKUP(N$1,test!$A$3:$F$32,5,FALSE) - VLOOKUP($A32,test!$A$3:$G$32,6,FALSE) &gt;= (test!$B$33)/1440),1,0)</f>
        <v>1</v>
      </c>
      <c r="O32" s="2">
        <f>IF(AND(VLOOKUP(O$1,test!$A$3:$F$32,5,FALSE) - VLOOKUP($A32,test!$A$3:$G$32,6,FALSE) &gt;= (test!$B$33)/1440),1,0)</f>
        <v>1</v>
      </c>
      <c r="P32" s="2">
        <f>IF(AND(VLOOKUP(P$1,test!$A$3:$F$32,5,FALSE) - VLOOKUP($A32,test!$A$3:$G$32,6,FALSE) &gt;= (test!$B$33)/1440),1,0)</f>
        <v>0</v>
      </c>
      <c r="Q32" s="2">
        <f>IF(AND(VLOOKUP(Q$1,test!$A$3:$F$32,5,FALSE) - VLOOKUP($A32,test!$A$3:$G$32,6,FALSE) &gt;= (test!$B$33)/1440),1,0)</f>
        <v>0</v>
      </c>
      <c r="R32" s="2">
        <f>IF(AND(VLOOKUP(R$1,test!$A$3:$F$32,5,FALSE) - VLOOKUP($A32,test!$A$3:$G$32,6,FALSE) &gt;= (test!$B$33)/1440),1,0)</f>
        <v>0</v>
      </c>
      <c r="S32" s="2">
        <f>IF(AND(VLOOKUP(S$1,test!$A$3:$F$32,5,FALSE) - VLOOKUP($A32,test!$A$3:$G$32,6,FALSE) &gt;= (test!$B$33)/1440),1,0)</f>
        <v>0</v>
      </c>
      <c r="T32" s="2">
        <f>IF(AND(VLOOKUP(T$1,test!$A$3:$F$32,5,FALSE) - VLOOKUP($A32,test!$A$3:$G$32,6,FALSE) &gt;= (test!$B$33)/1440),1,0)</f>
        <v>0</v>
      </c>
      <c r="U32" s="2">
        <f>IF(AND(VLOOKUP(U$1,test!$A$3:$F$32,5,FALSE) - VLOOKUP($A32,test!$A$3:$G$32,6,FALSE) &gt;= (test!$B$33)/1440),1,0)</f>
        <v>0</v>
      </c>
      <c r="V32" s="2">
        <f>IF(AND(VLOOKUP(V$1,test!$A$3:$F$32,5,FALSE) - VLOOKUP($A32,test!$A$3:$G$32,6,FALSE) &gt;= (test!$B$33)/1440),1,0)</f>
        <v>0</v>
      </c>
      <c r="W32" s="2">
        <f>IF(AND(VLOOKUP(W$1,test!$A$3:$F$32,5,FALSE) - VLOOKUP($A32,test!$A$3:$G$32,6,FALSE) &gt;= (test!$B$33)/1440),1,0)</f>
        <v>0</v>
      </c>
      <c r="X32" s="2">
        <f>IF(AND(VLOOKUP(X$1,test!$A$3:$F$32,5,FALSE) - VLOOKUP($A32,test!$A$3:$G$32,6,FALSE) &gt;= (test!$B$33)/1440),1,0)</f>
        <v>0</v>
      </c>
      <c r="Y32" s="2">
        <f>IF(AND(VLOOKUP(Y$1,test!$A$3:$F$32,5,FALSE) - VLOOKUP($A32,test!$A$3:$G$32,6,FALSE) &gt;= (test!$B$33)/1440),1,0)</f>
        <v>0</v>
      </c>
      <c r="Z32" s="2">
        <f>IF(AND(VLOOKUP(Z$1,test!$A$3:$F$32,5,FALSE) - VLOOKUP($A32,test!$A$3:$G$32,6,FALSE) &gt;= (test!$B$33)/1440),1,0)</f>
        <v>0</v>
      </c>
      <c r="AA32" s="2">
        <f>IF(AND(VLOOKUP(AA$1,test!$A$3:$F$32,5,FALSE) - VLOOKUP($A32,test!$A$3:$G$32,6,FALSE) &gt;= (test!$B$33)/1440),1,0)</f>
        <v>0</v>
      </c>
      <c r="AB32" s="2">
        <f>IF(AND(VLOOKUP(AB$1,test!$A$3:$F$32,5,FALSE) - VLOOKUP($A32,test!$A$3:$G$32,6,FALSE) &gt;= (test!$B$33)/1440),1,0)</f>
        <v>0</v>
      </c>
      <c r="AC32" s="2">
        <f>IF(AND(VLOOKUP(AC$1,test!$A$3:$F$32,5,FALSE) - VLOOKUP($A32,test!$A$3:$G$32,6,FALSE) &gt;= (test!$B$33)/1440),1,0)</f>
        <v>0</v>
      </c>
      <c r="AD32" s="2">
        <f>IF(AND(VLOOKUP(AD$1,test!$A$3:$F$32,5,FALSE) - VLOOKUP($A32,test!$A$3:$G$32,6,FALSE) &gt;= (test!$B$33)/1440),1,0)</f>
        <v>0</v>
      </c>
      <c r="AE32" s="2">
        <f>IF(AND(VLOOKUP(AE$1,test!$A$3:$F$32,5,FALSE) - VLOOKUP($A32,test!$A$3:$G$32,6,FALSE) &gt;= (test!$B$33)/1440),1,0)</f>
        <v>0</v>
      </c>
      <c r="AF32" s="2">
        <f>IF(AND(VLOOKUP(AF$1,test!$A$3:$F$32,5,FALSE) - VLOOKUP($A32,test!$A$3:$G$32,6,FALSE) &gt;= (test!$B$33)/1440),1,0)</f>
        <v>0</v>
      </c>
    </row>
  </sheetData>
  <conditionalFormatting sqref="C3:AF32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</vt:lpstr>
      <vt:lpstr>Result</vt:lpstr>
      <vt:lpstr>10Trips</vt:lpstr>
      <vt:lpstr>feasible_mat</vt:lpstr>
      <vt:lpstr>duration_mat</vt:lpstr>
      <vt:lpstr>idle_mat</vt:lpstr>
      <vt:lpstr>Recharged_Feasible_mat</vt:lpstr>
      <vt:lpstr>Recharged_Feasible_mat1cs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Corry</dc:creator>
  <cp:lastModifiedBy>Dicky Sentosa Gozali</cp:lastModifiedBy>
  <dcterms:created xsi:type="dcterms:W3CDTF">2024-02-13T00:51:05Z</dcterms:created>
  <dcterms:modified xsi:type="dcterms:W3CDTF">2025-03-24T03:01:12Z</dcterms:modified>
</cp:coreProperties>
</file>